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2 Instellingen" sheetId="2" state="visible" r:id="rId2"/>
    <sheet xmlns:r="http://schemas.openxmlformats.org/officeDocument/2006/relationships" name="03 Historie" sheetId="3" state="visible" r:id="rId3"/>
    <sheet xmlns:r="http://schemas.openxmlformats.org/officeDocument/2006/relationships" name="04 Input prognose" sheetId="4" state="visible" r:id="rId4"/>
    <sheet xmlns:r="http://schemas.openxmlformats.org/officeDocument/2006/relationships" name="05 Omzet &amp; marge" sheetId="5" state="visible" r:id="rId5"/>
    <sheet xmlns:r="http://schemas.openxmlformats.org/officeDocument/2006/relationships" name="06 Werkkapitaal" sheetId="6" state="visible" r:id="rId6"/>
    <sheet xmlns:r="http://schemas.openxmlformats.org/officeDocument/2006/relationships" name="07 Personeel" sheetId="7" state="visible" r:id="rId7"/>
    <sheet xmlns:r="http://schemas.openxmlformats.org/officeDocument/2006/relationships" name="08 Overige kosten" sheetId="8" state="visible" r:id="rId8"/>
    <sheet xmlns:r="http://schemas.openxmlformats.org/officeDocument/2006/relationships" name="09 Investeringen" sheetId="9" state="visible" r:id="rId9"/>
    <sheet xmlns:r="http://schemas.openxmlformats.org/officeDocument/2006/relationships" name="10 Financiering" sheetId="10" state="visible" r:id="rId10"/>
    <sheet xmlns:r="http://schemas.openxmlformats.org/officeDocument/2006/relationships" name="11 Belastingen" sheetId="11" state="visible" r:id="rId11"/>
    <sheet xmlns:r="http://schemas.openxmlformats.org/officeDocument/2006/relationships" name="12 Liquiditeitsprognose" sheetId="12" state="visible" r:id="rId12"/>
    <sheet xmlns:r="http://schemas.openxmlformats.org/officeDocument/2006/relationships" name="13 Scenarioanalyse" sheetId="13" state="visible" r:id="rId13"/>
    <sheet xmlns:r="http://schemas.openxmlformats.org/officeDocument/2006/relationships" name="14 Import" sheetId="14" state="visible" r:id="rId14"/>
    <sheet xmlns:r="http://schemas.openxmlformats.org/officeDocument/2006/relationships" name="15 Controle" sheetId="15" state="visible" r:id="rId15"/>
    <sheet xmlns:r="http://schemas.openxmlformats.org/officeDocument/2006/relationships" name="16 Toelichting" sheetId="16" state="visible" r:id="rId16"/>
    <sheet xmlns:r="http://schemas.openxmlformats.org/officeDocument/2006/relationships" name="17 Copilot Prompts" sheetId="17" state="visible" r:id="rId17"/>
  </sheets>
  <definedNames>
    <definedName name="s_start">'02 Instellingen'!$C$6</definedName>
    <definedName name="s_periode">'02 Instellingen'!$C$7</definedName>
    <definedName name="s_dpm">'02 Instellingen'!$C$8</definedName>
    <definedName name="v_btw">'02 Instellingen'!$C$10</definedName>
    <definedName name="s_btwregime">'02 Instellingen'!$C$11</definedName>
    <definedName name="s_buffer">'02 Instellingen'!$C$12</definedName>
    <definedName name="s_finbuffer">'02 Instellingen'!$C$13</definedName>
    <definedName name="s_bank0">'02 Instellingen'!$C$14</definedName>
    <definedName name="s_omzet_jaar">'02 Instellingen'!$C$15</definedName>
    <definedName name="s_margin">'02 Instellingen'!$C$16</definedName>
    <definedName name="s_scenario">'02 Instellingen'!$C$17</definedName>
    <definedName name="p_omzetgroei">'02 Instellingen'!$H$21</definedName>
    <definedName name="p_marge_adj">'02 Instellingen'!$H$22</definedName>
    <definedName name="p_dso">'02 Instellingen'!$H$23</definedName>
    <definedName name="p_dpo">'02 Instellingen'!$H$24</definedName>
    <definedName name="p_dio">'02 Instellingen'!$H$25</definedName>
    <definedName name="p_kostengroei">'02 Instellingen'!$H$26</definedName>
    <definedName name="p_rente">'02 Instellingen'!$H$27</definedName>
    <definedName name="p_extra_capex">'02 Instellingen'!$H$28</definedName>
    <definedName name="s_capexmnd">'02 Instellingen'!$C$30</definedName>
    <definedName name="h_debiteuren">'03 Historie'!$C$21</definedName>
    <definedName name="h_voorraad">'03 Historie'!$C$22</definedName>
    <definedName name="h_crediteuren">'03 Historie'!$C$23</definedName>
    <definedName name="h_lening">'03 Historie'!$C$25</definedName>
    <definedName name="h_rc_limiet">'03 Historie'!$C$26</definedName>
    <definedName name="liq_end">'12 Liquiditeitsprognose'!$D$25:$AA$25</definedName>
    <definedName name="liq_tekort">'12 Liquiditeitsprognose'!$D$29:$AA$29</definedName>
    <definedName name="liq_net">'12 Liquiditeitsprognose'!$D$24:$AA$24</definedName>
    <definedName name="ctrl_status">'15 Controle'!$B$18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 &quot;mnd&quot;"/>
    <numFmt numFmtId="166" formatCode="0.0"/>
    <numFmt numFmtId="167" formatCode="0.0%"/>
    <numFmt numFmtId="168" formatCode="€ #,##0;€ -#,##0;&quot;-&quot;"/>
    <numFmt numFmtId="169" formatCode="0 &quot;dg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3F3F3F"/>
      <sz val="10"/>
    </font>
    <font>
      <name val="Arial"/>
      <color rgb="000000CC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808080"/>
      <sz val="8"/>
    </font>
    <font>
      <name val="Arial"/>
      <color rgb="000000CC"/>
      <sz val="9"/>
    </font>
    <font>
      <name val="Arial"/>
      <b val="1"/>
      <color rgb="001E4620"/>
      <sz val="9"/>
    </font>
    <font>
      <name val="Arial"/>
      <b val="1"/>
      <color rgb="003F3F3F"/>
      <sz val="10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b val="1"/>
      <color rgb="003F3F3F"/>
      <sz val="8"/>
    </font>
    <font>
      <name val="Arial"/>
      <b val="1"/>
      <color rgb="001E7A1E"/>
      <sz val="9"/>
    </font>
    <font>
      <name val="Arial"/>
      <color rgb="00000000"/>
      <sz val="9"/>
    </font>
    <font>
      <name val="Arial"/>
      <b val="1"/>
      <color rgb="001E4620"/>
      <sz val="10"/>
    </font>
    <font>
      <name val="Arial"/>
      <color rgb="001E4620"/>
      <sz val="10"/>
    </font>
    <font>
      <name val="Arial"/>
      <color rgb="001E7A1E"/>
      <sz val="9"/>
    </font>
    <font>
      <name val="Arial"/>
      <color rgb="00808080"/>
      <sz val="10"/>
    </font>
    <font>
      <name val="Arial"/>
      <color rgb="00808080"/>
      <sz val="9"/>
    </font>
    <font>
      <name val="Arial"/>
      <b val="1"/>
      <color rgb="00C00000"/>
      <sz val="10"/>
    </font>
    <font>
      <name val="Arial"/>
      <color rgb="003F3F3F"/>
      <sz val="9"/>
    </font>
    <font>
      <name val="Arial"/>
      <b val="1"/>
      <color rgb="00C00000"/>
      <sz val="9"/>
    </font>
    <font>
      <name val="Arial"/>
      <b val="1"/>
      <color rgb="00FFFFFF"/>
      <sz val="12"/>
    </font>
    <font>
      <name val="Arial"/>
      <b val="1"/>
      <color rgb="001E4620"/>
      <sz val="11"/>
    </font>
    <font>
      <name val="Arial"/>
      <b val="1"/>
      <color rgb="001E4620"/>
      <sz val="14"/>
    </font>
    <font>
      <name val="Arial"/>
      <color rgb="00808080"/>
      <sz val="7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4620"/>
      </patternFill>
    </fill>
    <fill>
      <patternFill patternType="solid">
        <fgColor rgb="002E7D3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3F0E3"/>
      </patternFill>
    </fill>
    <fill>
      <patternFill patternType="solid">
        <fgColor rgb="004C9A2A"/>
      </patternFill>
    </fill>
    <fill>
      <patternFill patternType="solid">
        <fgColor rgb="00F2F8F2"/>
      </patternFill>
    </fill>
    <fill>
      <patternFill patternType="solid">
        <fgColor rgb="00BF8F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168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 wrapText="1"/>
    </xf>
    <xf numFmtId="167" fontId="27" fillId="9" borderId="1" applyAlignment="1" pivotButton="0" quotePrefix="0" xfId="0">
      <alignment horizontal="center" vertical="center"/>
    </xf>
    <xf numFmtId="169" fontId="27" fillId="9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7" fontId="5" fillId="4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7" fontId="9" fillId="6" borderId="1" applyAlignment="1" pivotButton="0" quotePrefix="0" xfId="0">
      <alignment horizontal="right" vertical="center"/>
    </xf>
    <xf numFmtId="167" fontId="9" fillId="4" borderId="1" applyAlignment="1" pivotButton="0" quotePrefix="0" xfId="0">
      <alignment horizontal="right" vertical="center"/>
    </xf>
    <xf numFmtId="167" fontId="10" fillId="7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9" fontId="9" fillId="4" borderId="1" applyAlignment="1" pivotButton="0" quotePrefix="0" xfId="0">
      <alignment horizontal="right" vertical="center"/>
    </xf>
    <xf numFmtId="169" fontId="10" fillId="7" borderId="1" applyAlignment="1" pivotButton="0" quotePrefix="0" xfId="0">
      <alignment horizontal="right" vertical="center"/>
    </xf>
    <xf numFmtId="168" fontId="9" fillId="6" borderId="1" applyAlignment="1" pivotButton="0" quotePrefix="0" xfId="0">
      <alignment horizontal="right" vertical="center"/>
    </xf>
    <xf numFmtId="168" fontId="9" fillId="4" borderId="1" applyAlignment="1" pivotButton="0" quotePrefix="0" xfId="0">
      <alignment horizontal="right" vertical="center"/>
    </xf>
    <xf numFmtId="168" fontId="10" fillId="7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/>
    </xf>
    <xf numFmtId="168" fontId="12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168" fontId="9" fillId="4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17" fontId="7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7" fontId="9" fillId="4" borderId="0" applyAlignment="1" pivotButton="0" quotePrefix="0" xfId="0">
      <alignment horizontal="right" vertical="center"/>
    </xf>
    <xf numFmtId="167" fontId="10" fillId="0" borderId="0" pivotButton="0" quotePrefix="0" xfId="0"/>
    <xf numFmtId="168" fontId="15" fillId="0" borderId="0" applyAlignment="1" pivotButton="0" quotePrefix="0" xfId="0">
      <alignment horizontal="right" vertical="center"/>
    </xf>
    <xf numFmtId="167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10" fillId="0" borderId="0" pivotButton="0" quotePrefix="0" xfId="0"/>
    <xf numFmtId="0" fontId="17" fillId="0" borderId="0" applyAlignment="1" pivotButton="0" quotePrefix="0" xfId="0">
      <alignment horizontal="left" vertical="center"/>
    </xf>
    <xf numFmtId="168" fontId="15" fillId="0" borderId="0" pivotButton="0" quotePrefix="0" xfId="0"/>
    <xf numFmtId="0" fontId="18" fillId="0" borderId="0" applyAlignment="1" pivotButton="0" quotePrefix="0" xfId="0">
      <alignment horizontal="left" vertical="center"/>
    </xf>
    <xf numFmtId="168" fontId="19" fillId="0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166" fontId="19" fillId="0" borderId="0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168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168" fontId="21" fillId="0" borderId="0" applyAlignment="1" pivotButton="0" quotePrefix="0" xfId="0">
      <alignment horizontal="right" vertical="center"/>
    </xf>
    <xf numFmtId="168" fontId="23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168" fontId="24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8" fontId="16" fillId="0" borderId="1" applyAlignment="1" pivotButton="0" quotePrefix="0" xfId="0">
      <alignment horizontal="right" vertical="center"/>
    </xf>
    <xf numFmtId="1" fontId="16" fillId="0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b val="1"/>
        <color rgb="00C00000"/>
        <sz val="9"/>
      </font>
      <fill>
        <patternFill patternType="solid">
          <fgColor rgb="00F8D7DA"/>
        </patternFill>
      </fill>
    </dxf>
    <dxf>
      <font>
        <name val="Arial"/>
        <b val="1"/>
        <color rgb="00FFFFFF"/>
        <sz val="9"/>
      </font>
      <fill>
        <patternFill patternType="solid">
          <fgColor rgb="00C00000"/>
        </patternFill>
      </fill>
    </dxf>
    <dxf>
      <font>
        <name val="Arial"/>
        <b val="1"/>
        <color rgb="001E4620"/>
        <sz val="9"/>
      </font>
      <fill>
        <patternFill patternType="solid">
          <fgColor rgb="00E3F0E3"/>
        </patternFill>
      </fill>
    </dxf>
    <dxf>
      <font>
        <name val="Arial"/>
        <b val="1"/>
        <color rgb="00BF8F00"/>
        <sz val="9"/>
      </font>
      <fill>
        <patternFill patternType="solid">
          <fgColor rgb="00FFF2CC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BF8F00"/>
        </patternFill>
      </fill>
    </dxf>
    <dxf>
      <fill>
        <patternFill patternType="solid">
          <fgColor rgb="002E7D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Liquiditeitsontwikkeling 24 mnd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Liquiditeitsprognose'!$D$25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Liquiditeitsprognose'!$E$25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Liquiditeitsprognose'!$F$25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Liquiditeitsprognose'!$G$25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Liquiditeitsprognose'!$H$25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Liquiditeitsprognose'!$I$25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Liquiditeitsprognose'!$J$25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Liquiditeitsprognose'!$K$25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Liquiditeitsprognose'!$L$25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Liquiditeitsprognose'!$M$25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Liquiditeitsprognose'!$N$25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Liquiditeitsprognose'!$O$25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Liquiditeitsprognose'!$P$25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Liquiditeitsprognose'!$Q$25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Liquiditeitsprognose'!$R$25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Liquiditeitsprognose'!$S$25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Liquiditeitsprognose'!$T$25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Liquiditeitsprognose'!$U$25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Liquiditeitsprognose'!$V$25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Liquiditeitsprognose'!$W$25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Liquiditeitsprognose'!$X$25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Liquiditeitsprognose'!$Y$25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Liquiditeitsprognose'!$Z$25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Liquiditeitsprognose'!$AA$25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Liquiditeitsprognose'!$D$27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Liquiditeitsprognose'!$E$27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Liquiditeitsprognose'!$F$27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Liquiditeitsprognose'!$G$27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Liquiditeitsprognose'!$H$27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Liquiditeitsprognose'!$I$27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Liquiditeitsprognose'!$J$27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Liquiditeitsprognose'!$K$27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Liquiditeitsprognose'!$L$27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Liquiditeitsprognose'!$M$27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Liquiditeitsprognose'!$N$27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Liquiditeitsprognose'!$O$27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Liquiditeitsprognose'!$P$27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Liquiditeitsprognose'!$Q$27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Liquiditeitsprognose'!$R$27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Liquiditeitsprognose'!$S$27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Liquiditeitsprognose'!$T$27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Liquiditeitsprognose'!$U$27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Liquiditeitsprognose'!$V$27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Liquiditeitsprognose'!$W$27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Liquiditeitsprognose'!$X$27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Liquiditeitsprognose'!$Y$27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Liquiditeitsprognose'!$Z$27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'12 Liquiditeitsprognose'!$AA$27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Inkomend vs uitgaand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Liquiditeitsprognose'!$D$12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Liquiditeitsprognose'!$E$12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Liquiditeitsprognose'!$F$12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Liquiditeitsprognose'!$G$12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Liquiditeitsprognose'!$H$12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Liquiditeitsprognose'!$I$12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Liquiditeitsprognose'!$J$12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Liquiditeitsprognose'!$K$12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Liquiditeitsprognose'!$L$12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Liquiditeitsprognose'!$M$12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Liquiditeitsprognose'!$N$12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Liquiditeitsprognose'!$O$12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Liquiditeitsprognose'!$P$12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Liquiditeitsprognose'!$Q$12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Liquiditeitsprognose'!$R$12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Liquiditeitsprognose'!$S$12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Liquiditeitsprognose'!$T$12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Liquiditeitsprognose'!$U$12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Liquiditeitsprognose'!$V$12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Liquiditeitsprognose'!$W$12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Liquiditeitsprognose'!$X$12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Liquiditeitsprognose'!$Y$12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Liquiditeitsprognose'!$Z$12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Liquiditeitsprognose'!$AA$12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Liquiditeitsprognose'!$D$23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Liquiditeitsprognose'!$E$23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Liquiditeitsprognose'!$F$23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Liquiditeitsprognose'!$G$23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Liquiditeitsprognose'!$H$23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Liquiditeitsprognose'!$I$23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Liquiditeitsprognose'!$J$23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Liquiditeitsprognose'!$K$23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Liquiditeitsprognose'!$L$23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Liquiditeitsprognose'!$M$23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Liquiditeitsprognose'!$N$23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Liquiditeitsprognose'!$O$23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Liquiditeitsprognose'!$P$23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Liquiditeitsprognose'!$Q$23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Liquiditeitsprognose'!$R$23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Liquiditeitsprognose'!$S$23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Liquiditeitsprognose'!$T$23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Liquiditeitsprognose'!$U$23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Liquiditeitsprognose'!$V$23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Liquiditeitsprognose'!$W$23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Liquiditeitsprognose'!$X$23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Liquiditeitsprognose'!$Y$23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Liquiditeitsprognose'!$Z$23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Liquiditeitsprognose'!$AA$23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Scenario's: eindliquiditeit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Scenarioanalyse'!$D$20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Scenarioanalyse'!$E$20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Scenarioanalyse'!$F$20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Scenarioanalyse'!$G$20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Scenarioanalyse'!$H$20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Scenarioanalyse'!$I$20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Scenarioanalyse'!$J$20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Scenarioanalyse'!$K$20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Scenarioanalyse'!$L$20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Scenarioanalyse'!$M$20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Scenarioanalyse'!$N$20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Scenarioanalyse'!$O$20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Scenarioanalyse'!$P$20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Scenarioanalyse'!$Q$20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Scenarioanalyse'!$R$20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Scenarioanalyse'!$S$20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Scenarioanalyse'!$T$20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Scenarioanalyse'!$U$20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Scenarioanalyse'!$V$20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Scenarioanalyse'!$W$20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Scenarioanalyse'!$X$20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Scenarioanalyse'!$Y$20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Scenarioanalyse'!$Z$20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Scenarioanalyse'!$AA$20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Scenarioanalyse'!$D$34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Scenarioanalyse'!$E$34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Scenarioanalyse'!$F$34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Scenarioanalyse'!$G$34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Scenarioanalyse'!$H$34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Scenarioanalyse'!$I$34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Scenarioanalyse'!$J$34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Scenarioanalyse'!$K$34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Scenarioanalyse'!$L$34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Scenarioanalyse'!$M$34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Scenarioanalyse'!$N$34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Scenarioanalyse'!$O$34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Scenarioanalyse'!$P$34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Scenarioanalyse'!$Q$34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Scenarioanalyse'!$R$34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Scenarioanalyse'!$S$34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Scenarioanalyse'!$T$34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Scenarioanalyse'!$U$34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Scenarioanalyse'!$V$34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Scenarioanalyse'!$W$34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Scenarioanalyse'!$X$34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Scenarioanalyse'!$Y$34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Scenarioanalyse'!$Z$34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Scenarioanalyse'!$AA$34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Scenarioanalyse'!$D$48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Scenarioanalyse'!$E$48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Scenarioanalyse'!$F$48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Scenarioanalyse'!$G$48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Scenarioanalyse'!$H$48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Scenarioanalyse'!$I$48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Scenarioanalyse'!$J$48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Scenarioanalyse'!$K$48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Scenarioanalyse'!$L$48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Scenarioanalyse'!$M$48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Scenarioanalyse'!$N$48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Scenarioanalyse'!$O$48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Scenarioanalyse'!$P$48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Scenarioanalyse'!$Q$48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Scenarioanalyse'!$R$48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Scenarioanalyse'!$S$48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Scenarioanalyse'!$T$48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Scenarioanalyse'!$U$48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Scenarioanalyse'!$V$48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Scenarioanalyse'!$W$48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Scenarioanalyse'!$X$48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Scenarioanalyse'!$Y$48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Scenarioanalyse'!$Z$48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 Scenarioanalyse'!$D$5:$AA$5</f>
            </numRef>
          </cat>
          <val>
            <numRef>
              <f>'13 Scenarioanalyse'!$AA$48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Werkkapitaal (deb/vrd/cred)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Werkkapitaal'!$D$14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Werkkapitaal'!$E$14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Werkkapitaal'!$F$14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Werkkapitaal'!$G$14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Werkkapitaal'!$H$14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Werkkapitaal'!$I$14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Werkkapitaal'!$J$14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Werkkapitaal'!$K$14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Werkkapitaal'!$L$14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Werkkapitaal'!$M$14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Werkkapitaal'!$N$14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Werkkapitaal'!$O$14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Werkkapitaal'!$P$14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Werkkapitaal'!$Q$14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Werkkapitaal'!$R$14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Werkkapitaal'!$S$14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Werkkapitaal'!$T$14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Werkkapitaal'!$U$14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Werkkapitaal'!$V$14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Werkkapitaal'!$W$14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Werkkapitaal'!$X$14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Werkkapitaal'!$Y$14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Werkkapitaal'!$Z$14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Werkkapitaal'!$AA$14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Werkkapitaal'!$D$10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Werkkapitaal'!$E$10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Werkkapitaal'!$F$10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Werkkapitaal'!$G$10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Werkkapitaal'!$H$10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Werkkapitaal'!$I$10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Werkkapitaal'!$J$10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Werkkapitaal'!$K$10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Werkkapitaal'!$L$10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Werkkapitaal'!$M$10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Werkkapitaal'!$N$10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Werkkapitaal'!$O$10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Werkkapitaal'!$P$10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Werkkapitaal'!$Q$10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Werkkapitaal'!$R$10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Werkkapitaal'!$S$10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Werkkapitaal'!$T$10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Werkkapitaal'!$U$10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Werkkapitaal'!$V$10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Werkkapitaal'!$W$10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Werkkapitaal'!$X$10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Werkkapitaal'!$Y$10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Werkkapitaal'!$Z$10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Werkkapitaal'!$AA$10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Werkkapitaal'!$D$15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Werkkapitaal'!$E$15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Werkkapitaal'!$F$15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Werkkapitaal'!$G$15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Werkkapitaal'!$H$15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Werkkapitaal'!$I$15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Werkkapitaal'!$J$15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Werkkapitaal'!$K$15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Werkkapitaal'!$L$15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Werkkapitaal'!$M$15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Werkkapitaal'!$N$15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Werkkapitaal'!$O$15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Werkkapitaal'!$P$15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Werkkapitaal'!$Q$15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Werkkapitaal'!$R$15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Werkkapitaal'!$S$15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Werkkapitaal'!$T$15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Werkkapitaal'!$U$15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Werkkapitaal'!$V$15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Werkkapitaal'!$W$15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Werkkapitaal'!$X$15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Werkkapitaal'!$Y$15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Werkkapitaal'!$Z$15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 Liquiditeitsprognose'!$D$5:$AA$5</f>
            </numRef>
          </cat>
          <val>
            <numRef>
              <f>'06 Werkkapitaal'!$AA$15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Omzet vs brutowinst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marge'!$D$8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marge'!$E$8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marge'!$F$8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marge'!$G$8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marge'!$H$8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marge'!$I$8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marge'!$J$8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marge'!$K$8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marge'!$L$8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marge'!$M$8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marge'!$N$8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marge'!$O$8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marge'!$P$8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marge'!$Q$8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marge'!$R$8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marge'!$S$8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marge'!$T$8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marge'!$U$8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marge'!$V$8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marge'!$W$8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marge'!$X$8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marge'!$Y$8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marge'!$Z$8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marge'!$AA$8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marge'!$D$10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marge'!$E$10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marge'!$F$10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marge'!$G$10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marge'!$H$10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marge'!$I$10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marge'!$J$10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marge'!$K$10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marge'!$L$10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marge'!$M$10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marge'!$N$10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marge'!$O$10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marge'!$P$10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marge'!$Q$10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marge'!$R$10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marge'!$S$10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marge'!$T$10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marge'!$U$10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marge'!$V$10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marge'!$W$10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marge'!$X$10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marge'!$Y$10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marge'!$Z$10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'05 Omzet &amp; marge'!$AA$10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Financieringsbehoefte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Liquiditeitsprognose'!$D$29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Liquiditeitsprognose'!$E$29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Liquiditeitsprognose'!$F$29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Liquiditeitsprognose'!$G$29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Liquiditeitsprognose'!$H$29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Liquiditeitsprognose'!$I$29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Liquiditeitsprognose'!$J$29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Liquiditeitsprognose'!$K$29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Liquiditeitsprognose'!$L$29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Liquiditeitsprognose'!$M$29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Liquiditeitsprognose'!$N$29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Liquiditeitsprognose'!$O$29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Liquiditeitsprognose'!$P$29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Liquiditeitsprognose'!$Q$29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Liquiditeitsprognose'!$R$29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Liquiditeitsprognose'!$S$29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Liquiditeitsprognose'!$T$29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Liquiditeitsprognose'!$U$29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Liquiditeitsprognose'!$V$29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Liquiditeitsprognose'!$W$29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Liquiditeitsprognose'!$X$29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Liquiditeitsprognose'!$Y$29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Liquiditeitsprognose'!$Z$29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'12 Liquiditeitsprognose'!$D$5:$AA$5</f>
            </numRef>
          </cat>
          <val>
            <numRef>
              <f>'12 Liquiditeitsprognose'!$AA$29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6" authorId="0" shapeId="0">
      <text>
        <t>Eerste prognosemaand. Alle maandkolommen tellen hiervandaan door via EDATE.</t>
      </text>
    </comment>
    <comment ref="B7" authorId="0" shapeId="0">
      <text>
        <t>Model is gebouwd voor maximaal 24 maanden.</t>
      </text>
    </comment>
    <comment ref="B8" authorId="0" shapeId="0">
      <text>
        <t>Omrekenfactor voor DSO/DPO/DIO naar maandbedragen.</t>
      </text>
    </comment>
    <comment ref="B10" authorId="0" shapeId="0">
      <text>
        <t>Algemeen tarief voor omzet/inkoop/kosten in het BTW-blok.</t>
      </text>
    </comment>
    <comment ref="B11" authorId="0" shapeId="0">
      <text>
        <t>Kwartaal of Maand. Bepaalt het betaalmoment van de BTW.</t>
      </text>
    </comment>
    <comment ref="B12" authorId="0" shapeId="0">
      <text>
        <t>Gewenste minimale kaspositie. Onderschrijding = signaal.</t>
      </text>
    </comment>
    <comment ref="B13" authorId="0" shapeId="0">
      <text>
        <t>Extra gewenste financieringsruimte bovenop de minimumbuffer.</t>
      </text>
    </comment>
    <comment ref="B14" authorId="0" shapeId="0">
      <text>
        <t>Beschikbare liquide middelen aan het begin van maand 1.</t>
      </text>
    </comment>
    <comment ref="B15" authorId="0" shapeId="0">
      <text>
        <t>Referentie-jaaromzet; wordt via seizoenspatroon over de maanden verdeeld.</t>
      </text>
    </comment>
    <comment ref="B16" authorId="0" shapeId="0">
      <text>
        <t>Verwachte brutomarge; scenario kan deze in procentpunten aanpassen.</t>
      </text>
    </comment>
    <comment ref="B17" authorId="0" shapeId="0">
      <text>
        <t>Kies Base / Best / Worst / Custom. Stuurt de hele prognose aan.</t>
      </text>
    </comment>
    <comment ref="B30" authorId="0" shapeId="0">
      <text>
        <t>Maandindex waarin 'Extra investering' als kasuitgave valt.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8" authorId="0" shapeId="0">
      <text>
        <t>Aandeel van de jaaromzet per maand. Pas aan per klant/branche. Twaalf maanden tellen op tot 100%.</t>
      </text>
    </comment>
    <comment ref="B9" authorId="0" shapeId="0">
      <text>
        <t>Niet-operationele ontvangsten.</t>
      </text>
    </comment>
    <comment ref="B10" authorId="0" shapeId="0">
      <text>
        <t>Niet-operationele, incidentele uitgaven.</t>
      </text>
    </comment>
    <comment ref="B11" authorId="0" shapeId="0">
      <text>
        <t>Onttrekkingen aan de onderneming (DGA/aandeelhouder).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D7" authorId="0" shapeId="0">
      <text>
        <t>Debiteuren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B7" authorId="0" shapeId="0">
      <text>
        <t>Bruto lonen; excl. werkgeverslasten en vakantiegeld.</t>
      </text>
    </comment>
    <comment ref="B8" authorId="0" shapeId="0">
      <text>
        <t>Sociale lasten, pensioen etc. als opslag op de loonsom.</t>
      </text>
    </comment>
    <comment ref="B9" authorId="0" shapeId="0">
      <text>
        <t>8% over jaarloon, betaald in mei (maand 5 en 17).</t>
      </text>
    </comment>
    <comment ref="B10" authorId="0" shapeId="0">
      <text>
        <t>Extra scenario-opslag op alle personeelskosten (bv. +10%).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B11" authorId="0" shapeId="0">
      <text>
        <t>Nieuwe lening of extra opname in die maand.</t>
      </text>
    </comment>
  </commentList>
</comments>
</file>

<file path=xl/comments/comment6.xml><?xml version="1.0" encoding="utf-8"?>
<comments xmlns="http://schemas.openxmlformats.org/spreadsheetml/2006/main">
  <authors>
    <author>Model</author>
  </authors>
  <commentList>
    <comment ref="B11" authorId="0" shapeId="0">
      <text>
        <t>Kwartaal: som van 3 mnd betaald in maand na kwartaal. Maand: vorige maand.</t>
      </text>
    </comment>
    <comment ref="B13" authorId="0" shapeId="0">
      <text>
        <t>Ter informatie: loonheffing is onderdeel van de personeelskas-uit (07) en wordt hier NIET nogmaals als uitgave meegeteld, om dubbeltelling te voorkomen.</t>
      </text>
    </comment>
    <comment ref="B14" authorId="0" shapeId="0">
      <text>
        <t>Vennootschapsbelasting; vereenvoudigd als voorlopige aanslag per kwartaal. Pas aan per klant.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39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54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54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osten" displayName="tblKosten" ref="B8:F17" headerRowCount="1">
  <autoFilter ref="B8:F17"/>
  <tableColumns count="5">
    <tableColumn id="2" name="Categorie"/>
    <tableColumn id="3" name="Type"/>
    <tableColumn id="4" name="Basis/maand"/>
    <tableColumn id="5" name="% omzet"/>
    <tableColumn id="6" name="BTW-plichtig?"/>
  </tableColumns>
  <tableStyleInfo name="TableStyleLight21" showRowStripes="1"/>
</table>
</file>

<file path=xl/tables/table2.xml><?xml version="1.0" encoding="utf-8"?>
<table xmlns="http://schemas.openxmlformats.org/spreadsheetml/2006/main" id="2" name="tblInvest" displayName="tblInvest" ref="B8:F12" headerRowCount="1">
  <autoFilter ref="B8:F12"/>
  <tableColumns count="5">
    <tableColumn id="2" name="Omschrijving"/>
    <tableColumn id="3" name="Categorie"/>
    <tableColumn id="4" name="Maand (1-24)"/>
    <tableColumn id="5" name="Bedrag"/>
    <tableColumn id="6" name="Afschr. jaren"/>
  </tableColumns>
  <tableStyleInfo name="TableStyleLight21" showRowStripes="1"/>
</table>
</file>

<file path=xl/tables/table3.xml><?xml version="1.0" encoding="utf-8"?>
<table xmlns="http://schemas.openxmlformats.org/spreadsheetml/2006/main" id="3" name="tblImport" displayName="tblImport" ref="B7:H10" headerRowCount="1">
  <autoFilter ref="B7:H10"/>
  <tableColumns count="7">
    <tableColumn id="2" name="Datum"/>
    <tableColumn id="3" name="Grootboekrekening"/>
    <tableColumn id="4" name="Omschrijving"/>
    <tableColumn id="5" name="Bedrag"/>
    <tableColumn id="6" name="Debet/Credit"/>
    <tableColumn id="7" name="Categorie"/>
    <tableColumn id="8" name="Periode"/>
  </tableColumns>
  <tableStyleInfo name="TableStyleLight21" showRowStripes="1"/>
</table>
</file>

<file path=xl/tables/table4.xml><?xml version="1.0" encoding="utf-8"?>
<table xmlns="http://schemas.openxmlformats.org/spreadsheetml/2006/main" id="4" name="tblMapping" displayName="tblMapping" ref="B14:D26" headerRowCount="1">
  <autoFilter ref="B14:D26"/>
  <tableColumns count="3">
    <tableColumn id="2" name="Bronrekening / categorie"/>
    <tableColumn id="3" name="Modelcategorie"/>
    <tableColumn id="4" name="Cashflowcategorie"/>
  </tableColumns>
  <tableStyleInfo name="TableStyleLight2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tabColor rgb="001E4620"/>
    <outlinePr summaryBelow="1" summaryRight="1"/>
    <pageSetUpPr/>
  </sheetPr>
  <dimension ref="B2:AA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</cols>
  <sheetData>
    <row r="2" ht="26" customHeight="1">
      <c r="B2" s="1" t="inlineStr">
        <is>
          <t>LIQUIDITEITSDASHBOARD - HANDELSBEDRIJF (FICTIEF)</t>
        </is>
      </c>
    </row>
    <row r="3" ht="15" customHeight="1">
      <c r="B3" s="2" t="inlineStr">
        <is>
          <t>01 Dashboard   ·   Managementoverzicht · 24-maands liquiditeit · KPI's · signalen</t>
        </is>
      </c>
    </row>
    <row r="5">
      <c r="B5" s="3" t="inlineStr">
        <is>
          <t>Huidige liquiditeit</t>
        </is>
      </c>
      <c r="C5" s="4" t="n"/>
      <c r="D5" s="4" t="n"/>
      <c r="E5" s="3" t="inlineStr">
        <is>
          <t>Liquiditeit +12 mnd</t>
        </is>
      </c>
      <c r="F5" s="4" t="n"/>
      <c r="G5" s="4" t="n"/>
      <c r="H5" s="3" t="inlineStr">
        <is>
          <t>Liquiditeit +24 mnd</t>
        </is>
      </c>
      <c r="I5" s="4" t="n"/>
      <c r="J5" s="4" t="n"/>
      <c r="K5" s="5" t="inlineStr">
        <is>
          <t>Minimale liquiditeit</t>
        </is>
      </c>
      <c r="L5" s="4" t="n"/>
      <c r="M5" s="4" t="n"/>
      <c r="N5" s="6" t="inlineStr">
        <is>
          <t>Max. financieringsbehoefte</t>
        </is>
      </c>
      <c r="O5" s="4" t="n"/>
      <c r="P5" s="4" t="n"/>
      <c r="Q5" s="3" t="inlineStr">
        <is>
          <t>Netto cashflow jaar 1</t>
        </is>
      </c>
      <c r="R5" s="4" t="n"/>
      <c r="S5" s="4" t="n"/>
      <c r="T5" s="3" t="inlineStr">
        <is>
          <t>Min. buffer</t>
        </is>
      </c>
      <c r="U5" s="4" t="n"/>
      <c r="V5" s="4" t="n"/>
      <c r="W5" s="3" t="inlineStr">
        <is>
          <t>Omzet jaar 1</t>
        </is>
      </c>
      <c r="X5" s="4" t="n"/>
      <c r="Y5" s="4" t="n"/>
    </row>
    <row r="6">
      <c r="B6" s="7">
        <f>s_bank0</f>
        <v>300000</v>
      </c>
      <c r="C6" s="4" t="n"/>
      <c r="D6" s="4" t="n"/>
      <c r="E6" s="7">
        <f>'12 Liquiditeitsprognose'!P25</f>
        <v>316126.63019390573</v>
      </c>
      <c r="F6" s="4" t="n"/>
      <c r="G6" s="4" t="n"/>
      <c r="H6" s="7">
        <f>'12 Liquiditeitsprognose'!AA25</f>
        <v>233935.61080332403</v>
      </c>
      <c r="I6" s="4" t="n"/>
      <c r="J6" s="4" t="n"/>
      <c r="K6" s="7">
        <f>MIN(liq_end)</f>
        <v>76529.96537396125</v>
      </c>
      <c r="L6" s="4" t="n"/>
      <c r="M6" s="4" t="n"/>
      <c r="N6" s="7">
        <f>MAX(liq_tekort)</f>
        <v>23470.034626038745</v>
      </c>
      <c r="O6" s="4" t="n"/>
      <c r="P6" s="4" t="n"/>
      <c r="Q6" s="7">
        <f>SUM('12 Liquiditeitsprognose'!$D$24:$O$24)</f>
        <v>-105600.38919667603</v>
      </c>
      <c r="R6" s="4" t="n"/>
      <c r="S6" s="4" t="n"/>
      <c r="T6" s="7">
        <f>s_buffer</f>
        <v>100000</v>
      </c>
      <c r="U6" s="4" t="n"/>
      <c r="V6" s="4" t="n"/>
      <c r="W6" s="7">
        <f>SUM('05 Omzet &amp; marge'!$D$8:$O$8)</f>
        <v>5000000.0</v>
      </c>
      <c r="X6" s="4" t="n"/>
      <c r="Y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>
      <c r="B8" s="8" t="inlineStr">
        <is>
          <t>start maand 1</t>
        </is>
      </c>
      <c r="C8" s="4" t="n"/>
      <c r="D8" s="4" t="n"/>
      <c r="E8" s="8" t="inlineStr">
        <is>
          <t>eind maand 12</t>
        </is>
      </c>
      <c r="F8" s="4" t="n"/>
      <c r="G8" s="4" t="n"/>
      <c r="H8" s="8" t="inlineStr">
        <is>
          <t>eind maand 24</t>
        </is>
      </c>
      <c r="I8" s="4" t="n"/>
      <c r="J8" s="4" t="n"/>
      <c r="K8" s="8" t="inlineStr">
        <is>
          <t>laagste punt</t>
        </is>
      </c>
      <c r="L8" s="4" t="n"/>
      <c r="M8" s="4" t="n"/>
      <c r="N8" s="8" t="inlineStr">
        <is>
          <t>t.o.v. buffer</t>
        </is>
      </c>
      <c r="O8" s="4" t="n"/>
      <c r="P8" s="4" t="n"/>
      <c r="Q8" s="8" t="inlineStr">
        <is>
          <t>12 mnd</t>
        </is>
      </c>
      <c r="R8" s="4" t="n"/>
      <c r="S8" s="4" t="n"/>
      <c r="T8" s="8" t="inlineStr">
        <is>
          <t>gewenst</t>
        </is>
      </c>
      <c r="U8" s="4" t="n"/>
      <c r="V8" s="4" t="n"/>
      <c r="W8" s="8" t="inlineStr">
        <is>
          <t>excl. BTW</t>
        </is>
      </c>
      <c r="X8" s="4" t="n"/>
      <c r="Y8" s="4" t="n"/>
    </row>
    <row r="10">
      <c r="B10" s="9" t="inlineStr">
        <is>
          <t>Brutomarge</t>
        </is>
      </c>
      <c r="C10" s="4" t="n"/>
      <c r="D10" s="4" t="n"/>
      <c r="E10" s="9" t="inlineStr">
        <is>
          <t>DSO</t>
        </is>
      </c>
      <c r="F10" s="4" t="n"/>
      <c r="G10" s="4" t="n"/>
      <c r="H10" s="9" t="inlineStr">
        <is>
          <t>DPO</t>
        </is>
      </c>
      <c r="I10" s="4" t="n"/>
      <c r="J10" s="4" t="n"/>
      <c r="K10" s="9" t="inlineStr">
        <is>
          <t>DIO</t>
        </is>
      </c>
      <c r="L10" s="4" t="n"/>
      <c r="M10" s="4" t="n"/>
      <c r="N10" s="9" t="inlineStr">
        <is>
          <t>Cash Conversion Cycle</t>
        </is>
      </c>
      <c r="O10" s="4" t="n"/>
      <c r="P10" s="4" t="n"/>
      <c r="Q10" s="9" t="inlineStr">
        <is>
          <t>Pers.kosten / omzet</t>
        </is>
      </c>
      <c r="R10" s="4" t="n"/>
      <c r="S10" s="4" t="n"/>
      <c r="T10" s="9" t="inlineStr">
        <is>
          <t>Voorraad / omzet</t>
        </is>
      </c>
      <c r="U10" s="4" t="n"/>
      <c r="V10" s="4" t="n"/>
      <c r="W10" s="9" t="inlineStr">
        <is>
          <t>Actief scenario</t>
        </is>
      </c>
      <c r="X10" s="4" t="n"/>
      <c r="Y10" s="4" t="n"/>
    </row>
    <row r="11">
      <c r="B11" s="10">
        <f>s_margin+p_marge_adj</f>
        <v>0.28</v>
      </c>
      <c r="C11" s="4" t="n"/>
      <c r="D11" s="4" t="n"/>
      <c r="E11" s="11">
        <f>p_dso</f>
        <v>45</v>
      </c>
      <c r="F11" s="4" t="n"/>
      <c r="G11" s="4" t="n"/>
      <c r="H11" s="11">
        <f>p_dpo</f>
        <v>40</v>
      </c>
      <c r="I11" s="4" t="n"/>
      <c r="J11" s="4" t="n"/>
      <c r="K11" s="11">
        <f>p_dio</f>
        <v>55</v>
      </c>
      <c r="L11" s="4" t="n"/>
      <c r="M11" s="4" t="n"/>
      <c r="N11" s="11">
        <f>p_dio+p_dso-p_dpo</f>
        <v>60.0</v>
      </c>
      <c r="O11" s="4" t="n"/>
      <c r="P11" s="4" t="n"/>
      <c r="Q11" s="10">
        <f>SUM('07 Personeel'!$D$13:$O$13)/SUM('05 Omzet &amp; marge'!$D$8:$O$8)</f>
        <v>0.13056</v>
      </c>
      <c r="R11" s="4" t="n"/>
      <c r="S11" s="4" t="n"/>
      <c r="T11" s="10">
        <f>('06 Werkkapitaal'!O10)/SUM('05 Omzet &amp; marge'!$D$8:$O$8)</f>
        <v>0.11723684210526317</v>
      </c>
      <c r="U11" s="4" t="n"/>
      <c r="V11" s="4" t="n"/>
      <c r="W11" s="12" t="str">
        <f>s_scenario</f>
        <v>Base</v>
      </c>
      <c r="X11" s="4" t="n"/>
      <c r="Y11" s="4" t="n"/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B13" s="8" t="inlineStr">
        <is>
          <t>effectief</t>
        </is>
      </c>
      <c r="C13" s="4" t="n"/>
      <c r="D13" s="4" t="n"/>
      <c r="E13" s="8" t="inlineStr">
        <is>
          <t>debiteuren</t>
        </is>
      </c>
      <c r="F13" s="4" t="n"/>
      <c r="G13" s="4" t="n"/>
      <c r="H13" s="8" t="inlineStr">
        <is>
          <t>crediteuren</t>
        </is>
      </c>
      <c r="I13" s="4" t="n"/>
      <c r="J13" s="4" t="n"/>
      <c r="K13" s="8" t="inlineStr">
        <is>
          <t>voorraad</t>
        </is>
      </c>
      <c r="L13" s="4" t="n"/>
      <c r="M13" s="4" t="n"/>
      <c r="N13" s="8" t="inlineStr">
        <is>
          <t>DIO+DSO-DPO</t>
        </is>
      </c>
      <c r="O13" s="4" t="n"/>
      <c r="P13" s="4" t="n"/>
      <c r="Q13" s="8" t="inlineStr">
        <is>
          <t>jaar 1</t>
        </is>
      </c>
      <c r="R13" s="4" t="n"/>
      <c r="S13" s="4" t="n"/>
      <c r="T13" s="8" t="inlineStr">
        <is>
          <t>jaar 1</t>
        </is>
      </c>
      <c r="U13" s="4" t="n"/>
      <c r="V13" s="4" t="n"/>
      <c r="W13" s="8" t="inlineStr">
        <is>
          <t>gekozen</t>
        </is>
      </c>
      <c r="X13" s="4" t="n"/>
      <c r="Y13" s="4" t="n"/>
    </row>
    <row r="15" ht="18" customHeight="1">
      <c r="B15" s="13" t="inlineStr">
        <is>
          <t>BELANGRIJKSTE SIGNALEN (dynamisch)</t>
        </is>
      </c>
    </row>
    <row r="16">
      <c r="B16" s="14" t="str">
        <f>"• Laagste liquiditeit: "&amp;TEXT(MIN(liq_end),"€ #,##0")&amp;" in "&amp;TEXT(INDEX('12 Liquiditeitsprognose'!$D$5:$AA$5,MATCH(MIN(liq_end),liq_end,0)),"mmm-yyyy")&amp;"."</f>
        <v>• Laagste liquiditeit: € 76,530 in Jan-2026.</v>
      </c>
    </row>
    <row r="17">
      <c r="B17" s="14" t="str">
        <f>IF(MIN(liq_end)&lt;s_buffer,"• Dit ligt "&amp;TEXT(s_buffer-MIN(liq_end),"€ #,##0")&amp;" ONDER de gewenste buffer van "&amp;TEXT(s_buffer,"€ #,##0")&amp;".","• De liquiditeit blijft in alle maanden boven de gewenste buffer.")</f>
        <v>• Dit ligt € 23,470 ONDER de gewenste buffer van € 100,000.</v>
      </c>
    </row>
    <row r="18">
      <c r="B18" s="14" t="str">
        <f>"• Maximale financieringsbehoefte: "&amp;TEXT(MAX(liq_tekort),"€ #,##0")&amp;"."</f>
        <v>• Maximale financieringsbehoefte: € 23,470.</v>
      </c>
    </row>
    <row r="19">
      <c r="B19" s="14" t="str">
        <f>"• Cash Conversion Cycle: "&amp;TEXT(p_dio+p_dso-p_dpo,"0")&amp;" dagen (DIO "&amp;TEXT(p_dio,"0")&amp;" + DSO "&amp;TEXT(p_dso,"0")&amp;" - DPO "&amp;TEXT(p_dpo,"0")&amp;")."</f>
        <v>• Cash Conversion Cycle: 60 dagen (DIO 55 + DSO 45 - DPO 40).</v>
      </c>
    </row>
    <row r="20">
      <c r="B20" s="14" t="str">
        <f>"• Aantal maanden onder buffer: "&amp;TEXT(COUNTIF(liq_end,"&lt;"&amp;s_buffer),"0")&amp;" van 24."</f>
        <v>• Aantal maanden onder buffer: 1 van 24.</v>
      </c>
    </row>
    <row r="21">
      <c r="B21" s="14" t="str">
        <f>IF(MAX(liq_tekort)&gt;0,"• Advies: onderzoek voorraadafbouw, snellere debiteureninning en/of extra financiering om het tekort te dichten.","• Advies: liquiditeit is toereikend; monitor werkkapitaal en seizoenspieken.")</f>
        <v>• Advies: onderzoek voorraadafbouw, snellere debiteureninning en/of extra financiering om het tekort te dichten.</v>
      </c>
    </row>
    <row r="23" ht="22" customHeight="1">
      <c r="B23" s="15" t="str">
        <f>ctrl_status</f>
        <v>✅ MODEL OK - alle controles geslaagd</v>
      </c>
    </row>
  </sheetData>
  <mergeCells count="58">
    <mergeCell ref="N6:P7"/>
    <mergeCell ref="T6:V7"/>
    <mergeCell ref="E10:G10"/>
    <mergeCell ref="Q5:S5"/>
    <mergeCell ref="E13:G13"/>
    <mergeCell ref="N11:P12"/>
    <mergeCell ref="Q10:S10"/>
    <mergeCell ref="B8:D8"/>
    <mergeCell ref="N5:P5"/>
    <mergeCell ref="B13:D13"/>
    <mergeCell ref="N8:P8"/>
    <mergeCell ref="B16:AA16"/>
    <mergeCell ref="B15:AA15"/>
    <mergeCell ref="B3:AA3"/>
    <mergeCell ref="K6:M7"/>
    <mergeCell ref="B10:D10"/>
    <mergeCell ref="K8:M8"/>
    <mergeCell ref="W6:Y7"/>
    <mergeCell ref="N10:P10"/>
    <mergeCell ref="B18:AA18"/>
    <mergeCell ref="H13:J13"/>
    <mergeCell ref="N13:P13"/>
    <mergeCell ref="B21:AA21"/>
    <mergeCell ref="T8:V8"/>
    <mergeCell ref="T13:V13"/>
    <mergeCell ref="B2:AA2"/>
    <mergeCell ref="W8:Y8"/>
    <mergeCell ref="H6:J7"/>
    <mergeCell ref="B23:AA23"/>
    <mergeCell ref="B5:D5"/>
    <mergeCell ref="B11:D12"/>
    <mergeCell ref="H11:J12"/>
    <mergeCell ref="K10:M10"/>
    <mergeCell ref="B17:AA17"/>
    <mergeCell ref="K13:M13"/>
    <mergeCell ref="H5:J5"/>
    <mergeCell ref="H8:J8"/>
    <mergeCell ref="K11:M12"/>
    <mergeCell ref="Q13:S13"/>
    <mergeCell ref="W13:Y13"/>
    <mergeCell ref="B20:AA20"/>
    <mergeCell ref="B19:AA19"/>
    <mergeCell ref="E6:G7"/>
    <mergeCell ref="Q6:S7"/>
    <mergeCell ref="W10:Y10"/>
    <mergeCell ref="H10:J10"/>
    <mergeCell ref="B6:D7"/>
    <mergeCell ref="T5:V5"/>
    <mergeCell ref="E5:G5"/>
    <mergeCell ref="K5:M5"/>
    <mergeCell ref="E11:G12"/>
    <mergeCell ref="W5:Y5"/>
    <mergeCell ref="E8:G8"/>
    <mergeCell ref="W11:Y12"/>
    <mergeCell ref="Q8:S8"/>
    <mergeCell ref="T11:V12"/>
    <mergeCell ref="Q11:S12"/>
    <mergeCell ref="T10:V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4620"/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6" customHeight="1">
      <c r="B2" s="1" t="inlineStr">
        <is>
          <t>INSTELLINGEN &amp; PARAMETERS</t>
        </is>
      </c>
    </row>
    <row r="3" ht="15" customHeight="1">
      <c r="B3" s="2" t="inlineStr">
        <is>
          <t>02 Instellingen   ·   Centrale aannames · scenariomatrix · geldt voor het hele model</t>
        </is>
      </c>
    </row>
    <row r="5" ht="18" customHeight="1">
      <c r="B5" s="16" t="inlineStr">
        <is>
          <t>ALGEMENE INSTELLINGEN  (geel = invoer)</t>
        </is>
      </c>
    </row>
    <row r="6">
      <c r="B6" s="17" t="inlineStr">
        <is>
          <t>Startdatum prognose</t>
        </is>
      </c>
      <c r="C6" s="18" t="n">
        <v>46023</v>
      </c>
    </row>
    <row r="7">
      <c r="B7" s="17" t="inlineStr">
        <is>
          <t>Prognoseperiode</t>
        </is>
      </c>
      <c r="C7" s="19" t="n">
        <v>24</v>
      </c>
    </row>
    <row r="8">
      <c r="B8" s="17" t="inlineStr">
        <is>
          <t>Dagen per maand (365/12)</t>
        </is>
      </c>
      <c r="C8" s="20" t="n">
        <v>30.4</v>
      </c>
    </row>
    <row r="9">
      <c r="B9" s="17" t="inlineStr">
        <is>
          <t>Valuta</t>
        </is>
      </c>
      <c r="C9" s="21" t="inlineStr">
        <is>
          <t>EUR</t>
        </is>
      </c>
    </row>
    <row r="10">
      <c r="B10" s="17" t="inlineStr">
        <is>
          <t>BTW-tarief (hoog)</t>
        </is>
      </c>
      <c r="C10" s="22" t="n">
        <v>0.21</v>
      </c>
    </row>
    <row r="11">
      <c r="B11" s="17" t="inlineStr">
        <is>
          <t>BTW-aangifte</t>
        </is>
      </c>
      <c r="C11" s="21" t="inlineStr">
        <is>
          <t>Kwartaal</t>
        </is>
      </c>
    </row>
    <row r="12">
      <c r="B12" s="17" t="inlineStr">
        <is>
          <t>Min. liquiditeitsbuffer</t>
        </is>
      </c>
      <c r="C12" s="23" t="n">
        <v>100000</v>
      </c>
    </row>
    <row r="13">
      <c r="B13" s="17" t="inlineStr">
        <is>
          <t>Gewenste financieringsbuffer</t>
        </is>
      </c>
      <c r="C13" s="23" t="n">
        <v>150000</v>
      </c>
    </row>
    <row r="14">
      <c r="B14" s="17" t="inlineStr">
        <is>
          <t>Openingssaldo bank (maand 1)</t>
        </is>
      </c>
      <c r="C14" s="23" t="n">
        <v>300000</v>
      </c>
    </row>
    <row r="15">
      <c r="B15" s="17" t="inlineStr">
        <is>
          <t>Basis jaaromzet</t>
        </is>
      </c>
      <c r="C15" s="23" t="n">
        <v>5000000</v>
      </c>
    </row>
    <row r="16">
      <c r="B16" s="17" t="inlineStr">
        <is>
          <t>Basis brutomarge</t>
        </is>
      </c>
      <c r="C16" s="22" t="n">
        <v>0.28</v>
      </c>
    </row>
    <row r="17">
      <c r="B17" s="17" t="inlineStr">
        <is>
          <t>Actief scenario</t>
        </is>
      </c>
      <c r="C17" s="21" t="inlineStr">
        <is>
          <t>Base</t>
        </is>
      </c>
    </row>
    <row r="19" ht="18" customHeight="1">
      <c r="B19" s="16" t="inlineStr">
        <is>
          <t>SCENARIOMATRIX  (kolom Actief wordt automatisch gekozen o.b.v. 'Actief scenario')</t>
        </is>
      </c>
    </row>
    <row r="20">
      <c r="B20" s="24" t="inlineStr">
        <is>
          <t>Parameter</t>
        </is>
      </c>
      <c r="C20" s="24" t="inlineStr">
        <is>
          <t>Eenheid</t>
        </is>
      </c>
      <c r="D20" s="24" t="inlineStr">
        <is>
          <t>Base</t>
        </is>
      </c>
      <c r="E20" s="24" t="inlineStr">
        <is>
          <t>Best</t>
        </is>
      </c>
      <c r="F20" s="24" t="inlineStr">
        <is>
          <t>Worst</t>
        </is>
      </c>
      <c r="G20" s="24" t="inlineStr">
        <is>
          <t>Custom</t>
        </is>
      </c>
      <c r="H20" s="24" t="inlineStr">
        <is>
          <t>Actief</t>
        </is>
      </c>
    </row>
    <row r="21">
      <c r="B21" s="17" t="inlineStr">
        <is>
          <t>Omzetgroei (Δ t.o.v. basis)</t>
        </is>
      </c>
      <c r="C21" s="25" t="inlineStr">
        <is>
          <t>%</t>
        </is>
      </c>
      <c r="D21" s="26" t="n">
        <v>0</v>
      </c>
      <c r="E21" s="26" t="n">
        <v>0.1</v>
      </c>
      <c r="F21" s="26" t="n">
        <v>-0.1</v>
      </c>
      <c r="G21" s="27" t="n">
        <v>0</v>
      </c>
      <c r="H21" s="28">
        <f>INDEX($D$21:$G$21,MATCH(s_scenario,$D$20:$G$20,0))</f>
        <v>0</v>
      </c>
    </row>
    <row r="22">
      <c r="B22" s="17" t="inlineStr">
        <is>
          <t>Marge-aanpassing</t>
        </is>
      </c>
      <c r="C22" s="25" t="inlineStr">
        <is>
          <t>%</t>
        </is>
      </c>
      <c r="D22" s="26" t="n">
        <v>0</v>
      </c>
      <c r="E22" s="26" t="n">
        <v>0.02</v>
      </c>
      <c r="F22" s="26" t="n">
        <v>-0.03</v>
      </c>
      <c r="G22" s="27" t="n">
        <v>0</v>
      </c>
      <c r="H22" s="28">
        <f>INDEX($D$22:$G$22,MATCH(s_scenario,$D$20:$G$20,0))</f>
        <v>0</v>
      </c>
    </row>
    <row r="23">
      <c r="B23" s="17" t="inlineStr">
        <is>
          <t>DSO - debiteurentermijn</t>
        </is>
      </c>
      <c r="C23" s="25" t="inlineStr">
        <is>
          <t>dagen</t>
        </is>
      </c>
      <c r="D23" s="29" t="n">
        <v>45</v>
      </c>
      <c r="E23" s="29" t="n">
        <v>38</v>
      </c>
      <c r="F23" s="29" t="n">
        <v>60</v>
      </c>
      <c r="G23" s="30" t="n">
        <v>45</v>
      </c>
      <c r="H23" s="31">
        <f>INDEX($D$23:$G$23,MATCH(s_scenario,$D$20:$G$20,0))</f>
        <v>45</v>
      </c>
    </row>
    <row r="24">
      <c r="B24" s="17" t="inlineStr">
        <is>
          <t>DPO - crediteurentermijn</t>
        </is>
      </c>
      <c r="C24" s="25" t="inlineStr">
        <is>
          <t>dagen</t>
        </is>
      </c>
      <c r="D24" s="29" t="n">
        <v>40</v>
      </c>
      <c r="E24" s="29" t="n">
        <v>45</v>
      </c>
      <c r="F24" s="29" t="n">
        <v>30</v>
      </c>
      <c r="G24" s="30" t="n">
        <v>40</v>
      </c>
      <c r="H24" s="31">
        <f>INDEX($D$24:$G$24,MATCH(s_scenario,$D$20:$G$20,0))</f>
        <v>40</v>
      </c>
    </row>
    <row r="25">
      <c r="B25" s="17" t="inlineStr">
        <is>
          <t>DIO - voorraaddagen</t>
        </is>
      </c>
      <c r="C25" s="25" t="inlineStr">
        <is>
          <t>dagen</t>
        </is>
      </c>
      <c r="D25" s="29" t="n">
        <v>55</v>
      </c>
      <c r="E25" s="29" t="n">
        <v>45</v>
      </c>
      <c r="F25" s="29" t="n">
        <v>75</v>
      </c>
      <c r="G25" s="30" t="n">
        <v>55</v>
      </c>
      <c r="H25" s="31">
        <f>INDEX($D$25:$G$25,MATCH(s_scenario,$D$20:$G$20,0))</f>
        <v>55</v>
      </c>
    </row>
    <row r="26">
      <c r="B26" s="17" t="inlineStr">
        <is>
          <t>Kostengroei (overige+pers.)</t>
        </is>
      </c>
      <c r="C26" s="25" t="inlineStr">
        <is>
          <t>%</t>
        </is>
      </c>
      <c r="D26" s="26" t="n">
        <v>0</v>
      </c>
      <c r="E26" s="26" t="n">
        <v>-0.02</v>
      </c>
      <c r="F26" s="26" t="n">
        <v>0.05</v>
      </c>
      <c r="G26" s="27" t="n">
        <v>0</v>
      </c>
      <c r="H26" s="28">
        <f>INDEX($D$26:$G$26,MATCH(s_scenario,$D$20:$G$20,0))</f>
        <v>0</v>
      </c>
    </row>
    <row r="27">
      <c r="B27" s="17" t="inlineStr">
        <is>
          <t>Rente financiering</t>
        </is>
      </c>
      <c r="C27" s="25" t="inlineStr">
        <is>
          <t>%</t>
        </is>
      </c>
      <c r="D27" s="26" t="n">
        <v>0.06</v>
      </c>
      <c r="E27" s="26" t="n">
        <v>0.05</v>
      </c>
      <c r="F27" s="26" t="n">
        <v>0.08</v>
      </c>
      <c r="G27" s="27" t="n">
        <v>0.06</v>
      </c>
      <c r="H27" s="28">
        <f>INDEX($D$27:$G$27,MATCH(s_scenario,$D$20:$G$20,0))</f>
        <v>0.06</v>
      </c>
    </row>
    <row r="28">
      <c r="B28" s="17" t="inlineStr">
        <is>
          <t>Extra investering (eenmalig)</t>
        </is>
      </c>
      <c r="C28" s="25" t="inlineStr">
        <is>
          <t>€</t>
        </is>
      </c>
      <c r="D28" s="32" t="n">
        <v>0</v>
      </c>
      <c r="E28" s="32" t="n">
        <v>0</v>
      </c>
      <c r="F28" s="32" t="n">
        <v>200000</v>
      </c>
      <c r="G28" s="33" t="n">
        <v>0</v>
      </c>
      <c r="H28" s="34">
        <f>INDEX($D$28:$G$28,MATCH(s_scenario,$D$20:$G$20,0))</f>
        <v>0</v>
      </c>
    </row>
    <row r="30">
      <c r="B30" s="17" t="inlineStr">
        <is>
          <t>Maand extra investering (1-24)</t>
        </is>
      </c>
      <c r="C30" s="35" t="n">
        <v>12</v>
      </c>
    </row>
  </sheetData>
  <mergeCells count="4">
    <mergeCell ref="B3:H3"/>
    <mergeCell ref="B5:H5"/>
    <mergeCell ref="B2:H2"/>
    <mergeCell ref="B19:H19"/>
  </mergeCells>
  <dataValidations count="2">
    <dataValidation sqref="C17" showDropDown="0" showInputMessage="0" showErrorMessage="0" allowBlank="0" type="list">
      <formula1>"Base,Best,Worst,Custom"</formula1>
    </dataValidation>
    <dataValidation sqref="C11" showDropDown="0" showInputMessage="0" showErrorMessage="0" allowBlank="0" type="list">
      <formula1>"Kwartaal,Maand"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C9A2A"/>
    <outlinePr summaryBelow="1" summaryRight="1"/>
    <pageSetUpPr/>
  </sheetPr>
  <dimension ref="B2:P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30" customWidth="1" min="5" max="5"/>
  </cols>
  <sheetData>
    <row r="2" ht="26" customHeight="1">
      <c r="B2" s="1" t="inlineStr">
        <is>
          <t>HISTORISCHE CIJFERS</t>
        </is>
      </c>
    </row>
    <row r="3" ht="15" customHeight="1">
      <c r="B3" s="2" t="inlineStr">
        <is>
          <t>03 Historie   ·   Vorig boekjaar, huidig boekjaar YTD · basis voor trends, seizoen en startposities</t>
        </is>
      </c>
    </row>
    <row r="5" ht="18" customHeight="1">
      <c r="B5" s="16" t="inlineStr">
        <is>
          <t>WINST- &amp; VERLIESREKENING (jaarbasis, fictief)</t>
        </is>
      </c>
    </row>
    <row r="6">
      <c r="B6" s="24" t="inlineStr">
        <is>
          <t>Post</t>
        </is>
      </c>
      <c r="C6" s="24" t="inlineStr">
        <is>
          <t>Vorig jaar</t>
        </is>
      </c>
      <c r="D6" s="24" t="inlineStr">
        <is>
          <t>Huidig jaar (verw.)</t>
        </is>
      </c>
      <c r="E6" s="24" t="inlineStr">
        <is>
          <t>Bron</t>
        </is>
      </c>
    </row>
    <row r="7">
      <c r="B7" s="17" t="inlineStr">
        <is>
          <t>Omzet</t>
        </is>
      </c>
      <c r="C7" s="36" t="n">
        <v>4650000</v>
      </c>
      <c r="D7" s="36" t="n">
        <v>5000000</v>
      </c>
      <c r="E7" s="37" t="inlineStr">
        <is>
          <t>Jaarrekening</t>
        </is>
      </c>
    </row>
    <row r="8">
      <c r="B8" s="17" t="inlineStr">
        <is>
          <t>Inkoopwaarde omzet</t>
        </is>
      </c>
      <c r="C8" s="36" t="n">
        <v>3348000</v>
      </c>
      <c r="D8" s="36" t="n">
        <v>3600000</v>
      </c>
      <c r="E8" s="37" t="inlineStr">
        <is>
          <t>Jaarrekening</t>
        </is>
      </c>
    </row>
    <row r="9">
      <c r="B9" s="38" t="inlineStr">
        <is>
          <t>Brutomarge</t>
        </is>
      </c>
      <c r="C9" s="39">
        <f>C7-C8</f>
        <v>1302000.0</v>
      </c>
      <c r="D9" s="39">
        <f>D7-D8</f>
        <v>1400000.0</v>
      </c>
      <c r="E9" s="37" t="inlineStr">
        <is>
          <t>Berekend</t>
        </is>
      </c>
    </row>
    <row r="10">
      <c r="B10" s="17" t="inlineStr">
        <is>
          <t>Personeelskosten</t>
        </is>
      </c>
      <c r="C10" s="36" t="n">
        <v>700000</v>
      </c>
      <c r="D10" s="36" t="n">
        <v>750000</v>
      </c>
      <c r="E10" s="37" t="inlineStr">
        <is>
          <t>Jaarrekening</t>
        </is>
      </c>
    </row>
    <row r="11">
      <c r="B11" s="17" t="inlineStr">
        <is>
          <t>Huisvesting</t>
        </is>
      </c>
      <c r="C11" s="36" t="n">
        <v>120000</v>
      </c>
      <c r="D11" s="36" t="n">
        <v>125000</v>
      </c>
      <c r="E11" s="37" t="inlineStr">
        <is>
          <t>Jaarrekening</t>
        </is>
      </c>
    </row>
    <row r="12">
      <c r="B12" s="17" t="inlineStr">
        <is>
          <t>Overige bedrijfskosten</t>
        </is>
      </c>
      <c r="C12" s="36" t="n">
        <v>430000</v>
      </c>
      <c r="D12" s="36" t="n">
        <v>455000</v>
      </c>
      <c r="E12" s="37" t="inlineStr">
        <is>
          <t>Jaarrekening</t>
        </is>
      </c>
    </row>
    <row r="13">
      <c r="B13" s="17" t="inlineStr">
        <is>
          <t>Afschrijvingen</t>
        </is>
      </c>
      <c r="C13" s="36" t="n">
        <v>95000</v>
      </c>
      <c r="D13" s="36" t="n">
        <v>100000</v>
      </c>
      <c r="E13" s="37" t="inlineStr">
        <is>
          <t>Jaarrekening</t>
        </is>
      </c>
    </row>
    <row r="14">
      <c r="B14" s="17" t="inlineStr">
        <is>
          <t>Rente</t>
        </is>
      </c>
      <c r="C14" s="36" t="n">
        <v>55000</v>
      </c>
      <c r="D14" s="36" t="n">
        <v>60000</v>
      </c>
      <c r="E14" s="37" t="inlineStr">
        <is>
          <t>Jaarrekening</t>
        </is>
      </c>
    </row>
    <row r="15">
      <c r="B15" s="38" t="inlineStr">
        <is>
          <t>Resultaat voor belasting</t>
        </is>
      </c>
      <c r="C15" s="39">
        <f>C9-C10-C11-C12-C13-C14</f>
        <v>-98000.0</v>
      </c>
      <c r="D15" s="39">
        <f>D9-D10-D11-D12-D13-D14</f>
        <v>-90000.0</v>
      </c>
      <c r="E15" s="37" t="inlineStr">
        <is>
          <t>Berekend</t>
        </is>
      </c>
    </row>
    <row r="16">
      <c r="B16" s="38" t="inlineStr">
        <is>
          <t>Brutomarge %</t>
        </is>
      </c>
      <c r="C16" s="40">
        <f>IFERROR(C9/C7,0)</f>
        <v>0.28</v>
      </c>
      <c r="D16" s="40">
        <f>IFERROR(D9/D7,0)</f>
        <v>0.28</v>
      </c>
    </row>
    <row r="18" ht="18" customHeight="1">
      <c r="B18" s="16" t="inlineStr">
        <is>
          <t>BALANS - STARTPOSITIES (fictief, per begin prognose)</t>
        </is>
      </c>
    </row>
    <row r="19">
      <c r="B19" s="24" t="inlineStr">
        <is>
          <t>Post</t>
        </is>
      </c>
      <c r="C19" s="24" t="inlineStr">
        <is>
          <t>Bedrag</t>
        </is>
      </c>
      <c r="D19" s="24" t="inlineStr">
        <is>
          <t>Toelichting</t>
        </is>
      </c>
    </row>
    <row r="20">
      <c r="B20" s="17" t="inlineStr">
        <is>
          <t>Liquide middelen</t>
        </is>
      </c>
      <c r="C20" s="41" t="n">
        <v>300000</v>
      </c>
      <c r="D20" s="37" t="inlineStr">
        <is>
          <t>Start bank (zie Instellingen C14)</t>
        </is>
      </c>
    </row>
    <row r="21">
      <c r="B21" s="17" t="inlineStr">
        <is>
          <t>Debiteuren</t>
        </is>
      </c>
      <c r="C21" s="41" t="n">
        <v>600000</v>
      </c>
      <c r="D21" s="37" t="inlineStr">
        <is>
          <t>Openingsstand debiteuren</t>
        </is>
      </c>
    </row>
    <row r="22">
      <c r="B22" s="17" t="inlineStr">
        <is>
          <t>Voorraad</t>
        </is>
      </c>
      <c r="C22" s="41" t="n">
        <v>750000</v>
      </c>
      <c r="D22" s="37" t="inlineStr">
        <is>
          <t>Openingsstand voorraad (kostprijs)</t>
        </is>
      </c>
    </row>
    <row r="23">
      <c r="B23" s="17" t="inlineStr">
        <is>
          <t>Crediteuren</t>
        </is>
      </c>
      <c r="C23" s="41" t="n">
        <v>500000</v>
      </c>
      <c r="D23" s="37" t="inlineStr">
        <is>
          <t>Openingsstand crediteuren</t>
        </is>
      </c>
    </row>
    <row r="24">
      <c r="B24" s="17" t="inlineStr">
        <is>
          <t>Belastingschulden</t>
        </is>
      </c>
      <c r="C24" s="41" t="n">
        <v>120000</v>
      </c>
      <c r="D24" s="37" t="inlineStr">
        <is>
          <t>BTW/loonheffing openstaand</t>
        </is>
      </c>
    </row>
    <row r="25">
      <c r="B25" s="17" t="inlineStr">
        <is>
          <t>Banklening</t>
        </is>
      </c>
      <c r="C25" s="41" t="n">
        <v>900000</v>
      </c>
      <c r="D25" s="37" t="inlineStr">
        <is>
          <t>Langlopende lening</t>
        </is>
      </c>
    </row>
    <row r="26">
      <c r="B26" s="17" t="inlineStr">
        <is>
          <t>Rekening-courant krediet (limiet)</t>
        </is>
      </c>
      <c r="C26" s="41" t="n">
        <v>500000</v>
      </c>
      <c r="D26" s="37" t="inlineStr">
        <is>
          <t>RC-faciliteit bij bank</t>
        </is>
      </c>
    </row>
    <row r="27">
      <c r="B27" s="17" t="inlineStr">
        <is>
          <t>Eigen vermogen</t>
        </is>
      </c>
      <c r="C27" s="41" t="n">
        <v>1200000</v>
      </c>
      <c r="D27" s="37" t="inlineStr">
        <is>
          <t>Balanspost</t>
        </is>
      </c>
    </row>
  </sheetData>
  <mergeCells count="4">
    <mergeCell ref="B3:P3"/>
    <mergeCell ref="B18:F18"/>
    <mergeCell ref="B2:P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B2:AA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INPUT PROGNOSE - AANNAMES 24 MAANDEN</t>
        </is>
      </c>
    </row>
    <row r="3" ht="15" customHeight="1">
      <c r="B3" s="2" t="inlineStr">
        <is>
          <t>04 Input prognose   ·   Seizoenspatroon omzet · overige ontvangsten/uitgaven · privé/dividend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8">
      <c r="B8" s="38" t="inlineStr">
        <is>
          <t>Seizoensgewicht omzet (som 12 mnd = 100%)</t>
        </is>
      </c>
      <c r="C8" s="25" t="inlineStr">
        <is>
          <t>%</t>
        </is>
      </c>
      <c r="D8" s="46" t="n">
        <v>0.07000000000000001</v>
      </c>
      <c r="E8" s="46" t="n">
        <v>0.07000000000000001</v>
      </c>
      <c r="F8" s="46" t="n">
        <v>0.08500000000000001</v>
      </c>
      <c r="G8" s="46" t="n">
        <v>0.08500000000000001</v>
      </c>
      <c r="H8" s="46" t="n">
        <v>0.09</v>
      </c>
      <c r="I8" s="46" t="n">
        <v>0.08500000000000001</v>
      </c>
      <c r="J8" s="46" t="n">
        <v>0.07000000000000001</v>
      </c>
      <c r="K8" s="46" t="n">
        <v>0.06</v>
      </c>
      <c r="L8" s="46" t="n">
        <v>0.09</v>
      </c>
      <c r="M8" s="46" t="n">
        <v>0.1</v>
      </c>
      <c r="N8" s="46" t="n">
        <v>0.105</v>
      </c>
      <c r="O8" s="46" t="n">
        <v>0.09</v>
      </c>
      <c r="P8" s="46" t="n">
        <v>0.07000000000000001</v>
      </c>
      <c r="Q8" s="46" t="n">
        <v>0.07000000000000001</v>
      </c>
      <c r="R8" s="46" t="n">
        <v>0.08500000000000001</v>
      </c>
      <c r="S8" s="46" t="n">
        <v>0.08500000000000001</v>
      </c>
      <c r="T8" s="46" t="n">
        <v>0.09</v>
      </c>
      <c r="U8" s="46" t="n">
        <v>0.08500000000000001</v>
      </c>
      <c r="V8" s="46" t="n">
        <v>0.07000000000000001</v>
      </c>
      <c r="W8" s="46" t="n">
        <v>0.06</v>
      </c>
      <c r="X8" s="46" t="n">
        <v>0.09</v>
      </c>
      <c r="Y8" s="46" t="n">
        <v>0.1</v>
      </c>
      <c r="Z8" s="46" t="n">
        <v>0.105</v>
      </c>
      <c r="AA8" s="46" t="n">
        <v>0.09</v>
      </c>
    </row>
    <row r="9">
      <c r="B9" s="17" t="inlineStr">
        <is>
          <t>Overige ontvangsten (subsidie/rente/overig)</t>
        </is>
      </c>
      <c r="C9" s="25" t="inlineStr">
        <is>
          <t>€</t>
        </is>
      </c>
      <c r="D9" s="41" t="n">
        <v>0</v>
      </c>
      <c r="E9" s="41" t="n">
        <v>0</v>
      </c>
      <c r="F9" s="41" t="n">
        <v>0</v>
      </c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1" t="n">
        <v>0</v>
      </c>
      <c r="O9" s="41" t="n">
        <v>0</v>
      </c>
      <c r="P9" s="41" t="n">
        <v>0</v>
      </c>
      <c r="Q9" s="41" t="n">
        <v>0</v>
      </c>
      <c r="R9" s="41" t="n">
        <v>0</v>
      </c>
      <c r="S9" s="41" t="n">
        <v>0</v>
      </c>
      <c r="T9" s="41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</row>
    <row r="10">
      <c r="B10" s="17" t="inlineStr">
        <is>
          <t>Overige uitgaven (incidenteel)</t>
        </is>
      </c>
      <c r="C10" s="25" t="inlineStr">
        <is>
          <t>€</t>
        </is>
      </c>
      <c r="D10" s="41" t="n">
        <v>0</v>
      </c>
      <c r="E10" s="41" t="n">
        <v>0</v>
      </c>
      <c r="F10" s="41" t="n">
        <v>0</v>
      </c>
      <c r="G10" s="41" t="n">
        <v>0</v>
      </c>
      <c r="H10" s="41" t="n">
        <v>0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</v>
      </c>
      <c r="N10" s="41" t="n">
        <v>0</v>
      </c>
      <c r="O10" s="41" t="n">
        <v>0</v>
      </c>
      <c r="P10" s="41" t="n">
        <v>0</v>
      </c>
      <c r="Q10" s="41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</row>
    <row r="11">
      <c r="B11" s="17" t="inlineStr">
        <is>
          <t>Privé-opnamen / dividend / management fee</t>
        </is>
      </c>
      <c r="C11" s="25" t="inlineStr">
        <is>
          <t>€</t>
        </is>
      </c>
      <c r="D11" s="41" t="n">
        <v>4000</v>
      </c>
      <c r="E11" s="41" t="n">
        <v>4000</v>
      </c>
      <c r="F11" s="41" t="n">
        <v>4000</v>
      </c>
      <c r="G11" s="41" t="n">
        <v>4000</v>
      </c>
      <c r="H11" s="41" t="n">
        <v>4000</v>
      </c>
      <c r="I11" s="41" t="n">
        <v>40000</v>
      </c>
      <c r="J11" s="41" t="n">
        <v>4000</v>
      </c>
      <c r="K11" s="41" t="n">
        <v>4000</v>
      </c>
      <c r="L11" s="41" t="n">
        <v>4000</v>
      </c>
      <c r="M11" s="41" t="n">
        <v>4000</v>
      </c>
      <c r="N11" s="41" t="n">
        <v>4000</v>
      </c>
      <c r="O11" s="41" t="n">
        <v>4000</v>
      </c>
      <c r="P11" s="41" t="n">
        <v>4000</v>
      </c>
      <c r="Q11" s="41" t="n">
        <v>4000</v>
      </c>
      <c r="R11" s="41" t="n">
        <v>4000</v>
      </c>
      <c r="S11" s="41" t="n">
        <v>4000</v>
      </c>
      <c r="T11" s="41" t="n">
        <v>4000</v>
      </c>
      <c r="U11" s="41" t="n">
        <v>40000</v>
      </c>
      <c r="V11" s="41" t="n">
        <v>4000</v>
      </c>
      <c r="W11" s="41" t="n">
        <v>4000</v>
      </c>
      <c r="X11" s="41" t="n">
        <v>4000</v>
      </c>
      <c r="Y11" s="41" t="n">
        <v>4000</v>
      </c>
      <c r="Z11" s="41" t="n">
        <v>4000</v>
      </c>
      <c r="AA11" s="41" t="n">
        <v>4000</v>
      </c>
    </row>
    <row r="13">
      <c r="B13" s="38" t="inlineStr">
        <is>
          <t>Controle: som seizoensgewicht mnd 1-12</t>
        </is>
      </c>
      <c r="D13" s="47">
        <f>SUM(D8:O8)</f>
        <v>0.9999999999999999</v>
      </c>
    </row>
    <row r="14">
      <c r="B14" s="38" t="inlineStr">
        <is>
          <t>Controle: som seizoensgewicht mnd 13-24</t>
        </is>
      </c>
      <c r="D14" s="47">
        <f>SUM(P8:AA8)</f>
        <v>0.9999999999999999</v>
      </c>
    </row>
  </sheetData>
  <mergeCells count="2">
    <mergeCell ref="B3:AA3"/>
    <mergeCell ref="B2:AA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B2:AA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OMZET, INKOOPWAARDE &amp; BRUTOMARGE</t>
        </is>
      </c>
    </row>
    <row r="3" ht="15" customHeight="1">
      <c r="B3" s="2" t="inlineStr">
        <is>
          <t>05 Omzet &amp; marge   ·   Omzet = jaaromzet × seizoensgewicht × (1 + scenario-omzetgroei)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8">
      <c r="B8" s="38" t="inlineStr">
        <is>
          <t>Omzet (excl. BTW)</t>
        </is>
      </c>
      <c r="C8" s="25" t="inlineStr">
        <is>
          <t>€</t>
        </is>
      </c>
      <c r="D8" s="48">
        <f>'04 Input prognose'!D$8*s_omzet_jaar*(1+p_omzetgroei)</f>
        <v>350000.00000000006</v>
      </c>
      <c r="E8" s="48">
        <f>'04 Input prognose'!E$8*s_omzet_jaar*(1+p_omzetgroei)</f>
        <v>350000.00000000006</v>
      </c>
      <c r="F8" s="48">
        <f>'04 Input prognose'!F$8*s_omzet_jaar*(1+p_omzetgroei)</f>
        <v>425000.00000000006</v>
      </c>
      <c r="G8" s="48">
        <f>'04 Input prognose'!G$8*s_omzet_jaar*(1+p_omzetgroei)</f>
        <v>425000.00000000006</v>
      </c>
      <c r="H8" s="48">
        <f>'04 Input prognose'!H$8*s_omzet_jaar*(1+p_omzetgroei)</f>
        <v>450000.0</v>
      </c>
      <c r="I8" s="48">
        <f>'04 Input prognose'!I$8*s_omzet_jaar*(1+p_omzetgroei)</f>
        <v>425000.00000000006</v>
      </c>
      <c r="J8" s="48">
        <f>'04 Input prognose'!J$8*s_omzet_jaar*(1+p_omzetgroei)</f>
        <v>350000.00000000006</v>
      </c>
      <c r="K8" s="48">
        <f>'04 Input prognose'!K$8*s_omzet_jaar*(1+p_omzetgroei)</f>
        <v>300000.0</v>
      </c>
      <c r="L8" s="48">
        <f>'04 Input prognose'!L$8*s_omzet_jaar*(1+p_omzetgroei)</f>
        <v>450000.0</v>
      </c>
      <c r="M8" s="48">
        <f>'04 Input prognose'!M$8*s_omzet_jaar*(1+p_omzetgroei)</f>
        <v>500000.0</v>
      </c>
      <c r="N8" s="48">
        <f>'04 Input prognose'!N$8*s_omzet_jaar*(1+p_omzetgroei)</f>
        <v>525000.0</v>
      </c>
      <c r="O8" s="48">
        <f>'04 Input prognose'!O$8*s_omzet_jaar*(1+p_omzetgroei)</f>
        <v>450000.0</v>
      </c>
      <c r="P8" s="48">
        <f>'04 Input prognose'!P$8*s_omzet_jaar*(1+p_omzetgroei)</f>
        <v>350000.00000000006</v>
      </c>
      <c r="Q8" s="48">
        <f>'04 Input prognose'!Q$8*s_omzet_jaar*(1+p_omzetgroei)</f>
        <v>350000.00000000006</v>
      </c>
      <c r="R8" s="48">
        <f>'04 Input prognose'!R$8*s_omzet_jaar*(1+p_omzetgroei)</f>
        <v>425000.00000000006</v>
      </c>
      <c r="S8" s="48">
        <f>'04 Input prognose'!S$8*s_omzet_jaar*(1+p_omzetgroei)</f>
        <v>425000.00000000006</v>
      </c>
      <c r="T8" s="48">
        <f>'04 Input prognose'!T$8*s_omzet_jaar*(1+p_omzetgroei)</f>
        <v>450000.0</v>
      </c>
      <c r="U8" s="48">
        <f>'04 Input prognose'!U$8*s_omzet_jaar*(1+p_omzetgroei)</f>
        <v>425000.00000000006</v>
      </c>
      <c r="V8" s="48">
        <f>'04 Input prognose'!V$8*s_omzet_jaar*(1+p_omzetgroei)</f>
        <v>350000.00000000006</v>
      </c>
      <c r="W8" s="48">
        <f>'04 Input prognose'!W$8*s_omzet_jaar*(1+p_omzetgroei)</f>
        <v>300000.0</v>
      </c>
      <c r="X8" s="48">
        <f>'04 Input prognose'!X$8*s_omzet_jaar*(1+p_omzetgroei)</f>
        <v>450000.0</v>
      </c>
      <c r="Y8" s="48">
        <f>'04 Input prognose'!Y$8*s_omzet_jaar*(1+p_omzetgroei)</f>
        <v>500000.0</v>
      </c>
      <c r="Z8" s="48">
        <f>'04 Input prognose'!Z$8*s_omzet_jaar*(1+p_omzetgroei)</f>
        <v>525000.0</v>
      </c>
      <c r="AA8" s="48">
        <f>'04 Input prognose'!AA$8*s_omzet_jaar*(1+p_omzetgroei)</f>
        <v>450000.0</v>
      </c>
    </row>
    <row r="9">
      <c r="B9" s="17" t="inlineStr">
        <is>
          <t>Effectieve brutomarge %</t>
        </is>
      </c>
      <c r="C9" s="25" t="inlineStr">
        <is>
          <t>%</t>
        </is>
      </c>
      <c r="D9" s="49">
        <f>s_margin+p_marge_adj</f>
        <v>0.28</v>
      </c>
      <c r="E9" s="49">
        <f>s_margin+p_marge_adj</f>
        <v>0.28</v>
      </c>
      <c r="F9" s="49">
        <f>s_margin+p_marge_adj</f>
        <v>0.28</v>
      </c>
      <c r="G9" s="49">
        <f>s_margin+p_marge_adj</f>
        <v>0.28</v>
      </c>
      <c r="H9" s="49">
        <f>s_margin+p_marge_adj</f>
        <v>0.28</v>
      </c>
      <c r="I9" s="49">
        <f>s_margin+p_marge_adj</f>
        <v>0.28</v>
      </c>
      <c r="J9" s="49">
        <f>s_margin+p_marge_adj</f>
        <v>0.28</v>
      </c>
      <c r="K9" s="49">
        <f>s_margin+p_marge_adj</f>
        <v>0.28</v>
      </c>
      <c r="L9" s="49">
        <f>s_margin+p_marge_adj</f>
        <v>0.28</v>
      </c>
      <c r="M9" s="49">
        <f>s_margin+p_marge_adj</f>
        <v>0.28</v>
      </c>
      <c r="N9" s="49">
        <f>s_margin+p_marge_adj</f>
        <v>0.28</v>
      </c>
      <c r="O9" s="49">
        <f>s_margin+p_marge_adj</f>
        <v>0.28</v>
      </c>
      <c r="P9" s="49">
        <f>s_margin+p_marge_adj</f>
        <v>0.28</v>
      </c>
      <c r="Q9" s="49">
        <f>s_margin+p_marge_adj</f>
        <v>0.28</v>
      </c>
      <c r="R9" s="49">
        <f>s_margin+p_marge_adj</f>
        <v>0.28</v>
      </c>
      <c r="S9" s="49">
        <f>s_margin+p_marge_adj</f>
        <v>0.28</v>
      </c>
      <c r="T9" s="49">
        <f>s_margin+p_marge_adj</f>
        <v>0.28</v>
      </c>
      <c r="U9" s="49">
        <f>s_margin+p_marge_adj</f>
        <v>0.28</v>
      </c>
      <c r="V9" s="49">
        <f>s_margin+p_marge_adj</f>
        <v>0.28</v>
      </c>
      <c r="W9" s="49">
        <f>s_margin+p_marge_adj</f>
        <v>0.28</v>
      </c>
      <c r="X9" s="49">
        <f>s_margin+p_marge_adj</f>
        <v>0.28</v>
      </c>
      <c r="Y9" s="49">
        <f>s_margin+p_marge_adj</f>
        <v>0.28</v>
      </c>
      <c r="Z9" s="49">
        <f>s_margin+p_marge_adj</f>
        <v>0.28</v>
      </c>
      <c r="AA9" s="49">
        <f>s_margin+p_marge_adj</f>
        <v>0.28</v>
      </c>
    </row>
    <row r="10">
      <c r="B10" s="38" t="inlineStr">
        <is>
          <t>Brutowinst</t>
        </is>
      </c>
      <c r="C10" s="25" t="inlineStr">
        <is>
          <t>€</t>
        </is>
      </c>
      <c r="D10" s="39">
        <f>D8*D9</f>
        <v>98000.00000000003</v>
      </c>
      <c r="E10" s="39">
        <f>E8*E9</f>
        <v>98000.00000000003</v>
      </c>
      <c r="F10" s="39">
        <f>F8*F9</f>
        <v>119000.00000000003</v>
      </c>
      <c r="G10" s="39">
        <f>G8*G9</f>
        <v>119000.00000000003</v>
      </c>
      <c r="H10" s="39">
        <f>H8*H9</f>
        <v>126000.00000000001</v>
      </c>
      <c r="I10" s="39">
        <f>I8*I9</f>
        <v>119000.00000000003</v>
      </c>
      <c r="J10" s="39">
        <f>J8*J9</f>
        <v>98000.00000000003</v>
      </c>
      <c r="K10" s="39">
        <f>K8*K9</f>
        <v>84000.00000000001</v>
      </c>
      <c r="L10" s="39">
        <f>L8*L9</f>
        <v>126000.00000000001</v>
      </c>
      <c r="M10" s="39">
        <f>M8*M9</f>
        <v>140000.0</v>
      </c>
      <c r="N10" s="39">
        <f>N8*N9</f>
        <v>147000.0</v>
      </c>
      <c r="O10" s="39">
        <f>O8*O9</f>
        <v>126000.00000000001</v>
      </c>
      <c r="P10" s="39">
        <f>P8*P9</f>
        <v>98000.00000000003</v>
      </c>
      <c r="Q10" s="39">
        <f>Q8*Q9</f>
        <v>98000.00000000003</v>
      </c>
      <c r="R10" s="39">
        <f>R8*R9</f>
        <v>119000.00000000003</v>
      </c>
      <c r="S10" s="39">
        <f>S8*S9</f>
        <v>119000.00000000003</v>
      </c>
      <c r="T10" s="39">
        <f>T8*T9</f>
        <v>126000.00000000001</v>
      </c>
      <c r="U10" s="39">
        <f>U8*U9</f>
        <v>119000.00000000003</v>
      </c>
      <c r="V10" s="39">
        <f>V8*V9</f>
        <v>98000.00000000003</v>
      </c>
      <c r="W10" s="39">
        <f>W8*W9</f>
        <v>84000.00000000001</v>
      </c>
      <c r="X10" s="39">
        <f>X8*X9</f>
        <v>126000.00000000001</v>
      </c>
      <c r="Y10" s="39">
        <f>Y8*Y9</f>
        <v>140000.0</v>
      </c>
      <c r="Z10" s="39">
        <f>Z8*Z9</f>
        <v>147000.0</v>
      </c>
      <c r="AA10" s="39">
        <f>AA8*AA9</f>
        <v>126000.00000000001</v>
      </c>
    </row>
    <row r="11">
      <c r="B11" s="17" t="inlineStr">
        <is>
          <t>Inkoopwaarde omzet (COGS)</t>
        </is>
      </c>
      <c r="C11" s="25" t="inlineStr">
        <is>
          <t>€</t>
        </is>
      </c>
      <c r="D11" s="50">
        <f>D8-D10</f>
        <v>252000.00000000003</v>
      </c>
      <c r="E11" s="50">
        <f>E8-E10</f>
        <v>252000.00000000003</v>
      </c>
      <c r="F11" s="50">
        <f>F8-F10</f>
        <v>306000.0</v>
      </c>
      <c r="G11" s="50">
        <f>G8-G10</f>
        <v>306000.0</v>
      </c>
      <c r="H11" s="50">
        <f>H8-H10</f>
        <v>324000.0</v>
      </c>
      <c r="I11" s="50">
        <f>I8-I10</f>
        <v>306000.0</v>
      </c>
      <c r="J11" s="50">
        <f>J8-J10</f>
        <v>252000.00000000003</v>
      </c>
      <c r="K11" s="50">
        <f>K8-K10</f>
        <v>216000.0</v>
      </c>
      <c r="L11" s="50">
        <f>L8-L10</f>
        <v>324000.0</v>
      </c>
      <c r="M11" s="50">
        <f>M8-M10</f>
        <v>360000.0</v>
      </c>
      <c r="N11" s="50">
        <f>N8-N10</f>
        <v>378000.0</v>
      </c>
      <c r="O11" s="50">
        <f>O8-O10</f>
        <v>324000.0</v>
      </c>
      <c r="P11" s="50">
        <f>P8-P10</f>
        <v>252000.00000000003</v>
      </c>
      <c r="Q11" s="50">
        <f>Q8-Q10</f>
        <v>252000.00000000003</v>
      </c>
      <c r="R11" s="50">
        <f>R8-R10</f>
        <v>306000.0</v>
      </c>
      <c r="S11" s="50">
        <f>S8-S10</f>
        <v>306000.0</v>
      </c>
      <c r="T11" s="50">
        <f>T8-T10</f>
        <v>324000.0</v>
      </c>
      <c r="U11" s="50">
        <f>U8-U10</f>
        <v>306000.0</v>
      </c>
      <c r="V11" s="50">
        <f>V8-V10</f>
        <v>252000.00000000003</v>
      </c>
      <c r="W11" s="50">
        <f>W8-W10</f>
        <v>216000.0</v>
      </c>
      <c r="X11" s="50">
        <f>X8-X10</f>
        <v>324000.0</v>
      </c>
      <c r="Y11" s="50">
        <f>Y8-Y10</f>
        <v>360000.0</v>
      </c>
      <c r="Z11" s="50">
        <f>Z8-Z10</f>
        <v>378000.0</v>
      </c>
      <c r="AA11" s="50">
        <f>AA8-AA10</f>
        <v>324000.0</v>
      </c>
    </row>
    <row r="12">
      <c r="B12" s="17" t="inlineStr">
        <is>
          <t>Omzet incl. BTW (facturatie)</t>
        </is>
      </c>
      <c r="C12" s="25" t="inlineStr">
        <is>
          <t>€</t>
        </is>
      </c>
      <c r="D12" s="50">
        <f>D8*(1+v_btw)</f>
        <v>423500.00000000006</v>
      </c>
      <c r="E12" s="50">
        <f>E8*(1+v_btw)</f>
        <v>423500.00000000006</v>
      </c>
      <c r="F12" s="50">
        <f>F8*(1+v_btw)</f>
        <v>514250.00000000006</v>
      </c>
      <c r="G12" s="50">
        <f>G8*(1+v_btw)</f>
        <v>514250.00000000006</v>
      </c>
      <c r="H12" s="50">
        <f>H8*(1+v_btw)</f>
        <v>544500.0</v>
      </c>
      <c r="I12" s="50">
        <f>I8*(1+v_btw)</f>
        <v>514250.00000000006</v>
      </c>
      <c r="J12" s="50">
        <f>J8*(1+v_btw)</f>
        <v>423500.00000000006</v>
      </c>
      <c r="K12" s="50">
        <f>K8*(1+v_btw)</f>
        <v>363000.0</v>
      </c>
      <c r="L12" s="50">
        <f>L8*(1+v_btw)</f>
        <v>544500.0</v>
      </c>
      <c r="M12" s="50">
        <f>M8*(1+v_btw)</f>
        <v>605000.0</v>
      </c>
      <c r="N12" s="50">
        <f>N8*(1+v_btw)</f>
        <v>635250.0</v>
      </c>
      <c r="O12" s="50">
        <f>O8*(1+v_btw)</f>
        <v>544500.0</v>
      </c>
      <c r="P12" s="50">
        <f>P8*(1+v_btw)</f>
        <v>423500.00000000006</v>
      </c>
      <c r="Q12" s="50">
        <f>Q8*(1+v_btw)</f>
        <v>423500.00000000006</v>
      </c>
      <c r="R12" s="50">
        <f>R8*(1+v_btw)</f>
        <v>514250.00000000006</v>
      </c>
      <c r="S12" s="50">
        <f>S8*(1+v_btw)</f>
        <v>514250.00000000006</v>
      </c>
      <c r="T12" s="50">
        <f>T8*(1+v_btw)</f>
        <v>544500.0</v>
      </c>
      <c r="U12" s="50">
        <f>U8*(1+v_btw)</f>
        <v>514250.00000000006</v>
      </c>
      <c r="V12" s="50">
        <f>V8*(1+v_btw)</f>
        <v>423500.00000000006</v>
      </c>
      <c r="W12" s="50">
        <f>W8*(1+v_btw)</f>
        <v>363000.0</v>
      </c>
      <c r="X12" s="50">
        <f>X8*(1+v_btw)</f>
        <v>544500.0</v>
      </c>
      <c r="Y12" s="50">
        <f>Y8*(1+v_btw)</f>
        <v>605000.0</v>
      </c>
      <c r="Z12" s="50">
        <f>Z8*(1+v_btw)</f>
        <v>635250.0</v>
      </c>
      <c r="AA12" s="50">
        <f>AA8*(1+v_btw)</f>
        <v>544500.0</v>
      </c>
    </row>
    <row r="14">
      <c r="B14" s="38" t="inlineStr">
        <is>
          <t>Totaal omzet jaar 1 / jaar 2</t>
        </is>
      </c>
      <c r="D14" s="51">
        <f>SUM(D8:O8)</f>
        <v>5000000.0</v>
      </c>
      <c r="E14" s="51">
        <f>SUM(P8:AA8)</f>
        <v>5000000.0</v>
      </c>
    </row>
  </sheetData>
  <mergeCells count="2">
    <mergeCell ref="B3:AA3"/>
    <mergeCell ref="B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B2:AA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WERKKAPITAAL - DEBITEUREN, VOORRAAD, CREDITEUREN</t>
        </is>
      </c>
    </row>
    <row r="3" ht="15" customHeight="1">
      <c r="B3" s="2" t="inlineStr">
        <is>
          <t>06 Werkkapitaal   ·   Methodiek: streefsaldi o.b.v. DSO/DPO/DIO (days-based). Zie 16 Toelichting.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7">
      <c r="B7" s="52" t="inlineStr">
        <is>
          <t>OPENINGSSTANDEN (begin maand 1)</t>
        </is>
      </c>
      <c r="C7" s="37" t="inlineStr">
        <is>
          <t>Deb/Vrd/Cred</t>
        </is>
      </c>
      <c r="D7" s="53">
        <f>h_debiteuren</f>
        <v>600000</v>
      </c>
      <c r="E7" s="53">
        <f>h_voorraad</f>
        <v>750000</v>
      </c>
      <c r="F7" s="53">
        <f>h_crediteuren</f>
        <v>500000</v>
      </c>
    </row>
    <row r="9">
      <c r="B9" s="54" t="inlineStr">
        <is>
          <t>Inkoopwaarde omzet (COGS)</t>
        </is>
      </c>
      <c r="C9" s="25" t="inlineStr">
        <is>
          <t>€</t>
        </is>
      </c>
      <c r="D9" s="55">
        <f>'05 Omzet &amp; marge'!D11</f>
        <v>252000.00000000003</v>
      </c>
      <c r="E9" s="55">
        <f>'05 Omzet &amp; marge'!E11</f>
        <v>252000.00000000003</v>
      </c>
      <c r="F9" s="55">
        <f>'05 Omzet &amp; marge'!F11</f>
        <v>306000.0</v>
      </c>
      <c r="G9" s="55">
        <f>'05 Omzet &amp; marge'!G11</f>
        <v>306000.0</v>
      </c>
      <c r="H9" s="55">
        <f>'05 Omzet &amp; marge'!H11</f>
        <v>324000.0</v>
      </c>
      <c r="I9" s="55">
        <f>'05 Omzet &amp; marge'!I11</f>
        <v>306000.0</v>
      </c>
      <c r="J9" s="55">
        <f>'05 Omzet &amp; marge'!J11</f>
        <v>252000.00000000003</v>
      </c>
      <c r="K9" s="55">
        <f>'05 Omzet &amp; marge'!K11</f>
        <v>216000.0</v>
      </c>
      <c r="L9" s="55">
        <f>'05 Omzet &amp; marge'!L11</f>
        <v>324000.0</v>
      </c>
      <c r="M9" s="55">
        <f>'05 Omzet &amp; marge'!M11</f>
        <v>360000.0</v>
      </c>
      <c r="N9" s="55">
        <f>'05 Omzet &amp; marge'!N11</f>
        <v>378000.0</v>
      </c>
      <c r="O9" s="55">
        <f>'05 Omzet &amp; marge'!O11</f>
        <v>324000.0</v>
      </c>
      <c r="P9" s="55">
        <f>'05 Omzet &amp; marge'!P11</f>
        <v>252000.00000000003</v>
      </c>
      <c r="Q9" s="55">
        <f>'05 Omzet &amp; marge'!Q11</f>
        <v>252000.00000000003</v>
      </c>
      <c r="R9" s="55">
        <f>'05 Omzet &amp; marge'!R11</f>
        <v>306000.0</v>
      </c>
      <c r="S9" s="55">
        <f>'05 Omzet &amp; marge'!S11</f>
        <v>306000.0</v>
      </c>
      <c r="T9" s="55">
        <f>'05 Omzet &amp; marge'!T11</f>
        <v>324000.0</v>
      </c>
      <c r="U9" s="55">
        <f>'05 Omzet &amp; marge'!U11</f>
        <v>306000.0</v>
      </c>
      <c r="V9" s="55">
        <f>'05 Omzet &amp; marge'!V11</f>
        <v>252000.00000000003</v>
      </c>
      <c r="W9" s="55">
        <f>'05 Omzet &amp; marge'!W11</f>
        <v>216000.0</v>
      </c>
      <c r="X9" s="55">
        <f>'05 Omzet &amp; marge'!X11</f>
        <v>324000.0</v>
      </c>
      <c r="Y9" s="55">
        <f>'05 Omzet &amp; marge'!Y11</f>
        <v>360000.0</v>
      </c>
      <c r="Z9" s="55">
        <f>'05 Omzet &amp; marge'!Z11</f>
        <v>378000.0</v>
      </c>
      <c r="AA9" s="55">
        <f>'05 Omzet &amp; marge'!AA11</f>
        <v>324000.0</v>
      </c>
    </row>
    <row r="10">
      <c r="B10" s="38" t="inlineStr">
        <is>
          <t>Voorraad - streefsaldo (DIO)</t>
        </is>
      </c>
      <c r="C10" s="25" t="inlineStr">
        <is>
          <t>€</t>
        </is>
      </c>
      <c r="D10" s="39">
        <f>p_dio/s_dpm*D9</f>
        <v>455921.05263157905</v>
      </c>
      <c r="E10" s="39">
        <f>p_dio/s_dpm*E9</f>
        <v>455921.05263157905</v>
      </c>
      <c r="F10" s="39">
        <f>p_dio/s_dpm*F9</f>
        <v>553618.4210526316</v>
      </c>
      <c r="G10" s="39">
        <f>p_dio/s_dpm*G9</f>
        <v>553618.4210526316</v>
      </c>
      <c r="H10" s="39">
        <f>p_dio/s_dpm*H9</f>
        <v>586184.2105263158</v>
      </c>
      <c r="I10" s="39">
        <f>p_dio/s_dpm*I9</f>
        <v>553618.4210526316</v>
      </c>
      <c r="J10" s="39">
        <f>p_dio/s_dpm*J9</f>
        <v>455921.05263157905</v>
      </c>
      <c r="K10" s="39">
        <f>p_dio/s_dpm*K9</f>
        <v>390789.47368421056</v>
      </c>
      <c r="L10" s="39">
        <f>p_dio/s_dpm*L9</f>
        <v>586184.2105263158</v>
      </c>
      <c r="M10" s="39">
        <f>p_dio/s_dpm*M9</f>
        <v>651315.7894736843</v>
      </c>
      <c r="N10" s="39">
        <f>p_dio/s_dpm*N9</f>
        <v>683881.5789473684</v>
      </c>
      <c r="O10" s="39">
        <f>p_dio/s_dpm*O9</f>
        <v>586184.2105263158</v>
      </c>
      <c r="P10" s="39">
        <f>p_dio/s_dpm*P9</f>
        <v>455921.05263157905</v>
      </c>
      <c r="Q10" s="39">
        <f>p_dio/s_dpm*Q9</f>
        <v>455921.05263157905</v>
      </c>
      <c r="R10" s="39">
        <f>p_dio/s_dpm*R9</f>
        <v>553618.4210526316</v>
      </c>
      <c r="S10" s="39">
        <f>p_dio/s_dpm*S9</f>
        <v>553618.4210526316</v>
      </c>
      <c r="T10" s="39">
        <f>p_dio/s_dpm*T9</f>
        <v>586184.2105263158</v>
      </c>
      <c r="U10" s="39">
        <f>p_dio/s_dpm*U9</f>
        <v>553618.4210526316</v>
      </c>
      <c r="V10" s="39">
        <f>p_dio/s_dpm*V9</f>
        <v>455921.05263157905</v>
      </c>
      <c r="W10" s="39">
        <f>p_dio/s_dpm*W9</f>
        <v>390789.47368421056</v>
      </c>
      <c r="X10" s="39">
        <f>p_dio/s_dpm*X9</f>
        <v>586184.2105263158</v>
      </c>
      <c r="Y10" s="39">
        <f>p_dio/s_dpm*Y9</f>
        <v>651315.7894736843</v>
      </c>
      <c r="Z10" s="39">
        <f>p_dio/s_dpm*Z9</f>
        <v>683881.5789473684</v>
      </c>
      <c r="AA10" s="39">
        <f>p_dio/s_dpm*AA9</f>
        <v>586184.2105263158</v>
      </c>
    </row>
    <row r="11">
      <c r="B11" s="17" t="inlineStr">
        <is>
          <t>Inkopen (excl. BTW) = COGS + Δvoorraad</t>
        </is>
      </c>
      <c r="C11" s="25" t="inlineStr">
        <is>
          <t>€</t>
        </is>
      </c>
      <c r="D11" s="50">
        <f>D9+D10-$E$7</f>
        <v>-42078.94736842089</v>
      </c>
      <c r="E11" s="50">
        <f>E9+E10-D10</f>
        <v>252000.00000000006</v>
      </c>
      <c r="F11" s="50">
        <f>F9+F10-E10</f>
        <v>403697.3684210525</v>
      </c>
      <c r="G11" s="50">
        <f>G9+G10-F10</f>
        <v>306000.0</v>
      </c>
      <c r="H11" s="50">
        <f>H9+H10-G10</f>
        <v>356565.7894736843</v>
      </c>
      <c r="I11" s="50">
        <f>I9+I10-H10</f>
        <v>273434.2105263157</v>
      </c>
      <c r="J11" s="50">
        <f>J9+J10-I10</f>
        <v>154302.63157894753</v>
      </c>
      <c r="K11" s="50">
        <f>K9+K10-J10</f>
        <v>150868.42105263151</v>
      </c>
      <c r="L11" s="50">
        <f>L9+L10-K10</f>
        <v>519394.7368421053</v>
      </c>
      <c r="M11" s="50">
        <f>M9+M10-L10</f>
        <v>425131.5789473684</v>
      </c>
      <c r="N11" s="50">
        <f>N9+N10-M10</f>
        <v>410565.7894736843</v>
      </c>
      <c r="O11" s="50">
        <f>O9+O10-N10</f>
        <v>226302.63157894742</v>
      </c>
      <c r="P11" s="50">
        <f>P9+P10-O10</f>
        <v>121736.84210526326</v>
      </c>
      <c r="Q11" s="50">
        <f>Q9+Q10-P10</f>
        <v>252000.00000000006</v>
      </c>
      <c r="R11" s="50">
        <f>R9+R10-Q10</f>
        <v>403697.3684210525</v>
      </c>
      <c r="S11" s="50">
        <f>S9+S10-R10</f>
        <v>306000.0</v>
      </c>
      <c r="T11" s="50">
        <f>T9+T10-S10</f>
        <v>356565.7894736843</v>
      </c>
      <c r="U11" s="50">
        <f>U9+U10-T10</f>
        <v>273434.2105263157</v>
      </c>
      <c r="V11" s="50">
        <f>V9+V10-U10</f>
        <v>154302.63157894753</v>
      </c>
      <c r="W11" s="50">
        <f>W9+W10-V10</f>
        <v>150868.42105263151</v>
      </c>
      <c r="X11" s="50">
        <f>X9+X10-W10</f>
        <v>519394.7368421053</v>
      </c>
      <c r="Y11" s="50">
        <f>Y9+Y10-X10</f>
        <v>425131.5789473684</v>
      </c>
      <c r="Z11" s="50">
        <f>Z9+Z10-Y10</f>
        <v>410565.7894736843</v>
      </c>
      <c r="AA11" s="50">
        <f>AA9+AA10-Z10</f>
        <v>226302.63157894742</v>
      </c>
    </row>
    <row r="12">
      <c r="B12" s="17" t="inlineStr">
        <is>
          <t>Inkopen incl. BTW</t>
        </is>
      </c>
      <c r="C12" s="25" t="inlineStr">
        <is>
          <t>€</t>
        </is>
      </c>
      <c r="D12" s="50">
        <f>D11*(1+v_btw)</f>
        <v>-50915.52631578928</v>
      </c>
      <c r="E12" s="50">
        <f>E11*(1+v_btw)</f>
        <v>304920.00000000006</v>
      </c>
      <c r="F12" s="50">
        <f>F11*(1+v_btw)</f>
        <v>488473.81578947353</v>
      </c>
      <c r="G12" s="50">
        <f>G11*(1+v_btw)</f>
        <v>370260.0</v>
      </c>
      <c r="H12" s="50">
        <f>H11*(1+v_btw)</f>
        <v>431444.605263158</v>
      </c>
      <c r="I12" s="50">
        <f>I11*(1+v_btw)</f>
        <v>330855.394736842</v>
      </c>
      <c r="J12" s="50">
        <f>J11*(1+v_btw)</f>
        <v>186706.18421052652</v>
      </c>
      <c r="K12" s="50">
        <f>K11*(1+v_btw)</f>
        <v>182550.78947368413</v>
      </c>
      <c r="L12" s="50">
        <f>L11*(1+v_btw)</f>
        <v>628467.6315789474</v>
      </c>
      <c r="M12" s="50">
        <f>M11*(1+v_btw)</f>
        <v>514409.2105263158</v>
      </c>
      <c r="N12" s="50">
        <f>N11*(1+v_btw)</f>
        <v>496784.605263158</v>
      </c>
      <c r="O12" s="50">
        <f>O11*(1+v_btw)</f>
        <v>273826.18421052635</v>
      </c>
      <c r="P12" s="50">
        <f>P11*(1+v_btw)</f>
        <v>147301.57894736854</v>
      </c>
      <c r="Q12" s="50">
        <f>Q11*(1+v_btw)</f>
        <v>304920.00000000006</v>
      </c>
      <c r="R12" s="50">
        <f>R11*(1+v_btw)</f>
        <v>488473.81578947353</v>
      </c>
      <c r="S12" s="50">
        <f>S11*(1+v_btw)</f>
        <v>370260.0</v>
      </c>
      <c r="T12" s="50">
        <f>T11*(1+v_btw)</f>
        <v>431444.605263158</v>
      </c>
      <c r="U12" s="50">
        <f>U11*(1+v_btw)</f>
        <v>330855.394736842</v>
      </c>
      <c r="V12" s="50">
        <f>V11*(1+v_btw)</f>
        <v>186706.18421052652</v>
      </c>
      <c r="W12" s="50">
        <f>W11*(1+v_btw)</f>
        <v>182550.78947368413</v>
      </c>
      <c r="X12" s="50">
        <f>X11*(1+v_btw)</f>
        <v>628467.6315789474</v>
      </c>
      <c r="Y12" s="50">
        <f>Y11*(1+v_btw)</f>
        <v>514409.2105263158</v>
      </c>
      <c r="Z12" s="50">
        <f>Z11*(1+v_btw)</f>
        <v>496784.605263158</v>
      </c>
      <c r="AA12" s="50">
        <f>AA11*(1+v_btw)</f>
        <v>273826.18421052635</v>
      </c>
    </row>
    <row r="13">
      <c r="B13" s="54" t="inlineStr">
        <is>
          <t>Omzet incl. BTW (link)</t>
        </is>
      </c>
      <c r="C13" s="25" t="inlineStr">
        <is>
          <t>€</t>
        </is>
      </c>
      <c r="D13" s="55">
        <f>'05 Omzet &amp; marge'!D12</f>
        <v>423500.00000000006</v>
      </c>
      <c r="E13" s="55">
        <f>'05 Omzet &amp; marge'!E12</f>
        <v>423500.00000000006</v>
      </c>
      <c r="F13" s="55">
        <f>'05 Omzet &amp; marge'!F12</f>
        <v>514250.00000000006</v>
      </c>
      <c r="G13" s="55">
        <f>'05 Omzet &amp; marge'!G12</f>
        <v>514250.00000000006</v>
      </c>
      <c r="H13" s="55">
        <f>'05 Omzet &amp; marge'!H12</f>
        <v>544500.0</v>
      </c>
      <c r="I13" s="55">
        <f>'05 Omzet &amp; marge'!I12</f>
        <v>514250.00000000006</v>
      </c>
      <c r="J13" s="55">
        <f>'05 Omzet &amp; marge'!J12</f>
        <v>423500.00000000006</v>
      </c>
      <c r="K13" s="55">
        <f>'05 Omzet &amp; marge'!K12</f>
        <v>363000.0</v>
      </c>
      <c r="L13" s="55">
        <f>'05 Omzet &amp; marge'!L12</f>
        <v>544500.0</v>
      </c>
      <c r="M13" s="55">
        <f>'05 Omzet &amp; marge'!M12</f>
        <v>605000.0</v>
      </c>
      <c r="N13" s="55">
        <f>'05 Omzet &amp; marge'!N12</f>
        <v>635250.0</v>
      </c>
      <c r="O13" s="55">
        <f>'05 Omzet &amp; marge'!O12</f>
        <v>544500.0</v>
      </c>
      <c r="P13" s="55">
        <f>'05 Omzet &amp; marge'!P12</f>
        <v>423500.00000000006</v>
      </c>
      <c r="Q13" s="55">
        <f>'05 Omzet &amp; marge'!Q12</f>
        <v>423500.00000000006</v>
      </c>
      <c r="R13" s="55">
        <f>'05 Omzet &amp; marge'!R12</f>
        <v>514250.00000000006</v>
      </c>
      <c r="S13" s="55">
        <f>'05 Omzet &amp; marge'!S12</f>
        <v>514250.00000000006</v>
      </c>
      <c r="T13" s="55">
        <f>'05 Omzet &amp; marge'!T12</f>
        <v>544500.0</v>
      </c>
      <c r="U13" s="55">
        <f>'05 Omzet &amp; marge'!U12</f>
        <v>514250.00000000006</v>
      </c>
      <c r="V13" s="55">
        <f>'05 Omzet &amp; marge'!V12</f>
        <v>423500.00000000006</v>
      </c>
      <c r="W13" s="55">
        <f>'05 Omzet &amp; marge'!W12</f>
        <v>363000.0</v>
      </c>
      <c r="X13" s="55">
        <f>'05 Omzet &amp; marge'!X12</f>
        <v>544500.0</v>
      </c>
      <c r="Y13" s="55">
        <f>'05 Omzet &amp; marge'!Y12</f>
        <v>605000.0</v>
      </c>
      <c r="Z13" s="55">
        <f>'05 Omzet &amp; marge'!Z12</f>
        <v>635250.0</v>
      </c>
      <c r="AA13" s="55">
        <f>'05 Omzet &amp; marge'!AA12</f>
        <v>544500.0</v>
      </c>
    </row>
    <row r="14">
      <c r="B14" s="38" t="inlineStr">
        <is>
          <t>Debiteuren - streefsaldo (DSO)</t>
        </is>
      </c>
      <c r="C14" s="25" t="inlineStr">
        <is>
          <t>€</t>
        </is>
      </c>
      <c r="D14" s="39">
        <f>p_dso/s_dpm*D13</f>
        <v>626891.4473684211</v>
      </c>
      <c r="E14" s="39">
        <f>p_dso/s_dpm*E13</f>
        <v>626891.4473684211</v>
      </c>
      <c r="F14" s="39">
        <f>p_dso/s_dpm*F13</f>
        <v>761225.3289473685</v>
      </c>
      <c r="G14" s="39">
        <f>p_dso/s_dpm*G13</f>
        <v>761225.3289473685</v>
      </c>
      <c r="H14" s="39">
        <f>p_dso/s_dpm*H13</f>
        <v>806003.2894736843</v>
      </c>
      <c r="I14" s="39">
        <f>p_dso/s_dpm*I13</f>
        <v>761225.3289473685</v>
      </c>
      <c r="J14" s="39">
        <f>p_dso/s_dpm*J13</f>
        <v>626891.4473684211</v>
      </c>
      <c r="K14" s="39">
        <f>p_dso/s_dpm*K13</f>
        <v>537335.5263157896</v>
      </c>
      <c r="L14" s="39">
        <f>p_dso/s_dpm*L13</f>
        <v>806003.2894736843</v>
      </c>
      <c r="M14" s="39">
        <f>p_dso/s_dpm*M13</f>
        <v>895559.2105263158</v>
      </c>
      <c r="N14" s="39">
        <f>p_dso/s_dpm*N13</f>
        <v>940337.1710526317</v>
      </c>
      <c r="O14" s="39">
        <f>p_dso/s_dpm*O13</f>
        <v>806003.2894736843</v>
      </c>
      <c r="P14" s="39">
        <f>p_dso/s_dpm*P13</f>
        <v>626891.4473684211</v>
      </c>
      <c r="Q14" s="39">
        <f>p_dso/s_dpm*Q13</f>
        <v>626891.4473684211</v>
      </c>
      <c r="R14" s="39">
        <f>p_dso/s_dpm*R13</f>
        <v>761225.3289473685</v>
      </c>
      <c r="S14" s="39">
        <f>p_dso/s_dpm*S13</f>
        <v>761225.3289473685</v>
      </c>
      <c r="T14" s="39">
        <f>p_dso/s_dpm*T13</f>
        <v>806003.2894736843</v>
      </c>
      <c r="U14" s="39">
        <f>p_dso/s_dpm*U13</f>
        <v>761225.3289473685</v>
      </c>
      <c r="V14" s="39">
        <f>p_dso/s_dpm*V13</f>
        <v>626891.4473684211</v>
      </c>
      <c r="W14" s="39">
        <f>p_dso/s_dpm*W13</f>
        <v>537335.5263157896</v>
      </c>
      <c r="X14" s="39">
        <f>p_dso/s_dpm*X13</f>
        <v>806003.2894736843</v>
      </c>
      <c r="Y14" s="39">
        <f>p_dso/s_dpm*Y13</f>
        <v>895559.2105263158</v>
      </c>
      <c r="Z14" s="39">
        <f>p_dso/s_dpm*Z13</f>
        <v>940337.1710526317</v>
      </c>
      <c r="AA14" s="39">
        <f>p_dso/s_dpm*AA13</f>
        <v>806003.2894736843</v>
      </c>
    </row>
    <row r="15">
      <c r="B15" s="38" t="inlineStr">
        <is>
          <t>Crediteuren - streefsaldo (DPO)</t>
        </is>
      </c>
      <c r="C15" s="25" t="inlineStr">
        <is>
          <t>€</t>
        </is>
      </c>
      <c r="D15" s="39">
        <f>p_dpo/s_dpm*D12</f>
        <v>-66994.11357340695</v>
      </c>
      <c r="E15" s="39">
        <f>p_dpo/s_dpm*E12</f>
        <v>401210.52631578955</v>
      </c>
      <c r="F15" s="39">
        <f>p_dpo/s_dpm*F12</f>
        <v>642728.7049861494</v>
      </c>
      <c r="G15" s="39">
        <f>p_dpo/s_dpm*G12</f>
        <v>487184.21052631584</v>
      </c>
      <c r="H15" s="39">
        <f>p_dpo/s_dpm*H12</f>
        <v>567690.2700831026</v>
      </c>
      <c r="I15" s="39">
        <f>p_dpo/s_dpm*I12</f>
        <v>435336.04570637114</v>
      </c>
      <c r="J15" s="39">
        <f>p_dpo/s_dpm*J12</f>
        <v>245666.03185595598</v>
      </c>
      <c r="K15" s="39">
        <f>p_dpo/s_dpm*K12</f>
        <v>240198.40720221598</v>
      </c>
      <c r="L15" s="39">
        <f>p_dpo/s_dpm*L12</f>
        <v>826931.0941828256</v>
      </c>
      <c r="M15" s="39">
        <f>p_dpo/s_dpm*M12</f>
        <v>676854.2243767313</v>
      </c>
      <c r="N15" s="39">
        <f>p_dpo/s_dpm*N12</f>
        <v>653663.9542936289</v>
      </c>
      <c r="O15" s="39">
        <f>p_dpo/s_dpm*O12</f>
        <v>360297.61080332415</v>
      </c>
      <c r="P15" s="39">
        <f>p_dpo/s_dpm*P12</f>
        <v>193817.86703601124</v>
      </c>
      <c r="Q15" s="39">
        <f>p_dpo/s_dpm*Q12</f>
        <v>401210.52631578955</v>
      </c>
      <c r="R15" s="39">
        <f>p_dpo/s_dpm*R12</f>
        <v>642728.7049861494</v>
      </c>
      <c r="S15" s="39">
        <f>p_dpo/s_dpm*S12</f>
        <v>487184.21052631584</v>
      </c>
      <c r="T15" s="39">
        <f>p_dpo/s_dpm*T12</f>
        <v>567690.2700831026</v>
      </c>
      <c r="U15" s="39">
        <f>p_dpo/s_dpm*U12</f>
        <v>435336.04570637114</v>
      </c>
      <c r="V15" s="39">
        <f>p_dpo/s_dpm*V12</f>
        <v>245666.03185595598</v>
      </c>
      <c r="W15" s="39">
        <f>p_dpo/s_dpm*W12</f>
        <v>240198.40720221598</v>
      </c>
      <c r="X15" s="39">
        <f>p_dpo/s_dpm*X12</f>
        <v>826931.0941828256</v>
      </c>
      <c r="Y15" s="39">
        <f>p_dpo/s_dpm*Y12</f>
        <v>676854.2243767313</v>
      </c>
      <c r="Z15" s="39">
        <f>p_dpo/s_dpm*Z12</f>
        <v>653663.9542936289</v>
      </c>
      <c r="AA15" s="39">
        <f>p_dpo/s_dpm*AA12</f>
        <v>360297.61080332415</v>
      </c>
    </row>
    <row r="16">
      <c r="B16" s="52" t="inlineStr">
        <is>
          <t>Ontvangsten van klanten (kas-in)</t>
        </is>
      </c>
      <c r="C16" s="25" t="inlineStr">
        <is>
          <t>€</t>
        </is>
      </c>
      <c r="D16" s="39">
        <f>$D$7+D13-D14</f>
        <v>396608.5526315789</v>
      </c>
      <c r="E16" s="39">
        <f>D14+E13-E14</f>
        <v>423500.0</v>
      </c>
      <c r="F16" s="39">
        <f>E14+F13-F14</f>
        <v>379916.1184210526</v>
      </c>
      <c r="G16" s="39">
        <f>F14+G13-G14</f>
        <v>514250.0</v>
      </c>
      <c r="H16" s="39">
        <f>G14+H13-H14</f>
        <v>499722.0394736843</v>
      </c>
      <c r="I16" s="39">
        <f>H14+I13-I14</f>
        <v>559027.9605263157</v>
      </c>
      <c r="J16" s="39">
        <f>I14+J13-J14</f>
        <v>557833.8815789474</v>
      </c>
      <c r="K16" s="39">
        <f>J14+K13-K14</f>
        <v>452555.9210526316</v>
      </c>
      <c r="L16" s="39">
        <f>K14+L13-L14</f>
        <v>275832.2368421054</v>
      </c>
      <c r="M16" s="39">
        <f>L14+M13-M14</f>
        <v>515444.0789473684</v>
      </c>
      <c r="N16" s="39">
        <f>M14+N13-N14</f>
        <v>590472.0394736843</v>
      </c>
      <c r="O16" s="39">
        <f>N14+O13-O14</f>
        <v>678833.8815789474</v>
      </c>
      <c r="P16" s="39">
        <f>O14+P13-P14</f>
        <v>602611.8421052631</v>
      </c>
      <c r="Q16" s="39">
        <f>P14+Q13-Q14</f>
        <v>423500.0</v>
      </c>
      <c r="R16" s="39">
        <f>Q14+R13-R14</f>
        <v>379916.1184210526</v>
      </c>
      <c r="S16" s="39">
        <f>R14+S13-S14</f>
        <v>514250.0</v>
      </c>
      <c r="T16" s="39">
        <f>S14+T13-T14</f>
        <v>499722.0394736843</v>
      </c>
      <c r="U16" s="39">
        <f>T14+U13-U14</f>
        <v>559027.9605263157</v>
      </c>
      <c r="V16" s="39">
        <f>U14+V13-V14</f>
        <v>557833.8815789474</v>
      </c>
      <c r="W16" s="39">
        <f>V14+W13-W14</f>
        <v>452555.9210526316</v>
      </c>
      <c r="X16" s="39">
        <f>W14+X13-X14</f>
        <v>275832.2368421054</v>
      </c>
      <c r="Y16" s="39">
        <f>X14+Y13-Y14</f>
        <v>515444.0789473684</v>
      </c>
      <c r="Z16" s="39">
        <f>Y14+Z13-Z14</f>
        <v>590472.0394736843</v>
      </c>
      <c r="AA16" s="39">
        <f>Z14+AA13-AA14</f>
        <v>678833.8815789474</v>
      </c>
    </row>
    <row r="17">
      <c r="B17" s="52" t="inlineStr">
        <is>
          <t>Betalingen aan leveranciers (kas-uit)</t>
        </is>
      </c>
      <c r="C17" s="25" t="inlineStr">
        <is>
          <t>€</t>
        </is>
      </c>
      <c r="D17" s="39">
        <f>$F$7+D12-D15</f>
        <v>516078.5872576177</v>
      </c>
      <c r="E17" s="39">
        <f>D15+E12-E15</f>
        <v>-163284.63988919643</v>
      </c>
      <c r="F17" s="39">
        <f>E15+F12-F15</f>
        <v>246955.6371191137</v>
      </c>
      <c r="G17" s="39">
        <f>F15+G12-G15</f>
        <v>525804.4944598336</v>
      </c>
      <c r="H17" s="39">
        <f>G15+H12-H15</f>
        <v>350938.5457063712</v>
      </c>
      <c r="I17" s="39">
        <f>H15+I12-I15</f>
        <v>463209.6191135735</v>
      </c>
      <c r="J17" s="39">
        <f>I15+J12-J15</f>
        <v>376376.19806094165</v>
      </c>
      <c r="K17" s="39">
        <f>J15+K12-K15</f>
        <v>188018.41412742413</v>
      </c>
      <c r="L17" s="39">
        <f>K15+L12-L15</f>
        <v>41734.94459833775</v>
      </c>
      <c r="M17" s="39">
        <f>L15+M12-M15</f>
        <v>664486.08033241</v>
      </c>
      <c r="N17" s="39">
        <f>M15+N12-N15</f>
        <v>519974.8753462604</v>
      </c>
      <c r="O17" s="39">
        <f>N15+O12-O15</f>
        <v>567192.5277008311</v>
      </c>
      <c r="P17" s="39">
        <f>O15+P12-P15</f>
        <v>313781.32271468145</v>
      </c>
      <c r="Q17" s="39">
        <f>P15+Q12-Q15</f>
        <v>97527.34072022175</v>
      </c>
      <c r="R17" s="39">
        <f>Q15+R12-R15</f>
        <v>246955.6371191137</v>
      </c>
      <c r="S17" s="39">
        <f>R15+S12-S15</f>
        <v>525804.4944598336</v>
      </c>
      <c r="T17" s="39">
        <f>S15+T12-T15</f>
        <v>350938.5457063712</v>
      </c>
      <c r="U17" s="39">
        <f>T15+U12-U15</f>
        <v>463209.6191135735</v>
      </c>
      <c r="V17" s="39">
        <f>U15+V12-V15</f>
        <v>376376.19806094165</v>
      </c>
      <c r="W17" s="39">
        <f>V15+W12-W15</f>
        <v>188018.41412742413</v>
      </c>
      <c r="X17" s="39">
        <f>W15+X12-X15</f>
        <v>41734.94459833775</v>
      </c>
      <c r="Y17" s="39">
        <f>X15+Y12-Y15</f>
        <v>664486.08033241</v>
      </c>
      <c r="Z17" s="39">
        <f>Y15+Z12-Z15</f>
        <v>519974.8753462604</v>
      </c>
      <c r="AA17" s="39">
        <f>Z15+AA12-AA15</f>
        <v>567192.5277008311</v>
      </c>
    </row>
    <row r="18" ht="18" customHeight="1">
      <c r="B18" s="56" t="inlineStr">
        <is>
          <t>WERKKAPITAAL-KPI'S</t>
        </is>
      </c>
    </row>
    <row r="19">
      <c r="B19" s="17" t="inlineStr">
        <is>
          <t>DIO - voorraaddagen</t>
        </is>
      </c>
      <c r="C19" s="25" t="inlineStr">
        <is>
          <t>dg</t>
        </is>
      </c>
      <c r="D19" s="57">
        <f>IFERROR(D10/D9*s_dpm,0)</f>
        <v>55.0</v>
      </c>
      <c r="E19" s="57">
        <f>IFERROR(E10/E9*s_dpm,0)</f>
        <v>55.0</v>
      </c>
      <c r="F19" s="57">
        <f>IFERROR(F10/F9*s_dpm,0)</f>
        <v>54.99999999999999</v>
      </c>
      <c r="G19" s="57">
        <f>IFERROR(G10/G9*s_dpm,0)</f>
        <v>54.99999999999999</v>
      </c>
      <c r="H19" s="57">
        <f>IFERROR(H10/H9*s_dpm,0)</f>
        <v>55.0</v>
      </c>
      <c r="I19" s="57">
        <f>IFERROR(I10/I9*s_dpm,0)</f>
        <v>54.99999999999999</v>
      </c>
      <c r="J19" s="57">
        <f>IFERROR(J10/J9*s_dpm,0)</f>
        <v>55.0</v>
      </c>
      <c r="K19" s="57">
        <f>IFERROR(K10/K9*s_dpm,0)</f>
        <v>55.0</v>
      </c>
      <c r="L19" s="57">
        <f>IFERROR(L10/L9*s_dpm,0)</f>
        <v>55.0</v>
      </c>
      <c r="M19" s="57">
        <f>IFERROR(M10/M9*s_dpm,0)</f>
        <v>55.0</v>
      </c>
      <c r="N19" s="57">
        <f>IFERROR(N10/N9*s_dpm,0)</f>
        <v>54.99999999999999</v>
      </c>
      <c r="O19" s="57">
        <f>IFERROR(O10/O9*s_dpm,0)</f>
        <v>55.0</v>
      </c>
      <c r="P19" s="57">
        <f>IFERROR(P10/P9*s_dpm,0)</f>
        <v>55.0</v>
      </c>
      <c r="Q19" s="57">
        <f>IFERROR(Q10/Q9*s_dpm,0)</f>
        <v>55.0</v>
      </c>
      <c r="R19" s="57">
        <f>IFERROR(R10/R9*s_dpm,0)</f>
        <v>54.99999999999999</v>
      </c>
      <c r="S19" s="57">
        <f>IFERROR(S10/S9*s_dpm,0)</f>
        <v>54.99999999999999</v>
      </c>
      <c r="T19" s="57">
        <f>IFERROR(T10/T9*s_dpm,0)</f>
        <v>55.0</v>
      </c>
      <c r="U19" s="57">
        <f>IFERROR(U10/U9*s_dpm,0)</f>
        <v>54.99999999999999</v>
      </c>
      <c r="V19" s="57">
        <f>IFERROR(V10/V9*s_dpm,0)</f>
        <v>55.0</v>
      </c>
      <c r="W19" s="57">
        <f>IFERROR(W10/W9*s_dpm,0)</f>
        <v>55.0</v>
      </c>
      <c r="X19" s="57">
        <f>IFERROR(X10/X9*s_dpm,0)</f>
        <v>55.0</v>
      </c>
      <c r="Y19" s="57">
        <f>IFERROR(Y10/Y9*s_dpm,0)</f>
        <v>55.0</v>
      </c>
      <c r="Z19" s="57">
        <f>IFERROR(Z10/Z9*s_dpm,0)</f>
        <v>54.99999999999999</v>
      </c>
      <c r="AA19" s="57">
        <f>IFERROR(AA10/AA9*s_dpm,0)</f>
        <v>55.0</v>
      </c>
    </row>
    <row r="20">
      <c r="B20" s="17" t="inlineStr">
        <is>
          <t>DSO - debiteurendagen</t>
        </is>
      </c>
      <c r="C20" s="25" t="inlineStr">
        <is>
          <t>dg</t>
        </is>
      </c>
      <c r="D20" s="57">
        <f>IFERROR(D14/D13*s_dpm,0)</f>
        <v>44.99999999999999</v>
      </c>
      <c r="E20" s="57">
        <f>IFERROR(E14/E13*s_dpm,0)</f>
        <v>44.99999999999999</v>
      </c>
      <c r="F20" s="57">
        <f>IFERROR(F14/F13*s_dpm,0)</f>
        <v>45.0</v>
      </c>
      <c r="G20" s="57">
        <f>IFERROR(G14/G13*s_dpm,0)</f>
        <v>45.0</v>
      </c>
      <c r="H20" s="57">
        <f>IFERROR(H14/H13*s_dpm,0)</f>
        <v>45.0</v>
      </c>
      <c r="I20" s="57">
        <f>IFERROR(I14/I13*s_dpm,0)</f>
        <v>45.0</v>
      </c>
      <c r="J20" s="57">
        <f>IFERROR(J14/J13*s_dpm,0)</f>
        <v>44.99999999999999</v>
      </c>
      <c r="K20" s="57">
        <f>IFERROR(K14/K13*s_dpm,0)</f>
        <v>45.00000000000001</v>
      </c>
      <c r="L20" s="57">
        <f>IFERROR(L14/L13*s_dpm,0)</f>
        <v>45.0</v>
      </c>
      <c r="M20" s="57">
        <f>IFERROR(M14/M13*s_dpm,0)</f>
        <v>45.0</v>
      </c>
      <c r="N20" s="57">
        <f>IFERROR(N14/N13*s_dpm,0)</f>
        <v>45.0</v>
      </c>
      <c r="O20" s="57">
        <f>IFERROR(O14/O13*s_dpm,0)</f>
        <v>45.0</v>
      </c>
      <c r="P20" s="57">
        <f>IFERROR(P14/P13*s_dpm,0)</f>
        <v>44.99999999999999</v>
      </c>
      <c r="Q20" s="57">
        <f>IFERROR(Q14/Q13*s_dpm,0)</f>
        <v>44.99999999999999</v>
      </c>
      <c r="R20" s="57">
        <f>IFERROR(R14/R13*s_dpm,0)</f>
        <v>45.0</v>
      </c>
      <c r="S20" s="57">
        <f>IFERROR(S14/S13*s_dpm,0)</f>
        <v>45.0</v>
      </c>
      <c r="T20" s="57">
        <f>IFERROR(T14/T13*s_dpm,0)</f>
        <v>45.0</v>
      </c>
      <c r="U20" s="57">
        <f>IFERROR(U14/U13*s_dpm,0)</f>
        <v>45.0</v>
      </c>
      <c r="V20" s="57">
        <f>IFERROR(V14/V13*s_dpm,0)</f>
        <v>44.99999999999999</v>
      </c>
      <c r="W20" s="57">
        <f>IFERROR(W14/W13*s_dpm,0)</f>
        <v>45.00000000000001</v>
      </c>
      <c r="X20" s="57">
        <f>IFERROR(X14/X13*s_dpm,0)</f>
        <v>45.0</v>
      </c>
      <c r="Y20" s="57">
        <f>IFERROR(Y14/Y13*s_dpm,0)</f>
        <v>45.0</v>
      </c>
      <c r="Z20" s="57">
        <f>IFERROR(Z14/Z13*s_dpm,0)</f>
        <v>45.0</v>
      </c>
      <c r="AA20" s="57">
        <f>IFERROR(AA14/AA13*s_dpm,0)</f>
        <v>45.0</v>
      </c>
    </row>
    <row r="21">
      <c r="B21" s="17" t="inlineStr">
        <is>
          <t>DPO - crediteurendagen</t>
        </is>
      </c>
      <c r="C21" s="25" t="inlineStr">
        <is>
          <t>dg</t>
        </is>
      </c>
      <c r="D21" s="57">
        <f>IFERROR(D15/D12*s_dpm,0)</f>
        <v>40.00000000000001</v>
      </c>
      <c r="E21" s="57">
        <f>IFERROR(E15/E12*s_dpm,0)</f>
        <v>40.0</v>
      </c>
      <c r="F21" s="57">
        <f>IFERROR(F15/F12*s_dpm,0)</f>
        <v>40.0</v>
      </c>
      <c r="G21" s="57">
        <f>IFERROR(G15/G12*s_dpm,0)</f>
        <v>40.0</v>
      </c>
      <c r="H21" s="57">
        <f>IFERROR(H15/H12*s_dpm,0)</f>
        <v>40.0</v>
      </c>
      <c r="I21" s="57">
        <f>IFERROR(I15/I12*s_dpm,0)</f>
        <v>40.0</v>
      </c>
      <c r="J21" s="57">
        <f>IFERROR(J15/J12*s_dpm,0)</f>
        <v>40.0</v>
      </c>
      <c r="K21" s="57">
        <f>IFERROR(K15/K12*s_dpm,0)</f>
        <v>40.0</v>
      </c>
      <c r="L21" s="57">
        <f>IFERROR(L15/L12*s_dpm,0)</f>
        <v>40.0</v>
      </c>
      <c r="M21" s="57">
        <f>IFERROR(M15/M12*s_dpm,0)</f>
        <v>40.0</v>
      </c>
      <c r="N21" s="57">
        <f>IFERROR(N15/N12*s_dpm,0)</f>
        <v>40.0</v>
      </c>
      <c r="O21" s="57">
        <f>IFERROR(O15/O12*s_dpm,0)</f>
        <v>40.0</v>
      </c>
      <c r="P21" s="57">
        <f>IFERROR(P15/P12*s_dpm,0)</f>
        <v>40.0</v>
      </c>
      <c r="Q21" s="57">
        <f>IFERROR(Q15/Q12*s_dpm,0)</f>
        <v>40.0</v>
      </c>
      <c r="R21" s="57">
        <f>IFERROR(R15/R12*s_dpm,0)</f>
        <v>40.0</v>
      </c>
      <c r="S21" s="57">
        <f>IFERROR(S15/S12*s_dpm,0)</f>
        <v>40.0</v>
      </c>
      <c r="T21" s="57">
        <f>IFERROR(T15/T12*s_dpm,0)</f>
        <v>40.0</v>
      </c>
      <c r="U21" s="57">
        <f>IFERROR(U15/U12*s_dpm,0)</f>
        <v>40.0</v>
      </c>
      <c r="V21" s="57">
        <f>IFERROR(V15/V12*s_dpm,0)</f>
        <v>40.0</v>
      </c>
      <c r="W21" s="57">
        <f>IFERROR(W15/W12*s_dpm,0)</f>
        <v>40.0</v>
      </c>
      <c r="X21" s="57">
        <f>IFERROR(X15/X12*s_dpm,0)</f>
        <v>40.0</v>
      </c>
      <c r="Y21" s="57">
        <f>IFERROR(Y15/Y12*s_dpm,0)</f>
        <v>40.0</v>
      </c>
      <c r="Z21" s="57">
        <f>IFERROR(Z15/Z12*s_dpm,0)</f>
        <v>40.0</v>
      </c>
      <c r="AA21" s="57">
        <f>IFERROR(AA15/AA12*s_dpm,0)</f>
        <v>40.0</v>
      </c>
    </row>
    <row r="22">
      <c r="B22" s="52" t="inlineStr">
        <is>
          <t>Cash Conversion Cycle (DIO+DSO-DPO)</t>
        </is>
      </c>
      <c r="C22" s="25" t="inlineStr">
        <is>
          <t>dg</t>
        </is>
      </c>
      <c r="D22" s="58">
        <f>D19+D20-D21</f>
        <v>59.99999999999999</v>
      </c>
      <c r="E22" s="58">
        <f>E19+E20-E21</f>
        <v>60.0</v>
      </c>
      <c r="F22" s="58">
        <f>F19+F20-F21</f>
        <v>60.0</v>
      </c>
      <c r="G22" s="58">
        <f>G19+G20-G21</f>
        <v>60.0</v>
      </c>
      <c r="H22" s="58">
        <f>H19+H20-H21</f>
        <v>60.0</v>
      </c>
      <c r="I22" s="58">
        <f>I19+I20-I21</f>
        <v>60.0</v>
      </c>
      <c r="J22" s="58">
        <f>J19+J20-J21</f>
        <v>60.0</v>
      </c>
      <c r="K22" s="58">
        <f>K19+K20-K21</f>
        <v>60.0</v>
      </c>
      <c r="L22" s="58">
        <f>L19+L20-L21</f>
        <v>60.0</v>
      </c>
      <c r="M22" s="58">
        <f>M19+M20-M21</f>
        <v>60.0</v>
      </c>
      <c r="N22" s="58">
        <f>N19+N20-N21</f>
        <v>60.0</v>
      </c>
      <c r="O22" s="58">
        <f>O19+O20-O21</f>
        <v>60.0</v>
      </c>
      <c r="P22" s="58">
        <f>P19+P20-P21</f>
        <v>60.0</v>
      </c>
      <c r="Q22" s="58">
        <f>Q19+Q20-Q21</f>
        <v>60.0</v>
      </c>
      <c r="R22" s="58">
        <f>R19+R20-R21</f>
        <v>60.0</v>
      </c>
      <c r="S22" s="58">
        <f>S19+S20-S21</f>
        <v>60.0</v>
      </c>
      <c r="T22" s="58">
        <f>T19+T20-T21</f>
        <v>60.0</v>
      </c>
      <c r="U22" s="58">
        <f>U19+U20-U21</f>
        <v>60.0</v>
      </c>
      <c r="V22" s="58">
        <f>V19+V20-V21</f>
        <v>60.0</v>
      </c>
      <c r="W22" s="58">
        <f>W19+W20-W21</f>
        <v>60.0</v>
      </c>
      <c r="X22" s="58">
        <f>X19+X20-X21</f>
        <v>60.0</v>
      </c>
      <c r="Y22" s="58">
        <f>Y19+Y20-Y21</f>
        <v>60.0</v>
      </c>
      <c r="Z22" s="58">
        <f>Z19+Z20-Z21</f>
        <v>60.0</v>
      </c>
      <c r="AA22" s="58">
        <f>AA19+AA20-AA21</f>
        <v>60.0</v>
      </c>
    </row>
  </sheetData>
  <mergeCells count="3">
    <mergeCell ref="B18:AA18"/>
    <mergeCell ref="B3:AA3"/>
    <mergeCell ref="B2:AA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/>
  </sheetPr>
  <dimension ref="B2:AA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PERSONEEL - KOSTEN &amp; FTE</t>
        </is>
      </c>
    </row>
    <row r="3" ht="15" customHeight="1">
      <c r="B3" s="2" t="inlineStr">
        <is>
          <t>07 Personeel   ·   Maandloon + werkgeverslasten + vakantiegeld · what-if loonmutatie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7">
      <c r="B7" s="17" t="inlineStr">
        <is>
          <t>Basis loonsom per maand</t>
        </is>
      </c>
      <c r="D7" s="41" t="n">
        <v>40000</v>
      </c>
    </row>
    <row r="8">
      <c r="B8" s="17" t="inlineStr">
        <is>
          <t>Werkgeverslasten %</t>
        </is>
      </c>
      <c r="D8" s="46" t="n">
        <v>0.28</v>
      </c>
    </row>
    <row r="9">
      <c r="B9" s="17" t="inlineStr">
        <is>
          <t>Vakantiegeld % (uitkering in mei)</t>
        </is>
      </c>
      <c r="D9" s="46" t="n">
        <v>0.08</v>
      </c>
    </row>
    <row r="10">
      <c r="B10" s="17" t="inlineStr">
        <is>
          <t>What-if loonmutatie %</t>
        </is>
      </c>
      <c r="D10" s="46" t="n">
        <v>0</v>
      </c>
    </row>
    <row r="11">
      <c r="B11" s="17" t="inlineStr">
        <is>
          <t>Aantal FTE</t>
        </is>
      </c>
      <c r="D11" s="59" t="n">
        <v>12</v>
      </c>
    </row>
    <row r="13">
      <c r="B13" s="52" t="inlineStr">
        <is>
          <t>Personeelskosten (kas-uit)</t>
        </is>
      </c>
      <c r="C13" s="25" t="inlineStr">
        <is>
          <t>€</t>
        </is>
      </c>
      <c r="D13" s="39">
        <f>($D$7*(1+$D$8))*(1+$D$10)*(1+p_kostengroei*(0))</f>
        <v>51200.0</v>
      </c>
      <c r="E13" s="39">
        <f>($D$7*(1+$D$8))*(1+$D$10)*(1+p_kostengroei*(0))</f>
        <v>51200.0</v>
      </c>
      <c r="F13" s="39">
        <f>($D$7*(1+$D$8))*(1+$D$10)*(1+p_kostengroei*(0))</f>
        <v>51200.0</v>
      </c>
      <c r="G13" s="39">
        <f>($D$7*(1+$D$8))*(1+$D$10)*(1+p_kostengroei*(0))</f>
        <v>51200.0</v>
      </c>
      <c r="H13" s="39">
        <f>($D$7*(1+$D$8)+$D$7*12*$D$9)*(1+$D$10)*(1+p_kostengroei*(0))</f>
        <v>89600.0</v>
      </c>
      <c r="I13" s="39">
        <f>($D$7*(1+$D$8))*(1+$D$10)*(1+p_kostengroei*(0))</f>
        <v>51200.0</v>
      </c>
      <c r="J13" s="39">
        <f>($D$7*(1+$D$8))*(1+$D$10)*(1+p_kostengroei*(0))</f>
        <v>51200.0</v>
      </c>
      <c r="K13" s="39">
        <f>($D$7*(1+$D$8))*(1+$D$10)*(1+p_kostengroei*(0))</f>
        <v>51200.0</v>
      </c>
      <c r="L13" s="39">
        <f>($D$7*(1+$D$8))*(1+$D$10)*(1+p_kostengroei*(0))</f>
        <v>51200.0</v>
      </c>
      <c r="M13" s="39">
        <f>($D$7*(1+$D$8))*(1+$D$10)*(1+p_kostengroei*(0))</f>
        <v>51200.0</v>
      </c>
      <c r="N13" s="39">
        <f>($D$7*(1+$D$8))*(1+$D$10)*(1+p_kostengroei*(0))</f>
        <v>51200.0</v>
      </c>
      <c r="O13" s="39">
        <f>($D$7*(1+$D$8))*(1+$D$10)*(1+p_kostengroei*(0))</f>
        <v>51200.0</v>
      </c>
      <c r="P13" s="39">
        <f>($D$7*(1+$D$8))*(1+$D$10)*(1+p_kostengroei*(1))</f>
        <v>51200.0</v>
      </c>
      <c r="Q13" s="39">
        <f>($D$7*(1+$D$8))*(1+$D$10)*(1+p_kostengroei*(1))</f>
        <v>51200.0</v>
      </c>
      <c r="R13" s="39">
        <f>($D$7*(1+$D$8))*(1+$D$10)*(1+p_kostengroei*(1))</f>
        <v>51200.0</v>
      </c>
      <c r="S13" s="39">
        <f>($D$7*(1+$D$8))*(1+$D$10)*(1+p_kostengroei*(1))</f>
        <v>51200.0</v>
      </c>
      <c r="T13" s="39">
        <f>($D$7*(1+$D$8)+$D$7*12*$D$9)*(1+$D$10)*(1+p_kostengroei*(1))</f>
        <v>89600.0</v>
      </c>
      <c r="U13" s="39">
        <f>($D$7*(1+$D$8))*(1+$D$10)*(1+p_kostengroei*(1))</f>
        <v>51200.0</v>
      </c>
      <c r="V13" s="39">
        <f>($D$7*(1+$D$8))*(1+$D$10)*(1+p_kostengroei*(1))</f>
        <v>51200.0</v>
      </c>
      <c r="W13" s="39">
        <f>($D$7*(1+$D$8))*(1+$D$10)*(1+p_kostengroei*(1))</f>
        <v>51200.0</v>
      </c>
      <c r="X13" s="39">
        <f>($D$7*(1+$D$8))*(1+$D$10)*(1+p_kostengroei*(1))</f>
        <v>51200.0</v>
      </c>
      <c r="Y13" s="39">
        <f>($D$7*(1+$D$8))*(1+$D$10)*(1+p_kostengroei*(1))</f>
        <v>51200.0</v>
      </c>
      <c r="Z13" s="39">
        <f>($D$7*(1+$D$8))*(1+$D$10)*(1+p_kostengroei*(1))</f>
        <v>51200.0</v>
      </c>
      <c r="AA13" s="39">
        <f>($D$7*(1+$D$8))*(1+$D$10)*(1+p_kostengroei*(1))</f>
        <v>51200.0</v>
      </c>
    </row>
    <row r="14">
      <c r="B14" s="17" t="inlineStr">
        <is>
          <t>Personeelskosten / omzet</t>
        </is>
      </c>
      <c r="C14" s="25" t="inlineStr">
        <is>
          <t>%</t>
        </is>
      </c>
      <c r="D14" s="49">
        <f>IFERROR(D13/'05 Omzet &amp; marge'!D8,0)</f>
        <v>0.14628571428571427</v>
      </c>
      <c r="E14" s="49">
        <f>IFERROR(E13/'05 Omzet &amp; marge'!E8,0)</f>
        <v>0.14628571428571427</v>
      </c>
      <c r="F14" s="49">
        <f>IFERROR(F13/'05 Omzet &amp; marge'!F8,0)</f>
        <v>0.12047058823529411</v>
      </c>
      <c r="G14" s="49">
        <f>IFERROR(G13/'05 Omzet &amp; marge'!G8,0)</f>
        <v>0.12047058823529411</v>
      </c>
      <c r="H14" s="49">
        <f>IFERROR(H13/'05 Omzet &amp; marge'!H8,0)</f>
        <v>0.1991111111111111</v>
      </c>
      <c r="I14" s="49">
        <f>IFERROR(I13/'05 Omzet &amp; marge'!I8,0)</f>
        <v>0.12047058823529411</v>
      </c>
      <c r="J14" s="49">
        <f>IFERROR(J13/'05 Omzet &amp; marge'!J8,0)</f>
        <v>0.14628571428571427</v>
      </c>
      <c r="K14" s="49">
        <f>IFERROR(K13/'05 Omzet &amp; marge'!K8,0)</f>
        <v>0.17066666666666666</v>
      </c>
      <c r="L14" s="49">
        <f>IFERROR(L13/'05 Omzet &amp; marge'!L8,0)</f>
        <v>0.11377777777777778</v>
      </c>
      <c r="M14" s="49">
        <f>IFERROR(M13/'05 Omzet &amp; marge'!M8,0)</f>
        <v>0.1024</v>
      </c>
      <c r="N14" s="49">
        <f>IFERROR(N13/'05 Omzet &amp; marge'!N8,0)</f>
        <v>0.09752380952380953</v>
      </c>
      <c r="O14" s="49">
        <f>IFERROR(O13/'05 Omzet &amp; marge'!O8,0)</f>
        <v>0.11377777777777778</v>
      </c>
      <c r="P14" s="49">
        <f>IFERROR(P13/'05 Omzet &amp; marge'!P8,0)</f>
        <v>0.14628571428571427</v>
      </c>
      <c r="Q14" s="49">
        <f>IFERROR(Q13/'05 Omzet &amp; marge'!Q8,0)</f>
        <v>0.14628571428571427</v>
      </c>
      <c r="R14" s="49">
        <f>IFERROR(R13/'05 Omzet &amp; marge'!R8,0)</f>
        <v>0.12047058823529411</v>
      </c>
      <c r="S14" s="49">
        <f>IFERROR(S13/'05 Omzet &amp; marge'!S8,0)</f>
        <v>0.12047058823529411</v>
      </c>
      <c r="T14" s="49">
        <f>IFERROR(T13/'05 Omzet &amp; marge'!T8,0)</f>
        <v>0.1991111111111111</v>
      </c>
      <c r="U14" s="49">
        <f>IFERROR(U13/'05 Omzet &amp; marge'!U8,0)</f>
        <v>0.12047058823529411</v>
      </c>
      <c r="V14" s="49">
        <f>IFERROR(V13/'05 Omzet &amp; marge'!V8,0)</f>
        <v>0.14628571428571427</v>
      </c>
      <c r="W14" s="49">
        <f>IFERROR(W13/'05 Omzet &amp; marge'!W8,0)</f>
        <v>0.17066666666666666</v>
      </c>
      <c r="X14" s="49">
        <f>IFERROR(X13/'05 Omzet &amp; marge'!X8,0)</f>
        <v>0.11377777777777778</v>
      </c>
      <c r="Y14" s="49">
        <f>IFERROR(Y13/'05 Omzet &amp; marge'!Y8,0)</f>
        <v>0.1024</v>
      </c>
      <c r="Z14" s="49">
        <f>IFERROR(Z13/'05 Omzet &amp; marge'!Z8,0)</f>
        <v>0.09752380952380953</v>
      </c>
      <c r="AA14" s="49">
        <f>IFERROR(AA13/'05 Omzet &amp; marge'!AA8,0)</f>
        <v>0.11377777777777778</v>
      </c>
    </row>
    <row r="15">
      <c r="B15" s="17" t="inlineStr">
        <is>
          <t>FTE (constant, aanpasbaar)</t>
        </is>
      </c>
      <c r="C15" s="25" t="inlineStr">
        <is>
          <t>fte</t>
        </is>
      </c>
      <c r="D15" s="60">
        <f>$D$11</f>
        <v>12</v>
      </c>
      <c r="E15" s="60">
        <f>$D$11</f>
        <v>12</v>
      </c>
      <c r="F15" s="60">
        <f>$D$11</f>
        <v>12</v>
      </c>
      <c r="G15" s="60">
        <f>$D$11</f>
        <v>12</v>
      </c>
      <c r="H15" s="60">
        <f>$D$11</f>
        <v>12</v>
      </c>
      <c r="I15" s="60">
        <f>$D$11</f>
        <v>12</v>
      </c>
      <c r="J15" s="60">
        <f>$D$11</f>
        <v>12</v>
      </c>
      <c r="K15" s="60">
        <f>$D$11</f>
        <v>12</v>
      </c>
      <c r="L15" s="60">
        <f>$D$11</f>
        <v>12</v>
      </c>
      <c r="M15" s="60">
        <f>$D$11</f>
        <v>12</v>
      </c>
      <c r="N15" s="60">
        <f>$D$11</f>
        <v>12</v>
      </c>
      <c r="O15" s="60">
        <f>$D$11</f>
        <v>12</v>
      </c>
      <c r="P15" s="60">
        <f>$D$11</f>
        <v>12</v>
      </c>
      <c r="Q15" s="60">
        <f>$D$11</f>
        <v>12</v>
      </c>
      <c r="R15" s="60">
        <f>$D$11</f>
        <v>12</v>
      </c>
      <c r="S15" s="60">
        <f>$D$11</f>
        <v>12</v>
      </c>
      <c r="T15" s="60">
        <f>$D$11</f>
        <v>12</v>
      </c>
      <c r="U15" s="60">
        <f>$D$11</f>
        <v>12</v>
      </c>
      <c r="V15" s="60">
        <f>$D$11</f>
        <v>12</v>
      </c>
      <c r="W15" s="60">
        <f>$D$11</f>
        <v>12</v>
      </c>
      <c r="X15" s="60">
        <f>$D$11</f>
        <v>12</v>
      </c>
      <c r="Y15" s="60">
        <f>$D$11</f>
        <v>12</v>
      </c>
      <c r="Z15" s="60">
        <f>$D$11</f>
        <v>12</v>
      </c>
      <c r="AA15" s="60">
        <f>$D$11</f>
        <v>12</v>
      </c>
    </row>
  </sheetData>
  <mergeCells count="2">
    <mergeCell ref="B3:AA3"/>
    <mergeCell ref="B2:AA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B2:AA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OVERIGE OPERATIONELE KOSTEN</t>
        </is>
      </c>
    </row>
    <row r="3" ht="15" customHeight="1">
      <c r="B3" s="2" t="inlineStr">
        <is>
          <t>08 Overige kosten   ·   Per categorie: vast bedrag per maand of % van omzet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7" ht="18" customHeight="1">
      <c r="B7" s="56" t="inlineStr">
        <is>
          <t>KOSTENCATEGORIEËN  (Type: V = vast/maand · P = % van omzet)</t>
        </is>
      </c>
    </row>
    <row r="8">
      <c r="B8" s="24" t="inlineStr">
        <is>
          <t>Categorie</t>
        </is>
      </c>
      <c r="C8" s="24" t="inlineStr">
        <is>
          <t>Type</t>
        </is>
      </c>
      <c r="D8" s="24" t="inlineStr">
        <is>
          <t>Basis/maand</t>
        </is>
      </c>
      <c r="E8" s="24" t="inlineStr">
        <is>
          <t>% omzet</t>
        </is>
      </c>
      <c r="F8" s="24" t="inlineStr">
        <is>
          <t>BTW-plichtig?</t>
        </is>
      </c>
    </row>
    <row r="9">
      <c r="B9" s="61" t="inlineStr">
        <is>
          <t>Huisvesting / huur</t>
        </is>
      </c>
      <c r="C9" s="62" t="inlineStr">
        <is>
          <t>V</t>
        </is>
      </c>
      <c r="D9" s="33" t="n">
        <v>8000</v>
      </c>
      <c r="E9" s="27" t="n">
        <v>0</v>
      </c>
      <c r="F9" s="62" t="inlineStr">
        <is>
          <t>JA</t>
        </is>
      </c>
    </row>
    <row r="10">
      <c r="B10" s="61" t="inlineStr">
        <is>
          <t>Energie</t>
        </is>
      </c>
      <c r="C10" s="62" t="inlineStr">
        <is>
          <t>V</t>
        </is>
      </c>
      <c r="D10" s="33" t="n">
        <v>2800</v>
      </c>
      <c r="E10" s="27" t="n">
        <v>0</v>
      </c>
      <c r="F10" s="62" t="inlineStr">
        <is>
          <t>JA</t>
        </is>
      </c>
    </row>
    <row r="11">
      <c r="B11" s="61" t="inlineStr">
        <is>
          <t>Transport / logistiek</t>
        </is>
      </c>
      <c r="C11" s="62" t="inlineStr">
        <is>
          <t>P</t>
        </is>
      </c>
      <c r="D11" s="33" t="n">
        <v>0</v>
      </c>
      <c r="E11" s="27" t="n">
        <v>0.02</v>
      </c>
      <c r="F11" s="62" t="inlineStr">
        <is>
          <t>JA</t>
        </is>
      </c>
    </row>
    <row r="12">
      <c r="B12" s="61" t="inlineStr">
        <is>
          <t>Voertuigen</t>
        </is>
      </c>
      <c r="C12" s="62" t="inlineStr">
        <is>
          <t>V</t>
        </is>
      </c>
      <c r="D12" s="33" t="n">
        <v>3500</v>
      </c>
      <c r="E12" s="27" t="n">
        <v>0</v>
      </c>
      <c r="F12" s="62" t="inlineStr">
        <is>
          <t>JA</t>
        </is>
      </c>
    </row>
    <row r="13">
      <c r="B13" s="61" t="inlineStr">
        <is>
          <t>Verzekeringen</t>
        </is>
      </c>
      <c r="C13" s="62" t="inlineStr">
        <is>
          <t>V</t>
        </is>
      </c>
      <c r="D13" s="33" t="n">
        <v>2000</v>
      </c>
      <c r="E13" s="27" t="n">
        <v>0</v>
      </c>
      <c r="F13" s="62" t="inlineStr">
        <is>
          <t>NEE</t>
        </is>
      </c>
    </row>
    <row r="14">
      <c r="B14" s="61" t="inlineStr">
        <is>
          <t>Marketing / verkoop</t>
        </is>
      </c>
      <c r="C14" s="62" t="inlineStr">
        <is>
          <t>P</t>
        </is>
      </c>
      <c r="D14" s="33" t="n">
        <v>0</v>
      </c>
      <c r="E14" s="27" t="n">
        <v>0.01</v>
      </c>
      <c r="F14" s="62" t="inlineStr">
        <is>
          <t>JA</t>
        </is>
      </c>
    </row>
    <row r="15">
      <c r="B15" s="61" t="inlineStr">
        <is>
          <t>IT</t>
        </is>
      </c>
      <c r="C15" s="62" t="inlineStr">
        <is>
          <t>V</t>
        </is>
      </c>
      <c r="D15" s="33" t="n">
        <v>2500</v>
      </c>
      <c r="E15" s="27" t="n">
        <v>0</v>
      </c>
      <c r="F15" s="62" t="inlineStr">
        <is>
          <t>JA</t>
        </is>
      </c>
    </row>
    <row r="16">
      <c r="B16" s="61" t="inlineStr">
        <is>
          <t>Advies- / accountantskosten</t>
        </is>
      </c>
      <c r="C16" s="62" t="inlineStr">
        <is>
          <t>V</t>
        </is>
      </c>
      <c r="D16" s="33" t="n">
        <v>2000</v>
      </c>
      <c r="E16" s="27" t="n">
        <v>0</v>
      </c>
      <c r="F16" s="62" t="inlineStr">
        <is>
          <t>JA</t>
        </is>
      </c>
    </row>
    <row r="17">
      <c r="B17" s="61" t="inlineStr">
        <is>
          <t>Overige algemene kosten</t>
        </is>
      </c>
      <c r="C17" s="62" t="inlineStr">
        <is>
          <t>V</t>
        </is>
      </c>
      <c r="D17" s="33" t="n">
        <v>3000</v>
      </c>
      <c r="E17" s="27" t="n">
        <v>0</v>
      </c>
      <c r="F17" s="62" t="inlineStr">
        <is>
          <t>JA</t>
        </is>
      </c>
    </row>
    <row r="19">
      <c r="B19" s="42" t="inlineStr">
        <is>
          <t>Maand</t>
        </is>
      </c>
      <c r="C19" s="43" t="inlineStr">
        <is>
          <t>Eenheid</t>
        </is>
      </c>
      <c r="D19" s="44">
        <f>EDATE(s_start,0)</f>
        <v>46023</v>
      </c>
      <c r="E19" s="44">
        <f>EDATE(s_start,1)</f>
        <v>46054</v>
      </c>
      <c r="F19" s="44">
        <f>EDATE(s_start,2)</f>
        <v>46082</v>
      </c>
      <c r="G19" s="44">
        <f>EDATE(s_start,3)</f>
        <v>46113</v>
      </c>
      <c r="H19" s="44">
        <f>EDATE(s_start,4)</f>
        <v>46143</v>
      </c>
      <c r="I19" s="44">
        <f>EDATE(s_start,5)</f>
        <v>46174</v>
      </c>
      <c r="J19" s="44">
        <f>EDATE(s_start,6)</f>
        <v>46204</v>
      </c>
      <c r="K19" s="44">
        <f>EDATE(s_start,7)</f>
        <v>46235</v>
      </c>
      <c r="L19" s="44">
        <f>EDATE(s_start,8)</f>
        <v>46266</v>
      </c>
      <c r="M19" s="44">
        <f>EDATE(s_start,9)</f>
        <v>46296</v>
      </c>
      <c r="N19" s="44">
        <f>EDATE(s_start,10)</f>
        <v>46327</v>
      </c>
      <c r="O19" s="44">
        <f>EDATE(s_start,11)</f>
        <v>46357</v>
      </c>
      <c r="P19" s="44">
        <f>EDATE(s_start,12)</f>
        <v>46388</v>
      </c>
      <c r="Q19" s="44">
        <f>EDATE(s_start,13)</f>
        <v>46419</v>
      </c>
      <c r="R19" s="44">
        <f>EDATE(s_start,14)</f>
        <v>46447</v>
      </c>
      <c r="S19" s="44">
        <f>EDATE(s_start,15)</f>
        <v>46478</v>
      </c>
      <c r="T19" s="44">
        <f>EDATE(s_start,16)</f>
        <v>46508</v>
      </c>
      <c r="U19" s="44">
        <f>EDATE(s_start,17)</f>
        <v>46539</v>
      </c>
      <c r="V19" s="44">
        <f>EDATE(s_start,18)</f>
        <v>46569</v>
      </c>
      <c r="W19" s="44">
        <f>EDATE(s_start,19)</f>
        <v>46600</v>
      </c>
      <c r="X19" s="44">
        <f>EDATE(s_start,20)</f>
        <v>46631</v>
      </c>
      <c r="Y19" s="44">
        <f>EDATE(s_start,21)</f>
        <v>46661</v>
      </c>
      <c r="Z19" s="44">
        <f>EDATE(s_start,22)</f>
        <v>46692</v>
      </c>
      <c r="AA19" s="44">
        <f>EDATE(s_start,23)</f>
        <v>46722</v>
      </c>
    </row>
    <row r="20">
      <c r="B20" s="17" t="inlineStr">
        <is>
          <t>Huisvesting / huur</t>
        </is>
      </c>
      <c r="D20" s="50">
        <f>IF($C$9="V",$D$9*(1+p_kostengroei*0),$E$9*'05 Omzet &amp; marge'!D8)</f>
        <v>8000.0</v>
      </c>
      <c r="E20" s="50">
        <f>IF($C$9="V",$D$9*(1+p_kostengroei*0),$E$9*'05 Omzet &amp; marge'!E8)</f>
        <v>8000.0</v>
      </c>
      <c r="F20" s="50">
        <f>IF($C$9="V",$D$9*(1+p_kostengroei*0),$E$9*'05 Omzet &amp; marge'!F8)</f>
        <v>8000.0</v>
      </c>
      <c r="G20" s="50">
        <f>IF($C$9="V",$D$9*(1+p_kostengroei*0),$E$9*'05 Omzet &amp; marge'!G8)</f>
        <v>8000.0</v>
      </c>
      <c r="H20" s="50">
        <f>IF($C$9="V",$D$9*(1+p_kostengroei*0),$E$9*'05 Omzet &amp; marge'!H8)</f>
        <v>8000.0</v>
      </c>
      <c r="I20" s="50">
        <f>IF($C$9="V",$D$9*(1+p_kostengroei*0),$E$9*'05 Omzet &amp; marge'!I8)</f>
        <v>8000.0</v>
      </c>
      <c r="J20" s="50">
        <f>IF($C$9="V",$D$9*(1+p_kostengroei*0),$E$9*'05 Omzet &amp; marge'!J8)</f>
        <v>8000.0</v>
      </c>
      <c r="K20" s="50">
        <f>IF($C$9="V",$D$9*(1+p_kostengroei*0),$E$9*'05 Omzet &amp; marge'!K8)</f>
        <v>8000.0</v>
      </c>
      <c r="L20" s="50">
        <f>IF($C$9="V",$D$9*(1+p_kostengroei*0),$E$9*'05 Omzet &amp; marge'!L8)</f>
        <v>8000.0</v>
      </c>
      <c r="M20" s="50">
        <f>IF($C$9="V",$D$9*(1+p_kostengroei*0),$E$9*'05 Omzet &amp; marge'!M8)</f>
        <v>8000.0</v>
      </c>
      <c r="N20" s="50">
        <f>IF($C$9="V",$D$9*(1+p_kostengroei*0),$E$9*'05 Omzet &amp; marge'!N8)</f>
        <v>8000.0</v>
      </c>
      <c r="O20" s="50">
        <f>IF($C$9="V",$D$9*(1+p_kostengroei*0),$E$9*'05 Omzet &amp; marge'!O8)</f>
        <v>8000.0</v>
      </c>
      <c r="P20" s="50">
        <f>IF($C$9="V",$D$9*(1+p_kostengroei*1),$E$9*'05 Omzet &amp; marge'!P8)</f>
        <v>8000.0</v>
      </c>
      <c r="Q20" s="50">
        <f>IF($C$9="V",$D$9*(1+p_kostengroei*1),$E$9*'05 Omzet &amp; marge'!Q8)</f>
        <v>8000.0</v>
      </c>
      <c r="R20" s="50">
        <f>IF($C$9="V",$D$9*(1+p_kostengroei*1),$E$9*'05 Omzet &amp; marge'!R8)</f>
        <v>8000.0</v>
      </c>
      <c r="S20" s="50">
        <f>IF($C$9="V",$D$9*(1+p_kostengroei*1),$E$9*'05 Omzet &amp; marge'!S8)</f>
        <v>8000.0</v>
      </c>
      <c r="T20" s="50">
        <f>IF($C$9="V",$D$9*(1+p_kostengroei*1),$E$9*'05 Omzet &amp; marge'!T8)</f>
        <v>8000.0</v>
      </c>
      <c r="U20" s="50">
        <f>IF($C$9="V",$D$9*(1+p_kostengroei*1),$E$9*'05 Omzet &amp; marge'!U8)</f>
        <v>8000.0</v>
      </c>
      <c r="V20" s="50">
        <f>IF($C$9="V",$D$9*(1+p_kostengroei*1),$E$9*'05 Omzet &amp; marge'!V8)</f>
        <v>8000.0</v>
      </c>
      <c r="W20" s="50">
        <f>IF($C$9="V",$D$9*(1+p_kostengroei*1),$E$9*'05 Omzet &amp; marge'!W8)</f>
        <v>8000.0</v>
      </c>
      <c r="X20" s="50">
        <f>IF($C$9="V",$D$9*(1+p_kostengroei*1),$E$9*'05 Omzet &amp; marge'!X8)</f>
        <v>8000.0</v>
      </c>
      <c r="Y20" s="50">
        <f>IF($C$9="V",$D$9*(1+p_kostengroei*1),$E$9*'05 Omzet &amp; marge'!Y8)</f>
        <v>8000.0</v>
      </c>
      <c r="Z20" s="50">
        <f>IF($C$9="V",$D$9*(1+p_kostengroei*1),$E$9*'05 Omzet &amp; marge'!Z8)</f>
        <v>8000.0</v>
      </c>
      <c r="AA20" s="50">
        <f>IF($C$9="V",$D$9*(1+p_kostengroei*1),$E$9*'05 Omzet &amp; marge'!AA8)</f>
        <v>8000.0</v>
      </c>
    </row>
    <row r="21">
      <c r="B21" s="17" t="inlineStr">
        <is>
          <t>Energie</t>
        </is>
      </c>
      <c r="D21" s="50">
        <f>IF($C$10="V",$D$10*(1+p_kostengroei*0),$E$10*'05 Omzet &amp; marge'!D8)</f>
        <v>2800.0</v>
      </c>
      <c r="E21" s="50">
        <f>IF($C$10="V",$D$10*(1+p_kostengroei*0),$E$10*'05 Omzet &amp; marge'!E8)</f>
        <v>2800.0</v>
      </c>
      <c r="F21" s="50">
        <f>IF($C$10="V",$D$10*(1+p_kostengroei*0),$E$10*'05 Omzet &amp; marge'!F8)</f>
        <v>2800.0</v>
      </c>
      <c r="G21" s="50">
        <f>IF($C$10="V",$D$10*(1+p_kostengroei*0),$E$10*'05 Omzet &amp; marge'!G8)</f>
        <v>2800.0</v>
      </c>
      <c r="H21" s="50">
        <f>IF($C$10="V",$D$10*(1+p_kostengroei*0),$E$10*'05 Omzet &amp; marge'!H8)</f>
        <v>2800.0</v>
      </c>
      <c r="I21" s="50">
        <f>IF($C$10="V",$D$10*(1+p_kostengroei*0),$E$10*'05 Omzet &amp; marge'!I8)</f>
        <v>2800.0</v>
      </c>
      <c r="J21" s="50">
        <f>IF($C$10="V",$D$10*(1+p_kostengroei*0),$E$10*'05 Omzet &amp; marge'!J8)</f>
        <v>2800.0</v>
      </c>
      <c r="K21" s="50">
        <f>IF($C$10="V",$D$10*(1+p_kostengroei*0),$E$10*'05 Omzet &amp; marge'!K8)</f>
        <v>2800.0</v>
      </c>
      <c r="L21" s="50">
        <f>IF($C$10="V",$D$10*(1+p_kostengroei*0),$E$10*'05 Omzet &amp; marge'!L8)</f>
        <v>2800.0</v>
      </c>
      <c r="M21" s="50">
        <f>IF($C$10="V",$D$10*(1+p_kostengroei*0),$E$10*'05 Omzet &amp; marge'!M8)</f>
        <v>2800.0</v>
      </c>
      <c r="N21" s="50">
        <f>IF($C$10="V",$D$10*(1+p_kostengroei*0),$E$10*'05 Omzet &amp; marge'!N8)</f>
        <v>2800.0</v>
      </c>
      <c r="O21" s="50">
        <f>IF($C$10="V",$D$10*(1+p_kostengroei*0),$E$10*'05 Omzet &amp; marge'!O8)</f>
        <v>2800.0</v>
      </c>
      <c r="P21" s="50">
        <f>IF($C$10="V",$D$10*(1+p_kostengroei*1),$E$10*'05 Omzet &amp; marge'!P8)</f>
        <v>2800.0</v>
      </c>
      <c r="Q21" s="50">
        <f>IF($C$10="V",$D$10*(1+p_kostengroei*1),$E$10*'05 Omzet &amp; marge'!Q8)</f>
        <v>2800.0</v>
      </c>
      <c r="R21" s="50">
        <f>IF($C$10="V",$D$10*(1+p_kostengroei*1),$E$10*'05 Omzet &amp; marge'!R8)</f>
        <v>2800.0</v>
      </c>
      <c r="S21" s="50">
        <f>IF($C$10="V",$D$10*(1+p_kostengroei*1),$E$10*'05 Omzet &amp; marge'!S8)</f>
        <v>2800.0</v>
      </c>
      <c r="T21" s="50">
        <f>IF($C$10="V",$D$10*(1+p_kostengroei*1),$E$10*'05 Omzet &amp; marge'!T8)</f>
        <v>2800.0</v>
      </c>
      <c r="U21" s="50">
        <f>IF($C$10="V",$D$10*(1+p_kostengroei*1),$E$10*'05 Omzet &amp; marge'!U8)</f>
        <v>2800.0</v>
      </c>
      <c r="V21" s="50">
        <f>IF($C$10="V",$D$10*(1+p_kostengroei*1),$E$10*'05 Omzet &amp; marge'!V8)</f>
        <v>2800.0</v>
      </c>
      <c r="W21" s="50">
        <f>IF($C$10="V",$D$10*(1+p_kostengroei*1),$E$10*'05 Omzet &amp; marge'!W8)</f>
        <v>2800.0</v>
      </c>
      <c r="X21" s="50">
        <f>IF($C$10="V",$D$10*(1+p_kostengroei*1),$E$10*'05 Omzet &amp; marge'!X8)</f>
        <v>2800.0</v>
      </c>
      <c r="Y21" s="50">
        <f>IF($C$10="V",$D$10*(1+p_kostengroei*1),$E$10*'05 Omzet &amp; marge'!Y8)</f>
        <v>2800.0</v>
      </c>
      <c r="Z21" s="50">
        <f>IF($C$10="V",$D$10*(1+p_kostengroei*1),$E$10*'05 Omzet &amp; marge'!Z8)</f>
        <v>2800.0</v>
      </c>
      <c r="AA21" s="50">
        <f>IF($C$10="V",$D$10*(1+p_kostengroei*1),$E$10*'05 Omzet &amp; marge'!AA8)</f>
        <v>2800.0</v>
      </c>
    </row>
    <row r="22">
      <c r="B22" s="17" t="inlineStr">
        <is>
          <t>Transport / logistiek</t>
        </is>
      </c>
      <c r="D22" s="50">
        <f>IF($C$11="V",$D$11*(1+p_kostengroei*0),$E$11*'05 Omzet &amp; marge'!D8)</f>
        <v>7000.000000000001</v>
      </c>
      <c r="E22" s="50">
        <f>IF($C$11="V",$D$11*(1+p_kostengroei*0),$E$11*'05 Omzet &amp; marge'!E8)</f>
        <v>7000.000000000001</v>
      </c>
      <c r="F22" s="50">
        <f>IF($C$11="V",$D$11*(1+p_kostengroei*0),$E$11*'05 Omzet &amp; marge'!F8)</f>
        <v>8500.000000000002</v>
      </c>
      <c r="G22" s="50">
        <f>IF($C$11="V",$D$11*(1+p_kostengroei*0),$E$11*'05 Omzet &amp; marge'!G8)</f>
        <v>8500.000000000002</v>
      </c>
      <c r="H22" s="50">
        <f>IF($C$11="V",$D$11*(1+p_kostengroei*0),$E$11*'05 Omzet &amp; marge'!H8)</f>
        <v>9000.0</v>
      </c>
      <c r="I22" s="50">
        <f>IF($C$11="V",$D$11*(1+p_kostengroei*0),$E$11*'05 Omzet &amp; marge'!I8)</f>
        <v>8500.000000000002</v>
      </c>
      <c r="J22" s="50">
        <f>IF($C$11="V",$D$11*(1+p_kostengroei*0),$E$11*'05 Omzet &amp; marge'!J8)</f>
        <v>7000.000000000001</v>
      </c>
      <c r="K22" s="50">
        <f>IF($C$11="V",$D$11*(1+p_kostengroei*0),$E$11*'05 Omzet &amp; marge'!K8)</f>
        <v>6000.0</v>
      </c>
      <c r="L22" s="50">
        <f>IF($C$11="V",$D$11*(1+p_kostengroei*0),$E$11*'05 Omzet &amp; marge'!L8)</f>
        <v>9000.0</v>
      </c>
      <c r="M22" s="50">
        <f>IF($C$11="V",$D$11*(1+p_kostengroei*0),$E$11*'05 Omzet &amp; marge'!M8)</f>
        <v>10000.0</v>
      </c>
      <c r="N22" s="50">
        <f>IF($C$11="V",$D$11*(1+p_kostengroei*0),$E$11*'05 Omzet &amp; marge'!N8)</f>
        <v>10500.0</v>
      </c>
      <c r="O22" s="50">
        <f>IF($C$11="V",$D$11*(1+p_kostengroei*0),$E$11*'05 Omzet &amp; marge'!O8)</f>
        <v>9000.0</v>
      </c>
      <c r="P22" s="50">
        <f>IF($C$11="V",$D$11*(1+p_kostengroei*1),$E$11*'05 Omzet &amp; marge'!P8)</f>
        <v>7000.000000000001</v>
      </c>
      <c r="Q22" s="50">
        <f>IF($C$11="V",$D$11*(1+p_kostengroei*1),$E$11*'05 Omzet &amp; marge'!Q8)</f>
        <v>7000.000000000001</v>
      </c>
      <c r="R22" s="50">
        <f>IF($C$11="V",$D$11*(1+p_kostengroei*1),$E$11*'05 Omzet &amp; marge'!R8)</f>
        <v>8500.000000000002</v>
      </c>
      <c r="S22" s="50">
        <f>IF($C$11="V",$D$11*(1+p_kostengroei*1),$E$11*'05 Omzet &amp; marge'!S8)</f>
        <v>8500.000000000002</v>
      </c>
      <c r="T22" s="50">
        <f>IF($C$11="V",$D$11*(1+p_kostengroei*1),$E$11*'05 Omzet &amp; marge'!T8)</f>
        <v>9000.0</v>
      </c>
      <c r="U22" s="50">
        <f>IF($C$11="V",$D$11*(1+p_kostengroei*1),$E$11*'05 Omzet &amp; marge'!U8)</f>
        <v>8500.000000000002</v>
      </c>
      <c r="V22" s="50">
        <f>IF($C$11="V",$D$11*(1+p_kostengroei*1),$E$11*'05 Omzet &amp; marge'!V8)</f>
        <v>7000.000000000001</v>
      </c>
      <c r="W22" s="50">
        <f>IF($C$11="V",$D$11*(1+p_kostengroei*1),$E$11*'05 Omzet &amp; marge'!W8)</f>
        <v>6000.0</v>
      </c>
      <c r="X22" s="50">
        <f>IF($C$11="V",$D$11*(1+p_kostengroei*1),$E$11*'05 Omzet &amp; marge'!X8)</f>
        <v>9000.0</v>
      </c>
      <c r="Y22" s="50">
        <f>IF($C$11="V",$D$11*(1+p_kostengroei*1),$E$11*'05 Omzet &amp; marge'!Y8)</f>
        <v>10000.0</v>
      </c>
      <c r="Z22" s="50">
        <f>IF($C$11="V",$D$11*(1+p_kostengroei*1),$E$11*'05 Omzet &amp; marge'!Z8)</f>
        <v>10500.0</v>
      </c>
      <c r="AA22" s="50">
        <f>IF($C$11="V",$D$11*(1+p_kostengroei*1),$E$11*'05 Omzet &amp; marge'!AA8)</f>
        <v>9000.0</v>
      </c>
    </row>
    <row r="23">
      <c r="B23" s="17" t="inlineStr">
        <is>
          <t>Voertuigen</t>
        </is>
      </c>
      <c r="D23" s="50">
        <f>IF($C$12="V",$D$12*(1+p_kostengroei*0),$E$12*'05 Omzet &amp; marge'!D8)</f>
        <v>3500.0</v>
      </c>
      <c r="E23" s="50">
        <f>IF($C$12="V",$D$12*(1+p_kostengroei*0),$E$12*'05 Omzet &amp; marge'!E8)</f>
        <v>3500.0</v>
      </c>
      <c r="F23" s="50">
        <f>IF($C$12="V",$D$12*(1+p_kostengroei*0),$E$12*'05 Omzet &amp; marge'!F8)</f>
        <v>3500.0</v>
      </c>
      <c r="G23" s="50">
        <f>IF($C$12="V",$D$12*(1+p_kostengroei*0),$E$12*'05 Omzet &amp; marge'!G8)</f>
        <v>3500.0</v>
      </c>
      <c r="H23" s="50">
        <f>IF($C$12="V",$D$12*(1+p_kostengroei*0),$E$12*'05 Omzet &amp; marge'!H8)</f>
        <v>3500.0</v>
      </c>
      <c r="I23" s="50">
        <f>IF($C$12="V",$D$12*(1+p_kostengroei*0),$E$12*'05 Omzet &amp; marge'!I8)</f>
        <v>3500.0</v>
      </c>
      <c r="J23" s="50">
        <f>IF($C$12="V",$D$12*(1+p_kostengroei*0),$E$12*'05 Omzet &amp; marge'!J8)</f>
        <v>3500.0</v>
      </c>
      <c r="K23" s="50">
        <f>IF($C$12="V",$D$12*(1+p_kostengroei*0),$E$12*'05 Omzet &amp; marge'!K8)</f>
        <v>3500.0</v>
      </c>
      <c r="L23" s="50">
        <f>IF($C$12="V",$D$12*(1+p_kostengroei*0),$E$12*'05 Omzet &amp; marge'!L8)</f>
        <v>3500.0</v>
      </c>
      <c r="M23" s="50">
        <f>IF($C$12="V",$D$12*(1+p_kostengroei*0),$E$12*'05 Omzet &amp; marge'!M8)</f>
        <v>3500.0</v>
      </c>
      <c r="N23" s="50">
        <f>IF($C$12="V",$D$12*(1+p_kostengroei*0),$E$12*'05 Omzet &amp; marge'!N8)</f>
        <v>3500.0</v>
      </c>
      <c r="O23" s="50">
        <f>IF($C$12="V",$D$12*(1+p_kostengroei*0),$E$12*'05 Omzet &amp; marge'!O8)</f>
        <v>3500.0</v>
      </c>
      <c r="P23" s="50">
        <f>IF($C$12="V",$D$12*(1+p_kostengroei*1),$E$12*'05 Omzet &amp; marge'!P8)</f>
        <v>3500.0</v>
      </c>
      <c r="Q23" s="50">
        <f>IF($C$12="V",$D$12*(1+p_kostengroei*1),$E$12*'05 Omzet &amp; marge'!Q8)</f>
        <v>3500.0</v>
      </c>
      <c r="R23" s="50">
        <f>IF($C$12="V",$D$12*(1+p_kostengroei*1),$E$12*'05 Omzet &amp; marge'!R8)</f>
        <v>3500.0</v>
      </c>
      <c r="S23" s="50">
        <f>IF($C$12="V",$D$12*(1+p_kostengroei*1),$E$12*'05 Omzet &amp; marge'!S8)</f>
        <v>3500.0</v>
      </c>
      <c r="T23" s="50">
        <f>IF($C$12="V",$D$12*(1+p_kostengroei*1),$E$12*'05 Omzet &amp; marge'!T8)</f>
        <v>3500.0</v>
      </c>
      <c r="U23" s="50">
        <f>IF($C$12="V",$D$12*(1+p_kostengroei*1),$E$12*'05 Omzet &amp; marge'!U8)</f>
        <v>3500.0</v>
      </c>
      <c r="V23" s="50">
        <f>IF($C$12="V",$D$12*(1+p_kostengroei*1),$E$12*'05 Omzet &amp; marge'!V8)</f>
        <v>3500.0</v>
      </c>
      <c r="W23" s="50">
        <f>IF($C$12="V",$D$12*(1+p_kostengroei*1),$E$12*'05 Omzet &amp; marge'!W8)</f>
        <v>3500.0</v>
      </c>
      <c r="X23" s="50">
        <f>IF($C$12="V",$D$12*(1+p_kostengroei*1),$E$12*'05 Omzet &amp; marge'!X8)</f>
        <v>3500.0</v>
      </c>
      <c r="Y23" s="50">
        <f>IF($C$12="V",$D$12*(1+p_kostengroei*1),$E$12*'05 Omzet &amp; marge'!Y8)</f>
        <v>3500.0</v>
      </c>
      <c r="Z23" s="50">
        <f>IF($C$12="V",$D$12*(1+p_kostengroei*1),$E$12*'05 Omzet &amp; marge'!Z8)</f>
        <v>3500.0</v>
      </c>
      <c r="AA23" s="50">
        <f>IF($C$12="V",$D$12*(1+p_kostengroei*1),$E$12*'05 Omzet &amp; marge'!AA8)</f>
        <v>3500.0</v>
      </c>
    </row>
    <row r="24">
      <c r="B24" s="17" t="inlineStr">
        <is>
          <t>Verzekeringen</t>
        </is>
      </c>
      <c r="D24" s="50">
        <f>IF($C$13="V",$D$13*(1+p_kostengroei*0),$E$13*'05 Omzet &amp; marge'!D8)</f>
        <v>2000.0</v>
      </c>
      <c r="E24" s="50">
        <f>IF($C$13="V",$D$13*(1+p_kostengroei*0),$E$13*'05 Omzet &amp; marge'!E8)</f>
        <v>2000.0</v>
      </c>
      <c r="F24" s="50">
        <f>IF($C$13="V",$D$13*(1+p_kostengroei*0),$E$13*'05 Omzet &amp; marge'!F8)</f>
        <v>2000.0</v>
      </c>
      <c r="G24" s="50">
        <f>IF($C$13="V",$D$13*(1+p_kostengroei*0),$E$13*'05 Omzet &amp; marge'!G8)</f>
        <v>2000.0</v>
      </c>
      <c r="H24" s="50">
        <f>IF($C$13="V",$D$13*(1+p_kostengroei*0),$E$13*'05 Omzet &amp; marge'!H8)</f>
        <v>2000.0</v>
      </c>
      <c r="I24" s="50">
        <f>IF($C$13="V",$D$13*(1+p_kostengroei*0),$E$13*'05 Omzet &amp; marge'!I8)</f>
        <v>2000.0</v>
      </c>
      <c r="J24" s="50">
        <f>IF($C$13="V",$D$13*(1+p_kostengroei*0),$E$13*'05 Omzet &amp; marge'!J8)</f>
        <v>2000.0</v>
      </c>
      <c r="K24" s="50">
        <f>IF($C$13="V",$D$13*(1+p_kostengroei*0),$E$13*'05 Omzet &amp; marge'!K8)</f>
        <v>2000.0</v>
      </c>
      <c r="L24" s="50">
        <f>IF($C$13="V",$D$13*(1+p_kostengroei*0),$E$13*'05 Omzet &amp; marge'!L8)</f>
        <v>2000.0</v>
      </c>
      <c r="M24" s="50">
        <f>IF($C$13="V",$D$13*(1+p_kostengroei*0),$E$13*'05 Omzet &amp; marge'!M8)</f>
        <v>2000.0</v>
      </c>
      <c r="N24" s="50">
        <f>IF($C$13="V",$D$13*(1+p_kostengroei*0),$E$13*'05 Omzet &amp; marge'!N8)</f>
        <v>2000.0</v>
      </c>
      <c r="O24" s="50">
        <f>IF($C$13="V",$D$13*(1+p_kostengroei*0),$E$13*'05 Omzet &amp; marge'!O8)</f>
        <v>2000.0</v>
      </c>
      <c r="P24" s="50">
        <f>IF($C$13="V",$D$13*(1+p_kostengroei*1),$E$13*'05 Omzet &amp; marge'!P8)</f>
        <v>2000.0</v>
      </c>
      <c r="Q24" s="50">
        <f>IF($C$13="V",$D$13*(1+p_kostengroei*1),$E$13*'05 Omzet &amp; marge'!Q8)</f>
        <v>2000.0</v>
      </c>
      <c r="R24" s="50">
        <f>IF($C$13="V",$D$13*(1+p_kostengroei*1),$E$13*'05 Omzet &amp; marge'!R8)</f>
        <v>2000.0</v>
      </c>
      <c r="S24" s="50">
        <f>IF($C$13="V",$D$13*(1+p_kostengroei*1),$E$13*'05 Omzet &amp; marge'!S8)</f>
        <v>2000.0</v>
      </c>
      <c r="T24" s="50">
        <f>IF($C$13="V",$D$13*(1+p_kostengroei*1),$E$13*'05 Omzet &amp; marge'!T8)</f>
        <v>2000.0</v>
      </c>
      <c r="U24" s="50">
        <f>IF($C$13="V",$D$13*(1+p_kostengroei*1),$E$13*'05 Omzet &amp; marge'!U8)</f>
        <v>2000.0</v>
      </c>
      <c r="V24" s="50">
        <f>IF($C$13="V",$D$13*(1+p_kostengroei*1),$E$13*'05 Omzet &amp; marge'!V8)</f>
        <v>2000.0</v>
      </c>
      <c r="W24" s="50">
        <f>IF($C$13="V",$D$13*(1+p_kostengroei*1),$E$13*'05 Omzet &amp; marge'!W8)</f>
        <v>2000.0</v>
      </c>
      <c r="X24" s="50">
        <f>IF($C$13="V",$D$13*(1+p_kostengroei*1),$E$13*'05 Omzet &amp; marge'!X8)</f>
        <v>2000.0</v>
      </c>
      <c r="Y24" s="50">
        <f>IF($C$13="V",$D$13*(1+p_kostengroei*1),$E$13*'05 Omzet &amp; marge'!Y8)</f>
        <v>2000.0</v>
      </c>
      <c r="Z24" s="50">
        <f>IF($C$13="V",$D$13*(1+p_kostengroei*1),$E$13*'05 Omzet &amp; marge'!Z8)</f>
        <v>2000.0</v>
      </c>
      <c r="AA24" s="50">
        <f>IF($C$13="V",$D$13*(1+p_kostengroei*1),$E$13*'05 Omzet &amp; marge'!AA8)</f>
        <v>2000.0</v>
      </c>
    </row>
    <row r="25">
      <c r="B25" s="17" t="inlineStr">
        <is>
          <t>Marketing / verkoop</t>
        </is>
      </c>
      <c r="D25" s="50">
        <f>IF($C$14="V",$D$14*(1+p_kostengroei*0),$E$14*'05 Omzet &amp; marge'!D8)</f>
        <v>3500.0000000000005</v>
      </c>
      <c r="E25" s="50">
        <f>IF($C$14="V",$D$14*(1+p_kostengroei*0),$E$14*'05 Omzet &amp; marge'!E8)</f>
        <v>3500.0000000000005</v>
      </c>
      <c r="F25" s="50">
        <f>IF($C$14="V",$D$14*(1+p_kostengroei*0),$E$14*'05 Omzet &amp; marge'!F8)</f>
        <v>4250.000000000001</v>
      </c>
      <c r="G25" s="50">
        <f>IF($C$14="V",$D$14*(1+p_kostengroei*0),$E$14*'05 Omzet &amp; marge'!G8)</f>
        <v>4250.000000000001</v>
      </c>
      <c r="H25" s="50">
        <f>IF($C$14="V",$D$14*(1+p_kostengroei*0),$E$14*'05 Omzet &amp; marge'!H8)</f>
        <v>4500.0</v>
      </c>
      <c r="I25" s="50">
        <f>IF($C$14="V",$D$14*(1+p_kostengroei*0),$E$14*'05 Omzet &amp; marge'!I8)</f>
        <v>4250.000000000001</v>
      </c>
      <c r="J25" s="50">
        <f>IF($C$14="V",$D$14*(1+p_kostengroei*0),$E$14*'05 Omzet &amp; marge'!J8)</f>
        <v>3500.0000000000005</v>
      </c>
      <c r="K25" s="50">
        <f>IF($C$14="V",$D$14*(1+p_kostengroei*0),$E$14*'05 Omzet &amp; marge'!K8)</f>
        <v>3000.0</v>
      </c>
      <c r="L25" s="50">
        <f>IF($C$14="V",$D$14*(1+p_kostengroei*0),$E$14*'05 Omzet &amp; marge'!L8)</f>
        <v>4500.0</v>
      </c>
      <c r="M25" s="50">
        <f>IF($C$14="V",$D$14*(1+p_kostengroei*0),$E$14*'05 Omzet &amp; marge'!M8)</f>
        <v>5000.0</v>
      </c>
      <c r="N25" s="50">
        <f>IF($C$14="V",$D$14*(1+p_kostengroei*0),$E$14*'05 Omzet &amp; marge'!N8)</f>
        <v>5250.0</v>
      </c>
      <c r="O25" s="50">
        <f>IF($C$14="V",$D$14*(1+p_kostengroei*0),$E$14*'05 Omzet &amp; marge'!O8)</f>
        <v>4500.0</v>
      </c>
      <c r="P25" s="50">
        <f>IF($C$14="V",$D$14*(1+p_kostengroei*1),$E$14*'05 Omzet &amp; marge'!P8)</f>
        <v>3500.0000000000005</v>
      </c>
      <c r="Q25" s="50">
        <f>IF($C$14="V",$D$14*(1+p_kostengroei*1),$E$14*'05 Omzet &amp; marge'!Q8)</f>
        <v>3500.0000000000005</v>
      </c>
      <c r="R25" s="50">
        <f>IF($C$14="V",$D$14*(1+p_kostengroei*1),$E$14*'05 Omzet &amp; marge'!R8)</f>
        <v>4250.000000000001</v>
      </c>
      <c r="S25" s="50">
        <f>IF($C$14="V",$D$14*(1+p_kostengroei*1),$E$14*'05 Omzet &amp; marge'!S8)</f>
        <v>4250.000000000001</v>
      </c>
      <c r="T25" s="50">
        <f>IF($C$14="V",$D$14*(1+p_kostengroei*1),$E$14*'05 Omzet &amp; marge'!T8)</f>
        <v>4500.0</v>
      </c>
      <c r="U25" s="50">
        <f>IF($C$14="V",$D$14*(1+p_kostengroei*1),$E$14*'05 Omzet &amp; marge'!U8)</f>
        <v>4250.000000000001</v>
      </c>
      <c r="V25" s="50">
        <f>IF($C$14="V",$D$14*(1+p_kostengroei*1),$E$14*'05 Omzet &amp; marge'!V8)</f>
        <v>3500.0000000000005</v>
      </c>
      <c r="W25" s="50">
        <f>IF($C$14="V",$D$14*(1+p_kostengroei*1),$E$14*'05 Omzet &amp; marge'!W8)</f>
        <v>3000.0</v>
      </c>
      <c r="X25" s="50">
        <f>IF($C$14="V",$D$14*(1+p_kostengroei*1),$E$14*'05 Omzet &amp; marge'!X8)</f>
        <v>4500.0</v>
      </c>
      <c r="Y25" s="50">
        <f>IF($C$14="V",$D$14*(1+p_kostengroei*1),$E$14*'05 Omzet &amp; marge'!Y8)</f>
        <v>5000.0</v>
      </c>
      <c r="Z25" s="50">
        <f>IF($C$14="V",$D$14*(1+p_kostengroei*1),$E$14*'05 Omzet &amp; marge'!Z8)</f>
        <v>5250.0</v>
      </c>
      <c r="AA25" s="50">
        <f>IF($C$14="V",$D$14*(1+p_kostengroei*1),$E$14*'05 Omzet &amp; marge'!AA8)</f>
        <v>4500.0</v>
      </c>
    </row>
    <row r="26">
      <c r="B26" s="17" t="inlineStr">
        <is>
          <t>IT</t>
        </is>
      </c>
      <c r="D26" s="50">
        <f>IF($C$15="V",$D$15*(1+p_kostengroei*0),$E$15*'05 Omzet &amp; marge'!D8)</f>
        <v>2500.0</v>
      </c>
      <c r="E26" s="50">
        <f>IF($C$15="V",$D$15*(1+p_kostengroei*0),$E$15*'05 Omzet &amp; marge'!E8)</f>
        <v>2500.0</v>
      </c>
      <c r="F26" s="50">
        <f>IF($C$15="V",$D$15*(1+p_kostengroei*0),$E$15*'05 Omzet &amp; marge'!F8)</f>
        <v>2500.0</v>
      </c>
      <c r="G26" s="50">
        <f>IF($C$15="V",$D$15*(1+p_kostengroei*0),$E$15*'05 Omzet &amp; marge'!G8)</f>
        <v>2500.0</v>
      </c>
      <c r="H26" s="50">
        <f>IF($C$15="V",$D$15*(1+p_kostengroei*0),$E$15*'05 Omzet &amp; marge'!H8)</f>
        <v>2500.0</v>
      </c>
      <c r="I26" s="50">
        <f>IF($C$15="V",$D$15*(1+p_kostengroei*0),$E$15*'05 Omzet &amp; marge'!I8)</f>
        <v>2500.0</v>
      </c>
      <c r="J26" s="50">
        <f>IF($C$15="V",$D$15*(1+p_kostengroei*0),$E$15*'05 Omzet &amp; marge'!J8)</f>
        <v>2500.0</v>
      </c>
      <c r="K26" s="50">
        <f>IF($C$15="V",$D$15*(1+p_kostengroei*0),$E$15*'05 Omzet &amp; marge'!K8)</f>
        <v>2500.0</v>
      </c>
      <c r="L26" s="50">
        <f>IF($C$15="V",$D$15*(1+p_kostengroei*0),$E$15*'05 Omzet &amp; marge'!L8)</f>
        <v>2500.0</v>
      </c>
      <c r="M26" s="50">
        <f>IF($C$15="V",$D$15*(1+p_kostengroei*0),$E$15*'05 Omzet &amp; marge'!M8)</f>
        <v>2500.0</v>
      </c>
      <c r="N26" s="50">
        <f>IF($C$15="V",$D$15*(1+p_kostengroei*0),$E$15*'05 Omzet &amp; marge'!N8)</f>
        <v>2500.0</v>
      </c>
      <c r="O26" s="50">
        <f>IF($C$15="V",$D$15*(1+p_kostengroei*0),$E$15*'05 Omzet &amp; marge'!O8)</f>
        <v>2500.0</v>
      </c>
      <c r="P26" s="50">
        <f>IF($C$15="V",$D$15*(1+p_kostengroei*1),$E$15*'05 Omzet &amp; marge'!P8)</f>
        <v>2500.0</v>
      </c>
      <c r="Q26" s="50">
        <f>IF($C$15="V",$D$15*(1+p_kostengroei*1),$E$15*'05 Omzet &amp; marge'!Q8)</f>
        <v>2500.0</v>
      </c>
      <c r="R26" s="50">
        <f>IF($C$15="V",$D$15*(1+p_kostengroei*1),$E$15*'05 Omzet &amp; marge'!R8)</f>
        <v>2500.0</v>
      </c>
      <c r="S26" s="50">
        <f>IF($C$15="V",$D$15*(1+p_kostengroei*1),$E$15*'05 Omzet &amp; marge'!S8)</f>
        <v>2500.0</v>
      </c>
      <c r="T26" s="50">
        <f>IF($C$15="V",$D$15*(1+p_kostengroei*1),$E$15*'05 Omzet &amp; marge'!T8)</f>
        <v>2500.0</v>
      </c>
      <c r="U26" s="50">
        <f>IF($C$15="V",$D$15*(1+p_kostengroei*1),$E$15*'05 Omzet &amp; marge'!U8)</f>
        <v>2500.0</v>
      </c>
      <c r="V26" s="50">
        <f>IF($C$15="V",$D$15*(1+p_kostengroei*1),$E$15*'05 Omzet &amp; marge'!V8)</f>
        <v>2500.0</v>
      </c>
      <c r="W26" s="50">
        <f>IF($C$15="V",$D$15*(1+p_kostengroei*1),$E$15*'05 Omzet &amp; marge'!W8)</f>
        <v>2500.0</v>
      </c>
      <c r="X26" s="50">
        <f>IF($C$15="V",$D$15*(1+p_kostengroei*1),$E$15*'05 Omzet &amp; marge'!X8)</f>
        <v>2500.0</v>
      </c>
      <c r="Y26" s="50">
        <f>IF($C$15="V",$D$15*(1+p_kostengroei*1),$E$15*'05 Omzet &amp; marge'!Y8)</f>
        <v>2500.0</v>
      </c>
      <c r="Z26" s="50">
        <f>IF($C$15="V",$D$15*(1+p_kostengroei*1),$E$15*'05 Omzet &amp; marge'!Z8)</f>
        <v>2500.0</v>
      </c>
      <c r="AA26" s="50">
        <f>IF($C$15="V",$D$15*(1+p_kostengroei*1),$E$15*'05 Omzet &amp; marge'!AA8)</f>
        <v>2500.0</v>
      </c>
    </row>
    <row r="27">
      <c r="B27" s="17" t="inlineStr">
        <is>
          <t>Advies- / accountantskosten</t>
        </is>
      </c>
      <c r="D27" s="50">
        <f>IF($C$16="V",$D$16*(1+p_kostengroei*0),$E$16*'05 Omzet &amp; marge'!D8)</f>
        <v>2000.0</v>
      </c>
      <c r="E27" s="50">
        <f>IF($C$16="V",$D$16*(1+p_kostengroei*0),$E$16*'05 Omzet &amp; marge'!E8)</f>
        <v>2000.0</v>
      </c>
      <c r="F27" s="50">
        <f>IF($C$16="V",$D$16*(1+p_kostengroei*0),$E$16*'05 Omzet &amp; marge'!F8)</f>
        <v>2000.0</v>
      </c>
      <c r="G27" s="50">
        <f>IF($C$16="V",$D$16*(1+p_kostengroei*0),$E$16*'05 Omzet &amp; marge'!G8)</f>
        <v>2000.0</v>
      </c>
      <c r="H27" s="50">
        <f>IF($C$16="V",$D$16*(1+p_kostengroei*0),$E$16*'05 Omzet &amp; marge'!H8)</f>
        <v>2000.0</v>
      </c>
      <c r="I27" s="50">
        <f>IF($C$16="V",$D$16*(1+p_kostengroei*0),$E$16*'05 Omzet &amp; marge'!I8)</f>
        <v>2000.0</v>
      </c>
      <c r="J27" s="50">
        <f>IF($C$16="V",$D$16*(1+p_kostengroei*0),$E$16*'05 Omzet &amp; marge'!J8)</f>
        <v>2000.0</v>
      </c>
      <c r="K27" s="50">
        <f>IF($C$16="V",$D$16*(1+p_kostengroei*0),$E$16*'05 Omzet &amp; marge'!K8)</f>
        <v>2000.0</v>
      </c>
      <c r="L27" s="50">
        <f>IF($C$16="V",$D$16*(1+p_kostengroei*0),$E$16*'05 Omzet &amp; marge'!L8)</f>
        <v>2000.0</v>
      </c>
      <c r="M27" s="50">
        <f>IF($C$16="V",$D$16*(1+p_kostengroei*0),$E$16*'05 Omzet &amp; marge'!M8)</f>
        <v>2000.0</v>
      </c>
      <c r="N27" s="50">
        <f>IF($C$16="V",$D$16*(1+p_kostengroei*0),$E$16*'05 Omzet &amp; marge'!N8)</f>
        <v>2000.0</v>
      </c>
      <c r="O27" s="50">
        <f>IF($C$16="V",$D$16*(1+p_kostengroei*0),$E$16*'05 Omzet &amp; marge'!O8)</f>
        <v>2000.0</v>
      </c>
      <c r="P27" s="50">
        <f>IF($C$16="V",$D$16*(1+p_kostengroei*1),$E$16*'05 Omzet &amp; marge'!P8)</f>
        <v>2000.0</v>
      </c>
      <c r="Q27" s="50">
        <f>IF($C$16="V",$D$16*(1+p_kostengroei*1),$E$16*'05 Omzet &amp; marge'!Q8)</f>
        <v>2000.0</v>
      </c>
      <c r="R27" s="50">
        <f>IF($C$16="V",$D$16*(1+p_kostengroei*1),$E$16*'05 Omzet &amp; marge'!R8)</f>
        <v>2000.0</v>
      </c>
      <c r="S27" s="50">
        <f>IF($C$16="V",$D$16*(1+p_kostengroei*1),$E$16*'05 Omzet &amp; marge'!S8)</f>
        <v>2000.0</v>
      </c>
      <c r="T27" s="50">
        <f>IF($C$16="V",$D$16*(1+p_kostengroei*1),$E$16*'05 Omzet &amp; marge'!T8)</f>
        <v>2000.0</v>
      </c>
      <c r="U27" s="50">
        <f>IF($C$16="V",$D$16*(1+p_kostengroei*1),$E$16*'05 Omzet &amp; marge'!U8)</f>
        <v>2000.0</v>
      </c>
      <c r="V27" s="50">
        <f>IF($C$16="V",$D$16*(1+p_kostengroei*1),$E$16*'05 Omzet &amp; marge'!V8)</f>
        <v>2000.0</v>
      </c>
      <c r="W27" s="50">
        <f>IF($C$16="V",$D$16*(1+p_kostengroei*1),$E$16*'05 Omzet &amp; marge'!W8)</f>
        <v>2000.0</v>
      </c>
      <c r="X27" s="50">
        <f>IF($C$16="V",$D$16*(1+p_kostengroei*1),$E$16*'05 Omzet &amp; marge'!X8)</f>
        <v>2000.0</v>
      </c>
      <c r="Y27" s="50">
        <f>IF($C$16="V",$D$16*(1+p_kostengroei*1),$E$16*'05 Omzet &amp; marge'!Y8)</f>
        <v>2000.0</v>
      </c>
      <c r="Z27" s="50">
        <f>IF($C$16="V",$D$16*(1+p_kostengroei*1),$E$16*'05 Omzet &amp; marge'!Z8)</f>
        <v>2000.0</v>
      </c>
      <c r="AA27" s="50">
        <f>IF($C$16="V",$D$16*(1+p_kostengroei*1),$E$16*'05 Omzet &amp; marge'!AA8)</f>
        <v>2000.0</v>
      </c>
    </row>
    <row r="28">
      <c r="B28" s="17" t="inlineStr">
        <is>
          <t>Overige algemene kosten</t>
        </is>
      </c>
      <c r="D28" s="50">
        <f>IF($C$17="V",$D$17*(1+p_kostengroei*0),$E$17*'05 Omzet &amp; marge'!D8)</f>
        <v>3000.0</v>
      </c>
      <c r="E28" s="50">
        <f>IF($C$17="V",$D$17*(1+p_kostengroei*0),$E$17*'05 Omzet &amp; marge'!E8)</f>
        <v>3000.0</v>
      </c>
      <c r="F28" s="50">
        <f>IF($C$17="V",$D$17*(1+p_kostengroei*0),$E$17*'05 Omzet &amp; marge'!F8)</f>
        <v>3000.0</v>
      </c>
      <c r="G28" s="50">
        <f>IF($C$17="V",$D$17*(1+p_kostengroei*0),$E$17*'05 Omzet &amp; marge'!G8)</f>
        <v>3000.0</v>
      </c>
      <c r="H28" s="50">
        <f>IF($C$17="V",$D$17*(1+p_kostengroei*0),$E$17*'05 Omzet &amp; marge'!H8)</f>
        <v>3000.0</v>
      </c>
      <c r="I28" s="50">
        <f>IF($C$17="V",$D$17*(1+p_kostengroei*0),$E$17*'05 Omzet &amp; marge'!I8)</f>
        <v>3000.0</v>
      </c>
      <c r="J28" s="50">
        <f>IF($C$17="V",$D$17*(1+p_kostengroei*0),$E$17*'05 Omzet &amp; marge'!J8)</f>
        <v>3000.0</v>
      </c>
      <c r="K28" s="50">
        <f>IF($C$17="V",$D$17*(1+p_kostengroei*0),$E$17*'05 Omzet &amp; marge'!K8)</f>
        <v>3000.0</v>
      </c>
      <c r="L28" s="50">
        <f>IF($C$17="V",$D$17*(1+p_kostengroei*0),$E$17*'05 Omzet &amp; marge'!L8)</f>
        <v>3000.0</v>
      </c>
      <c r="M28" s="50">
        <f>IF($C$17="V",$D$17*(1+p_kostengroei*0),$E$17*'05 Omzet &amp; marge'!M8)</f>
        <v>3000.0</v>
      </c>
      <c r="N28" s="50">
        <f>IF($C$17="V",$D$17*(1+p_kostengroei*0),$E$17*'05 Omzet &amp; marge'!N8)</f>
        <v>3000.0</v>
      </c>
      <c r="O28" s="50">
        <f>IF($C$17="V",$D$17*(1+p_kostengroei*0),$E$17*'05 Omzet &amp; marge'!O8)</f>
        <v>3000.0</v>
      </c>
      <c r="P28" s="50">
        <f>IF($C$17="V",$D$17*(1+p_kostengroei*1),$E$17*'05 Omzet &amp; marge'!P8)</f>
        <v>3000.0</v>
      </c>
      <c r="Q28" s="50">
        <f>IF($C$17="V",$D$17*(1+p_kostengroei*1),$E$17*'05 Omzet &amp; marge'!Q8)</f>
        <v>3000.0</v>
      </c>
      <c r="R28" s="50">
        <f>IF($C$17="V",$D$17*(1+p_kostengroei*1),$E$17*'05 Omzet &amp; marge'!R8)</f>
        <v>3000.0</v>
      </c>
      <c r="S28" s="50">
        <f>IF($C$17="V",$D$17*(1+p_kostengroei*1),$E$17*'05 Omzet &amp; marge'!S8)</f>
        <v>3000.0</v>
      </c>
      <c r="T28" s="50">
        <f>IF($C$17="V",$D$17*(1+p_kostengroei*1),$E$17*'05 Omzet &amp; marge'!T8)</f>
        <v>3000.0</v>
      </c>
      <c r="U28" s="50">
        <f>IF($C$17="V",$D$17*(1+p_kostengroei*1),$E$17*'05 Omzet &amp; marge'!U8)</f>
        <v>3000.0</v>
      </c>
      <c r="V28" s="50">
        <f>IF($C$17="V",$D$17*(1+p_kostengroei*1),$E$17*'05 Omzet &amp; marge'!V8)</f>
        <v>3000.0</v>
      </c>
      <c r="W28" s="50">
        <f>IF($C$17="V",$D$17*(1+p_kostengroei*1),$E$17*'05 Omzet &amp; marge'!W8)</f>
        <v>3000.0</v>
      </c>
      <c r="X28" s="50">
        <f>IF($C$17="V",$D$17*(1+p_kostengroei*1),$E$17*'05 Omzet &amp; marge'!X8)</f>
        <v>3000.0</v>
      </c>
      <c r="Y28" s="50">
        <f>IF($C$17="V",$D$17*(1+p_kostengroei*1),$E$17*'05 Omzet &amp; marge'!Y8)</f>
        <v>3000.0</v>
      </c>
      <c r="Z28" s="50">
        <f>IF($C$17="V",$D$17*(1+p_kostengroei*1),$E$17*'05 Omzet &amp; marge'!Z8)</f>
        <v>3000.0</v>
      </c>
      <c r="AA28" s="50">
        <f>IF($C$17="V",$D$17*(1+p_kostengroei*1),$E$17*'05 Omzet &amp; marge'!AA8)</f>
        <v>3000.0</v>
      </c>
    </row>
    <row r="29">
      <c r="B29" s="52" t="inlineStr">
        <is>
          <t>TOTAAL overige kosten (kas-uit)</t>
        </is>
      </c>
      <c r="D29" s="63">
        <f>SUM(D20:D28)</f>
        <v>34300.0</v>
      </c>
      <c r="E29" s="63">
        <f>SUM(E20:E28)</f>
        <v>34300.0</v>
      </c>
      <c r="F29" s="63">
        <f>SUM(F20:F28)</f>
        <v>36550.0</v>
      </c>
      <c r="G29" s="63">
        <f>SUM(G20:G28)</f>
        <v>36550.0</v>
      </c>
      <c r="H29" s="63">
        <f>SUM(H20:H28)</f>
        <v>37300.0</v>
      </c>
      <c r="I29" s="63">
        <f>SUM(I20:I28)</f>
        <v>36550.0</v>
      </c>
      <c r="J29" s="63">
        <f>SUM(J20:J28)</f>
        <v>34300.0</v>
      </c>
      <c r="K29" s="63">
        <f>SUM(K20:K28)</f>
        <v>32800.0</v>
      </c>
      <c r="L29" s="63">
        <f>SUM(L20:L28)</f>
        <v>37300.0</v>
      </c>
      <c r="M29" s="63">
        <f>SUM(M20:M28)</f>
        <v>38800.0</v>
      </c>
      <c r="N29" s="63">
        <f>SUM(N20:N28)</f>
        <v>39550.0</v>
      </c>
      <c r="O29" s="63">
        <f>SUM(O20:O28)</f>
        <v>37300.0</v>
      </c>
      <c r="P29" s="63">
        <f>SUM(P20:P28)</f>
        <v>34300.0</v>
      </c>
      <c r="Q29" s="63">
        <f>SUM(Q20:Q28)</f>
        <v>34300.0</v>
      </c>
      <c r="R29" s="63">
        <f>SUM(R20:R28)</f>
        <v>36550.0</v>
      </c>
      <c r="S29" s="63">
        <f>SUM(S20:S28)</f>
        <v>36550.0</v>
      </c>
      <c r="T29" s="63">
        <f>SUM(T20:T28)</f>
        <v>37300.0</v>
      </c>
      <c r="U29" s="63">
        <f>SUM(U20:U28)</f>
        <v>36550.0</v>
      </c>
      <c r="V29" s="63">
        <f>SUM(V20:V28)</f>
        <v>34300.0</v>
      </c>
      <c r="W29" s="63">
        <f>SUM(W20:W28)</f>
        <v>32800.0</v>
      </c>
      <c r="X29" s="63">
        <f>SUM(X20:X28)</f>
        <v>37300.0</v>
      </c>
      <c r="Y29" s="63">
        <f>SUM(Y20:Y28)</f>
        <v>38800.0</v>
      </c>
      <c r="Z29" s="63">
        <f>SUM(Z20:Z28)</f>
        <v>39550.0</v>
      </c>
      <c r="AA29" s="63">
        <f>SUM(AA20:AA28)</f>
        <v>37300.0</v>
      </c>
    </row>
    <row r="30">
      <c r="B30" s="17" t="inlineStr">
        <is>
          <t>waarvan BTW-plichtig</t>
        </is>
      </c>
      <c r="D30" s="50">
        <f>IF($F$9="JA",D20,0)+IF($F$10="JA",D21,0)+IF($F$11="JA",D22,0)+IF($F$12="JA",D23,0)+IF($F$13="JA",D24,0)+IF($F$14="JA",D25,0)+IF($F$15="JA",D26,0)+IF($F$16="JA",D27,0)+IF($F$17="JA",D28,0)</f>
        <v>32300.0</v>
      </c>
      <c r="E30" s="50">
        <f>IF($F$9="JA",E20,0)+IF($F$10="JA",E21,0)+IF($F$11="JA",E22,0)+IF($F$12="JA",E23,0)+IF($F$13="JA",E24,0)+IF($F$14="JA",E25,0)+IF($F$15="JA",E26,0)+IF($F$16="JA",E27,0)+IF($F$17="JA",E28,0)</f>
        <v>32300.0</v>
      </c>
      <c r="F30" s="50">
        <f>IF($F$9="JA",F20,0)+IF($F$10="JA",F21,0)+IF($F$11="JA",F22,0)+IF($F$12="JA",F23,0)+IF($F$13="JA",F24,0)+IF($F$14="JA",F25,0)+IF($F$15="JA",F26,0)+IF($F$16="JA",F27,0)+IF($F$17="JA",F28,0)</f>
        <v>34550.0</v>
      </c>
      <c r="G30" s="50">
        <f>IF($F$9="JA",G20,0)+IF($F$10="JA",G21,0)+IF($F$11="JA",G22,0)+IF($F$12="JA",G23,0)+IF($F$13="JA",G24,0)+IF($F$14="JA",G25,0)+IF($F$15="JA",G26,0)+IF($F$16="JA",G27,0)+IF($F$17="JA",G28,0)</f>
        <v>34550.0</v>
      </c>
      <c r="H30" s="50">
        <f>IF($F$9="JA",H20,0)+IF($F$10="JA",H21,0)+IF($F$11="JA",H22,0)+IF($F$12="JA",H23,0)+IF($F$13="JA",H24,0)+IF($F$14="JA",H25,0)+IF($F$15="JA",H26,0)+IF($F$16="JA",H27,0)+IF($F$17="JA",H28,0)</f>
        <v>35300.0</v>
      </c>
      <c r="I30" s="50">
        <f>IF($F$9="JA",I20,0)+IF($F$10="JA",I21,0)+IF($F$11="JA",I22,0)+IF($F$12="JA",I23,0)+IF($F$13="JA",I24,0)+IF($F$14="JA",I25,0)+IF($F$15="JA",I26,0)+IF($F$16="JA",I27,0)+IF($F$17="JA",I28,0)</f>
        <v>34550.0</v>
      </c>
      <c r="J30" s="50">
        <f>IF($F$9="JA",J20,0)+IF($F$10="JA",J21,0)+IF($F$11="JA",J22,0)+IF($F$12="JA",J23,0)+IF($F$13="JA",J24,0)+IF($F$14="JA",J25,0)+IF($F$15="JA",J26,0)+IF($F$16="JA",J27,0)+IF($F$17="JA",J28,0)</f>
        <v>32300.0</v>
      </c>
      <c r="K30" s="50">
        <f>IF($F$9="JA",K20,0)+IF($F$10="JA",K21,0)+IF($F$11="JA",K22,0)+IF($F$12="JA",K23,0)+IF($F$13="JA",K24,0)+IF($F$14="JA",K25,0)+IF($F$15="JA",K26,0)+IF($F$16="JA",K27,0)+IF($F$17="JA",K28,0)</f>
        <v>30800.0</v>
      </c>
      <c r="L30" s="50">
        <f>IF($F$9="JA",L20,0)+IF($F$10="JA",L21,0)+IF($F$11="JA",L22,0)+IF($F$12="JA",L23,0)+IF($F$13="JA",L24,0)+IF($F$14="JA",L25,0)+IF($F$15="JA",L26,0)+IF($F$16="JA",L27,0)+IF($F$17="JA",L28,0)</f>
        <v>35300.0</v>
      </c>
      <c r="M30" s="50">
        <f>IF($F$9="JA",M20,0)+IF($F$10="JA",M21,0)+IF($F$11="JA",M22,0)+IF($F$12="JA",M23,0)+IF($F$13="JA",M24,0)+IF($F$14="JA",M25,0)+IF($F$15="JA",M26,0)+IF($F$16="JA",M27,0)+IF($F$17="JA",M28,0)</f>
        <v>36800.0</v>
      </c>
      <c r="N30" s="50">
        <f>IF($F$9="JA",N20,0)+IF($F$10="JA",N21,0)+IF($F$11="JA",N22,0)+IF($F$12="JA",N23,0)+IF($F$13="JA",N24,0)+IF($F$14="JA",N25,0)+IF($F$15="JA",N26,0)+IF($F$16="JA",N27,0)+IF($F$17="JA",N28,0)</f>
        <v>37550.0</v>
      </c>
      <c r="O30" s="50">
        <f>IF($F$9="JA",O20,0)+IF($F$10="JA",O21,0)+IF($F$11="JA",O22,0)+IF($F$12="JA",O23,0)+IF($F$13="JA",O24,0)+IF($F$14="JA",O25,0)+IF($F$15="JA",O26,0)+IF($F$16="JA",O27,0)+IF($F$17="JA",O28,0)</f>
        <v>35300.0</v>
      </c>
      <c r="P30" s="50">
        <f>IF($F$9="JA",P20,0)+IF($F$10="JA",P21,0)+IF($F$11="JA",P22,0)+IF($F$12="JA",P23,0)+IF($F$13="JA",P24,0)+IF($F$14="JA",P25,0)+IF($F$15="JA",P26,0)+IF($F$16="JA",P27,0)+IF($F$17="JA",P28,0)</f>
        <v>32300.0</v>
      </c>
      <c r="Q30" s="50">
        <f>IF($F$9="JA",Q20,0)+IF($F$10="JA",Q21,0)+IF($F$11="JA",Q22,0)+IF($F$12="JA",Q23,0)+IF($F$13="JA",Q24,0)+IF($F$14="JA",Q25,0)+IF($F$15="JA",Q26,0)+IF($F$16="JA",Q27,0)+IF($F$17="JA",Q28,0)</f>
        <v>32300.0</v>
      </c>
      <c r="R30" s="50">
        <f>IF($F$9="JA",R20,0)+IF($F$10="JA",R21,0)+IF($F$11="JA",R22,0)+IF($F$12="JA",R23,0)+IF($F$13="JA",R24,0)+IF($F$14="JA",R25,0)+IF($F$15="JA",R26,0)+IF($F$16="JA",R27,0)+IF($F$17="JA",R28,0)</f>
        <v>34550.0</v>
      </c>
      <c r="S30" s="50">
        <f>IF($F$9="JA",S20,0)+IF($F$10="JA",S21,0)+IF($F$11="JA",S22,0)+IF($F$12="JA",S23,0)+IF($F$13="JA",S24,0)+IF($F$14="JA",S25,0)+IF($F$15="JA",S26,0)+IF($F$16="JA",S27,0)+IF($F$17="JA",S28,0)</f>
        <v>34550.0</v>
      </c>
      <c r="T30" s="50">
        <f>IF($F$9="JA",T20,0)+IF($F$10="JA",T21,0)+IF($F$11="JA",T22,0)+IF($F$12="JA",T23,0)+IF($F$13="JA",T24,0)+IF($F$14="JA",T25,0)+IF($F$15="JA",T26,0)+IF($F$16="JA",T27,0)+IF($F$17="JA",T28,0)</f>
        <v>35300.0</v>
      </c>
      <c r="U30" s="50">
        <f>IF($F$9="JA",U20,0)+IF($F$10="JA",U21,0)+IF($F$11="JA",U22,0)+IF($F$12="JA",U23,0)+IF($F$13="JA",U24,0)+IF($F$14="JA",U25,0)+IF($F$15="JA",U26,0)+IF($F$16="JA",U27,0)+IF($F$17="JA",U28,0)</f>
        <v>34550.0</v>
      </c>
      <c r="V30" s="50">
        <f>IF($F$9="JA",V20,0)+IF($F$10="JA",V21,0)+IF($F$11="JA",V22,0)+IF($F$12="JA",V23,0)+IF($F$13="JA",V24,0)+IF($F$14="JA",V25,0)+IF($F$15="JA",V26,0)+IF($F$16="JA",V27,0)+IF($F$17="JA",V28,0)</f>
        <v>32300.0</v>
      </c>
      <c r="W30" s="50">
        <f>IF($F$9="JA",W20,0)+IF($F$10="JA",W21,0)+IF($F$11="JA",W22,0)+IF($F$12="JA",W23,0)+IF($F$13="JA",W24,0)+IF($F$14="JA",W25,0)+IF($F$15="JA",W26,0)+IF($F$16="JA",W27,0)+IF($F$17="JA",W28,0)</f>
        <v>30800.0</v>
      </c>
      <c r="X30" s="50">
        <f>IF($F$9="JA",X20,0)+IF($F$10="JA",X21,0)+IF($F$11="JA",X22,0)+IF($F$12="JA",X23,0)+IF($F$13="JA",X24,0)+IF($F$14="JA",X25,0)+IF($F$15="JA",X26,0)+IF($F$16="JA",X27,0)+IF($F$17="JA",X28,0)</f>
        <v>35300.0</v>
      </c>
      <c r="Y30" s="50">
        <f>IF($F$9="JA",Y20,0)+IF($F$10="JA",Y21,0)+IF($F$11="JA",Y22,0)+IF($F$12="JA",Y23,0)+IF($F$13="JA",Y24,0)+IF($F$14="JA",Y25,0)+IF($F$15="JA",Y26,0)+IF($F$16="JA",Y27,0)+IF($F$17="JA",Y28,0)</f>
        <v>36800.0</v>
      </c>
      <c r="Z30" s="50">
        <f>IF($F$9="JA",Z20,0)+IF($F$10="JA",Z21,0)+IF($F$11="JA",Z22,0)+IF($F$12="JA",Z23,0)+IF($F$13="JA",Z24,0)+IF($F$14="JA",Z25,0)+IF($F$15="JA",Z26,0)+IF($F$16="JA",Z27,0)+IF($F$17="JA",Z28,0)</f>
        <v>37550.0</v>
      </c>
      <c r="AA30" s="50">
        <f>IF($F$9="JA",AA20,0)+IF($F$10="JA",AA21,0)+IF($F$11="JA",AA22,0)+IF($F$12="JA",AA23,0)+IF($F$13="JA",AA24,0)+IF($F$14="JA",AA25,0)+IF($F$15="JA",AA26,0)+IF($F$16="JA",AA27,0)+IF($F$17="JA",AA28,0)</f>
        <v>35300.0</v>
      </c>
    </row>
  </sheetData>
  <mergeCells count="3">
    <mergeCell ref="B3:AA3"/>
    <mergeCell ref="B2:AA2"/>
    <mergeCell ref="B7:H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B2:AA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INVESTERINGEN (CAPEX)</t>
        </is>
      </c>
    </row>
    <row r="3" ht="15" customHeight="1">
      <c r="B3" s="2" t="inlineStr">
        <is>
          <t>09 Investeringen   ·   Kas-impact op betaalmoment · afschrijving apart · scenario extra investering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7" ht="18" customHeight="1">
      <c r="B7" s="56" t="inlineStr">
        <is>
          <t>INVESTERINGSSCHEMA</t>
        </is>
      </c>
    </row>
    <row r="8">
      <c r="B8" s="24" t="inlineStr">
        <is>
          <t>Omschrijving</t>
        </is>
      </c>
      <c r="C8" s="24" t="inlineStr">
        <is>
          <t>Categorie</t>
        </is>
      </c>
      <c r="D8" s="24" t="inlineStr">
        <is>
          <t>Maand (1-24)</t>
        </is>
      </c>
      <c r="E8" s="24" t="inlineStr">
        <is>
          <t>Bedrag</t>
        </is>
      </c>
      <c r="F8" s="24" t="inlineStr">
        <is>
          <t>Afschr. jaren</t>
        </is>
      </c>
    </row>
    <row r="9">
      <c r="B9" s="61" t="inlineStr">
        <is>
          <t>Vervanging heftruck</t>
        </is>
      </c>
      <c r="C9" s="62" t="inlineStr">
        <is>
          <t>Machines</t>
        </is>
      </c>
      <c r="D9" s="62" t="n">
        <v>4</v>
      </c>
      <c r="E9" s="33" t="n">
        <v>45000</v>
      </c>
      <c r="F9" s="62" t="n">
        <v>5</v>
      </c>
    </row>
    <row r="10">
      <c r="B10" s="61" t="inlineStr">
        <is>
          <t>Uitbreiding magazijnstelling</t>
        </is>
      </c>
      <c r="C10" s="62" t="inlineStr">
        <is>
          <t>Inventaris</t>
        </is>
      </c>
      <c r="D10" s="62" t="n">
        <v>9</v>
      </c>
      <c r="E10" s="33" t="n">
        <v>80000</v>
      </c>
      <c r="F10" s="62" t="n">
        <v>10</v>
      </c>
    </row>
    <row r="11">
      <c r="B11" s="61" t="inlineStr">
        <is>
          <t>IT / WMS-systeem</t>
        </is>
      </c>
      <c r="C11" s="62" t="inlineStr">
        <is>
          <t>IT</t>
        </is>
      </c>
      <c r="D11" s="62" t="n">
        <v>14</v>
      </c>
      <c r="E11" s="33" t="n">
        <v>60000</v>
      </c>
      <c r="F11" s="62" t="n">
        <v>5</v>
      </c>
    </row>
    <row r="12">
      <c r="B12" s="61" t="inlineStr">
        <is>
          <t>Bedrijfswagen</t>
        </is>
      </c>
      <c r="C12" s="62" t="inlineStr">
        <is>
          <t>Voertuigen</t>
        </is>
      </c>
      <c r="D12" s="62" t="n">
        <v>20</v>
      </c>
      <c r="E12" s="33" t="n">
        <v>40000</v>
      </c>
      <c r="F12" s="62" t="n">
        <v>5</v>
      </c>
    </row>
    <row r="14">
      <c r="B14" s="42" t="inlineStr">
        <is>
          <t>Maand</t>
        </is>
      </c>
      <c r="C14" s="43" t="inlineStr">
        <is>
          <t>Eenheid</t>
        </is>
      </c>
      <c r="D14" s="44">
        <f>EDATE(s_start,0)</f>
        <v>46023</v>
      </c>
      <c r="E14" s="44">
        <f>EDATE(s_start,1)</f>
        <v>46054</v>
      </c>
      <c r="F14" s="44">
        <f>EDATE(s_start,2)</f>
        <v>46082</v>
      </c>
      <c r="G14" s="44">
        <f>EDATE(s_start,3)</f>
        <v>46113</v>
      </c>
      <c r="H14" s="44">
        <f>EDATE(s_start,4)</f>
        <v>46143</v>
      </c>
      <c r="I14" s="44">
        <f>EDATE(s_start,5)</f>
        <v>46174</v>
      </c>
      <c r="J14" s="44">
        <f>EDATE(s_start,6)</f>
        <v>46204</v>
      </c>
      <c r="K14" s="44">
        <f>EDATE(s_start,7)</f>
        <v>46235</v>
      </c>
      <c r="L14" s="44">
        <f>EDATE(s_start,8)</f>
        <v>46266</v>
      </c>
      <c r="M14" s="44">
        <f>EDATE(s_start,9)</f>
        <v>46296</v>
      </c>
      <c r="N14" s="44">
        <f>EDATE(s_start,10)</f>
        <v>46327</v>
      </c>
      <c r="O14" s="44">
        <f>EDATE(s_start,11)</f>
        <v>46357</v>
      </c>
      <c r="P14" s="44">
        <f>EDATE(s_start,12)</f>
        <v>46388</v>
      </c>
      <c r="Q14" s="44">
        <f>EDATE(s_start,13)</f>
        <v>46419</v>
      </c>
      <c r="R14" s="44">
        <f>EDATE(s_start,14)</f>
        <v>46447</v>
      </c>
      <c r="S14" s="44">
        <f>EDATE(s_start,15)</f>
        <v>46478</v>
      </c>
      <c r="T14" s="44">
        <f>EDATE(s_start,16)</f>
        <v>46508</v>
      </c>
      <c r="U14" s="44">
        <f>EDATE(s_start,17)</f>
        <v>46539</v>
      </c>
      <c r="V14" s="44">
        <f>EDATE(s_start,18)</f>
        <v>46569</v>
      </c>
      <c r="W14" s="44">
        <f>EDATE(s_start,19)</f>
        <v>46600</v>
      </c>
      <c r="X14" s="44">
        <f>EDATE(s_start,20)</f>
        <v>46631</v>
      </c>
      <c r="Y14" s="44">
        <f>EDATE(s_start,21)</f>
        <v>46661</v>
      </c>
      <c r="Z14" s="44">
        <f>EDATE(s_start,22)</f>
        <v>46692</v>
      </c>
      <c r="AA14" s="44">
        <f>EDATE(s_start,23)</f>
        <v>46722</v>
      </c>
    </row>
    <row r="15">
      <c r="B15" s="52" t="inlineStr">
        <is>
          <t>CAPEX kas-uit (schema + scenario)</t>
        </is>
      </c>
      <c r="D15" s="63">
        <f>SUMIFS($E$9:$E$12,$D$9:$D$12,1)+IF(s_capexmnd=1,p_extra_capex,0)</f>
        <v>0.0</v>
      </c>
      <c r="E15" s="63">
        <f>SUMIFS($E$9:$E$12,$D$9:$D$12,2)+IF(s_capexmnd=2,p_extra_capex,0)</f>
        <v>0.0</v>
      </c>
      <c r="F15" s="63">
        <f>SUMIFS($E$9:$E$12,$D$9:$D$12,3)+IF(s_capexmnd=3,p_extra_capex,0)</f>
        <v>0.0</v>
      </c>
      <c r="G15" s="63">
        <f>SUMIFS($E$9:$E$12,$D$9:$D$12,4)+IF(s_capexmnd=4,p_extra_capex,0)</f>
        <v>45000.0</v>
      </c>
      <c r="H15" s="63">
        <f>SUMIFS($E$9:$E$12,$D$9:$D$12,5)+IF(s_capexmnd=5,p_extra_capex,0)</f>
        <v>0.0</v>
      </c>
      <c r="I15" s="63">
        <f>SUMIFS($E$9:$E$12,$D$9:$D$12,6)+IF(s_capexmnd=6,p_extra_capex,0)</f>
        <v>0.0</v>
      </c>
      <c r="J15" s="63">
        <f>SUMIFS($E$9:$E$12,$D$9:$D$12,7)+IF(s_capexmnd=7,p_extra_capex,0)</f>
        <v>0.0</v>
      </c>
      <c r="K15" s="63">
        <f>SUMIFS($E$9:$E$12,$D$9:$D$12,8)+IF(s_capexmnd=8,p_extra_capex,0)</f>
        <v>0.0</v>
      </c>
      <c r="L15" s="63">
        <f>SUMIFS($E$9:$E$12,$D$9:$D$12,9)+IF(s_capexmnd=9,p_extra_capex,0)</f>
        <v>80000.0</v>
      </c>
      <c r="M15" s="63">
        <f>SUMIFS($E$9:$E$12,$D$9:$D$12,10)+IF(s_capexmnd=10,p_extra_capex,0)</f>
        <v>0.0</v>
      </c>
      <c r="N15" s="63">
        <f>SUMIFS($E$9:$E$12,$D$9:$D$12,11)+IF(s_capexmnd=11,p_extra_capex,0)</f>
        <v>0.0</v>
      </c>
      <c r="O15" s="63">
        <f>SUMIFS($E$9:$E$12,$D$9:$D$12,12)+IF(s_capexmnd=12,p_extra_capex,0)</f>
        <v>0.0</v>
      </c>
      <c r="P15" s="63">
        <f>SUMIFS($E$9:$E$12,$D$9:$D$12,13)+IF(s_capexmnd=13,p_extra_capex,0)</f>
        <v>0.0</v>
      </c>
      <c r="Q15" s="63">
        <f>SUMIFS($E$9:$E$12,$D$9:$D$12,14)+IF(s_capexmnd=14,p_extra_capex,0)</f>
        <v>60000.0</v>
      </c>
      <c r="R15" s="63">
        <f>SUMIFS($E$9:$E$12,$D$9:$D$12,15)+IF(s_capexmnd=15,p_extra_capex,0)</f>
        <v>0.0</v>
      </c>
      <c r="S15" s="63">
        <f>SUMIFS($E$9:$E$12,$D$9:$D$12,16)+IF(s_capexmnd=16,p_extra_capex,0)</f>
        <v>0.0</v>
      </c>
      <c r="T15" s="63">
        <f>SUMIFS($E$9:$E$12,$D$9:$D$12,17)+IF(s_capexmnd=17,p_extra_capex,0)</f>
        <v>0.0</v>
      </c>
      <c r="U15" s="63">
        <f>SUMIFS($E$9:$E$12,$D$9:$D$12,18)+IF(s_capexmnd=18,p_extra_capex,0)</f>
        <v>0.0</v>
      </c>
      <c r="V15" s="63">
        <f>SUMIFS($E$9:$E$12,$D$9:$D$12,19)+IF(s_capexmnd=19,p_extra_capex,0)</f>
        <v>0.0</v>
      </c>
      <c r="W15" s="63">
        <f>SUMIFS($E$9:$E$12,$D$9:$D$12,20)+IF(s_capexmnd=20,p_extra_capex,0)</f>
        <v>40000.0</v>
      </c>
      <c r="X15" s="63">
        <f>SUMIFS($E$9:$E$12,$D$9:$D$12,21)+IF(s_capexmnd=21,p_extra_capex,0)</f>
        <v>0.0</v>
      </c>
      <c r="Y15" s="63">
        <f>SUMIFS($E$9:$E$12,$D$9:$D$12,22)+IF(s_capexmnd=22,p_extra_capex,0)</f>
        <v>0.0</v>
      </c>
      <c r="Z15" s="63">
        <f>SUMIFS($E$9:$E$12,$D$9:$D$12,23)+IF(s_capexmnd=23,p_extra_capex,0)</f>
        <v>0.0</v>
      </c>
      <c r="AA15" s="63">
        <f>SUMIFS($E$9:$E$12,$D$9:$D$12,24)+IF(s_capexmnd=24,p_extra_capex,0)</f>
        <v>0.0</v>
      </c>
    </row>
    <row r="16">
      <c r="B16" s="17" t="inlineStr">
        <is>
          <t>Afschrijving (P&amp;L, geen kas)</t>
        </is>
      </c>
      <c r="D16" s="50">
        <f>IF($D$9&lt;=1,$E$9/$F$9/12,0)+IF($D$10&lt;=1,$E$10/$F$10/12,0)+IF($D$11&lt;=1,$E$11/$F$11/12,0)+IF($D$12&lt;=1,$E$12/$F$12/12,0)</f>
        <v>0.0</v>
      </c>
      <c r="E16" s="50">
        <f>IF($D$9&lt;=2,$E$9/$F$9/12,0)+IF($D$10&lt;=2,$E$10/$F$10/12,0)+IF($D$11&lt;=2,$E$11/$F$11/12,0)+IF($D$12&lt;=2,$E$12/$F$12/12,0)</f>
        <v>0.0</v>
      </c>
      <c r="F16" s="50">
        <f>IF($D$9&lt;=3,$E$9/$F$9/12,0)+IF($D$10&lt;=3,$E$10/$F$10/12,0)+IF($D$11&lt;=3,$E$11/$F$11/12,0)+IF($D$12&lt;=3,$E$12/$F$12/12,0)</f>
        <v>0.0</v>
      </c>
      <c r="G16" s="50">
        <f>IF($D$9&lt;=4,$E$9/$F$9/12,0)+IF($D$10&lt;=4,$E$10/$F$10/12,0)+IF($D$11&lt;=4,$E$11/$F$11/12,0)+IF($D$12&lt;=4,$E$12/$F$12/12,0)</f>
        <v>750.0</v>
      </c>
      <c r="H16" s="50">
        <f>IF($D$9&lt;=5,$E$9/$F$9/12,0)+IF($D$10&lt;=5,$E$10/$F$10/12,0)+IF($D$11&lt;=5,$E$11/$F$11/12,0)+IF($D$12&lt;=5,$E$12/$F$12/12,0)</f>
        <v>750.0</v>
      </c>
      <c r="I16" s="50">
        <f>IF($D$9&lt;=6,$E$9/$F$9/12,0)+IF($D$10&lt;=6,$E$10/$F$10/12,0)+IF($D$11&lt;=6,$E$11/$F$11/12,0)+IF($D$12&lt;=6,$E$12/$F$12/12,0)</f>
        <v>750.0</v>
      </c>
      <c r="J16" s="50">
        <f>IF($D$9&lt;=7,$E$9/$F$9/12,0)+IF($D$10&lt;=7,$E$10/$F$10/12,0)+IF($D$11&lt;=7,$E$11/$F$11/12,0)+IF($D$12&lt;=7,$E$12/$F$12/12,0)</f>
        <v>750.0</v>
      </c>
      <c r="K16" s="50">
        <f>IF($D$9&lt;=8,$E$9/$F$9/12,0)+IF($D$10&lt;=8,$E$10/$F$10/12,0)+IF($D$11&lt;=8,$E$11/$F$11/12,0)+IF($D$12&lt;=8,$E$12/$F$12/12,0)</f>
        <v>750.0</v>
      </c>
      <c r="L16" s="50">
        <f>IF($D$9&lt;=9,$E$9/$F$9/12,0)+IF($D$10&lt;=9,$E$10/$F$10/12,0)+IF($D$11&lt;=9,$E$11/$F$11/12,0)+IF($D$12&lt;=9,$E$12/$F$12/12,0)</f>
        <v>1416.6666666666665</v>
      </c>
      <c r="M16" s="50">
        <f>IF($D$9&lt;=10,$E$9/$F$9/12,0)+IF($D$10&lt;=10,$E$10/$F$10/12,0)+IF($D$11&lt;=10,$E$11/$F$11/12,0)+IF($D$12&lt;=10,$E$12/$F$12/12,0)</f>
        <v>1416.6666666666665</v>
      </c>
      <c r="N16" s="50">
        <f>IF($D$9&lt;=11,$E$9/$F$9/12,0)+IF($D$10&lt;=11,$E$10/$F$10/12,0)+IF($D$11&lt;=11,$E$11/$F$11/12,0)+IF($D$12&lt;=11,$E$12/$F$12/12,0)</f>
        <v>1416.6666666666665</v>
      </c>
      <c r="O16" s="50">
        <f>IF($D$9&lt;=12,$E$9/$F$9/12,0)+IF($D$10&lt;=12,$E$10/$F$10/12,0)+IF($D$11&lt;=12,$E$11/$F$11/12,0)+IF($D$12&lt;=12,$E$12/$F$12/12,0)</f>
        <v>1416.6666666666665</v>
      </c>
      <c r="P16" s="50">
        <f>IF($D$9&lt;=13,$E$9/$F$9/12,0)+IF($D$10&lt;=13,$E$10/$F$10/12,0)+IF($D$11&lt;=13,$E$11/$F$11/12,0)+IF($D$12&lt;=13,$E$12/$F$12/12,0)</f>
        <v>1416.6666666666665</v>
      </c>
      <c r="Q16" s="50">
        <f>IF($D$9&lt;=14,$E$9/$F$9/12,0)+IF($D$10&lt;=14,$E$10/$F$10/12,0)+IF($D$11&lt;=14,$E$11/$F$11/12,0)+IF($D$12&lt;=14,$E$12/$F$12/12,0)</f>
        <v>2416.6666666666665</v>
      </c>
      <c r="R16" s="50">
        <f>IF($D$9&lt;=15,$E$9/$F$9/12,0)+IF($D$10&lt;=15,$E$10/$F$10/12,0)+IF($D$11&lt;=15,$E$11/$F$11/12,0)+IF($D$12&lt;=15,$E$12/$F$12/12,0)</f>
        <v>2416.6666666666665</v>
      </c>
      <c r="S16" s="50">
        <f>IF($D$9&lt;=16,$E$9/$F$9/12,0)+IF($D$10&lt;=16,$E$10/$F$10/12,0)+IF($D$11&lt;=16,$E$11/$F$11/12,0)+IF($D$12&lt;=16,$E$12/$F$12/12,0)</f>
        <v>2416.6666666666665</v>
      </c>
      <c r="T16" s="50">
        <f>IF($D$9&lt;=17,$E$9/$F$9/12,0)+IF($D$10&lt;=17,$E$10/$F$10/12,0)+IF($D$11&lt;=17,$E$11/$F$11/12,0)+IF($D$12&lt;=17,$E$12/$F$12/12,0)</f>
        <v>2416.6666666666665</v>
      </c>
      <c r="U16" s="50">
        <f>IF($D$9&lt;=18,$E$9/$F$9/12,0)+IF($D$10&lt;=18,$E$10/$F$10/12,0)+IF($D$11&lt;=18,$E$11/$F$11/12,0)+IF($D$12&lt;=18,$E$12/$F$12/12,0)</f>
        <v>2416.6666666666665</v>
      </c>
      <c r="V16" s="50">
        <f>IF($D$9&lt;=19,$E$9/$F$9/12,0)+IF($D$10&lt;=19,$E$10/$F$10/12,0)+IF($D$11&lt;=19,$E$11/$F$11/12,0)+IF($D$12&lt;=19,$E$12/$F$12/12,0)</f>
        <v>2416.6666666666665</v>
      </c>
      <c r="W16" s="50">
        <f>IF($D$9&lt;=20,$E$9/$F$9/12,0)+IF($D$10&lt;=20,$E$10/$F$10/12,0)+IF($D$11&lt;=20,$E$11/$F$11/12,0)+IF($D$12&lt;=20,$E$12/$F$12/12,0)</f>
        <v>3083.333333333333</v>
      </c>
      <c r="X16" s="50">
        <f>IF($D$9&lt;=21,$E$9/$F$9/12,0)+IF($D$10&lt;=21,$E$10/$F$10/12,0)+IF($D$11&lt;=21,$E$11/$F$11/12,0)+IF($D$12&lt;=21,$E$12/$F$12/12,0)</f>
        <v>3083.333333333333</v>
      </c>
      <c r="Y16" s="50">
        <f>IF($D$9&lt;=22,$E$9/$F$9/12,0)+IF($D$10&lt;=22,$E$10/$F$10/12,0)+IF($D$11&lt;=22,$E$11/$F$11/12,0)+IF($D$12&lt;=22,$E$12/$F$12/12,0)</f>
        <v>3083.333333333333</v>
      </c>
      <c r="Z16" s="50">
        <f>IF($D$9&lt;=23,$E$9/$F$9/12,0)+IF($D$10&lt;=23,$E$10/$F$10/12,0)+IF($D$11&lt;=23,$E$11/$F$11/12,0)+IF($D$12&lt;=23,$E$12/$F$12/12,0)</f>
        <v>3083.333333333333</v>
      </c>
      <c r="AA16" s="50">
        <f>IF($D$9&lt;=24,$E$9/$F$9/12,0)+IF($D$10&lt;=24,$E$10/$F$10/12,0)+IF($D$11&lt;=24,$E$11/$F$11/12,0)+IF($D$12&lt;=24,$E$12/$F$12/12,0)</f>
        <v>3083.333333333333</v>
      </c>
    </row>
  </sheetData>
  <mergeCells count="3">
    <mergeCell ref="B3:AA3"/>
    <mergeCell ref="B2:AA2"/>
    <mergeCell ref="B7:H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/>
  </sheetPr>
  <dimension ref="B2:AA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FINANCIERING - LENINGEN, RC, LEASE, FACTORING</t>
        </is>
      </c>
    </row>
    <row r="3" ht="15" customHeight="1">
      <c r="B3" s="2" t="inlineStr">
        <is>
          <t>10 Financiering   ·   Nieuwe financiering · aflossing · rente · beschikbare kredietruimte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7">
      <c r="B7" s="17" t="inlineStr">
        <is>
          <t>Beginstand banklening</t>
        </is>
      </c>
      <c r="D7" s="48">
        <f>h_lening</f>
        <v>900000</v>
      </c>
    </row>
    <row r="8">
      <c r="B8" s="17" t="inlineStr">
        <is>
          <t>Aflossing per maand (lineair)</t>
        </is>
      </c>
      <c r="D8" s="41" t="n">
        <v>10000</v>
      </c>
    </row>
    <row r="9">
      <c r="B9" s="17" t="inlineStr">
        <is>
          <t>RC-limiet</t>
        </is>
      </c>
      <c r="D9" s="48">
        <f>h_rc_limiet</f>
        <v>500000</v>
      </c>
    </row>
    <row r="11">
      <c r="B11" s="54" t="inlineStr">
        <is>
          <t>Nieuwe financiering / opname (kas-in)</t>
        </is>
      </c>
      <c r="D11" s="41" t="n">
        <v>0</v>
      </c>
      <c r="E11" s="41" t="n">
        <v>0</v>
      </c>
      <c r="F11" s="41" t="n">
        <v>0</v>
      </c>
      <c r="G11" s="41" t="n">
        <v>0</v>
      </c>
      <c r="H11" s="41" t="n">
        <v>0</v>
      </c>
      <c r="I11" s="41" t="n">
        <v>0</v>
      </c>
      <c r="J11" s="41" t="n">
        <v>0</v>
      </c>
      <c r="K11" s="41" t="n">
        <v>0</v>
      </c>
      <c r="L11" s="41" t="n">
        <v>0</v>
      </c>
      <c r="M11" s="41" t="n">
        <v>0</v>
      </c>
      <c r="N11" s="41" t="n">
        <v>0</v>
      </c>
      <c r="O11" s="41" t="n">
        <v>0</v>
      </c>
      <c r="P11" s="41" t="n">
        <v>0</v>
      </c>
      <c r="Q11" s="41" t="n">
        <v>0</v>
      </c>
      <c r="R11" s="41" t="n">
        <v>0</v>
      </c>
      <c r="S11" s="41" t="n">
        <v>0</v>
      </c>
      <c r="T11" s="41" t="n">
        <v>0</v>
      </c>
      <c r="U11" s="41" t="n">
        <v>0</v>
      </c>
      <c r="V11" s="41" t="n">
        <v>0</v>
      </c>
      <c r="W11" s="41" t="n">
        <v>0</v>
      </c>
      <c r="X11" s="41" t="n">
        <v>0</v>
      </c>
      <c r="Y11" s="41" t="n">
        <v>0</v>
      </c>
      <c r="Z11" s="41" t="n">
        <v>0</v>
      </c>
      <c r="AA11" s="41" t="n">
        <v>0</v>
      </c>
    </row>
    <row r="12">
      <c r="B12" s="54" t="inlineStr">
        <is>
          <t>Aflossing lening (kas-uit)</t>
        </is>
      </c>
      <c r="D12" s="50">
        <f>MIN($D$8,$D$7)</f>
        <v>10000</v>
      </c>
      <c r="E12" s="50">
        <f>MIN($D$8,D13)</f>
        <v>10000</v>
      </c>
      <c r="F12" s="50">
        <f>MIN($D$8,E13)</f>
        <v>10000</v>
      </c>
      <c r="G12" s="50">
        <f>MIN($D$8,F13)</f>
        <v>10000</v>
      </c>
      <c r="H12" s="50">
        <f>MIN($D$8,G13)</f>
        <v>10000</v>
      </c>
      <c r="I12" s="50">
        <f>MIN($D$8,H13)</f>
        <v>10000</v>
      </c>
      <c r="J12" s="50">
        <f>MIN($D$8,I13)</f>
        <v>10000</v>
      </c>
      <c r="K12" s="50">
        <f>MIN($D$8,J13)</f>
        <v>10000</v>
      </c>
      <c r="L12" s="50">
        <f>MIN($D$8,K13)</f>
        <v>10000</v>
      </c>
      <c r="M12" s="50">
        <f>MIN($D$8,L13)</f>
        <v>10000</v>
      </c>
      <c r="N12" s="50">
        <f>MIN($D$8,M13)</f>
        <v>10000</v>
      </c>
      <c r="O12" s="50">
        <f>MIN($D$8,N13)</f>
        <v>10000</v>
      </c>
      <c r="P12" s="50">
        <f>MIN($D$8,O13)</f>
        <v>10000</v>
      </c>
      <c r="Q12" s="50">
        <f>MIN($D$8,P13)</f>
        <v>10000</v>
      </c>
      <c r="R12" s="50">
        <f>MIN($D$8,Q13)</f>
        <v>10000</v>
      </c>
      <c r="S12" s="50">
        <f>MIN($D$8,R13)</f>
        <v>10000</v>
      </c>
      <c r="T12" s="50">
        <f>MIN($D$8,S13)</f>
        <v>10000</v>
      </c>
      <c r="U12" s="50">
        <f>MIN($D$8,T13)</f>
        <v>10000</v>
      </c>
      <c r="V12" s="50">
        <f>MIN($D$8,U13)</f>
        <v>10000</v>
      </c>
      <c r="W12" s="50">
        <f>MIN($D$8,V13)</f>
        <v>10000</v>
      </c>
      <c r="X12" s="50">
        <f>MIN($D$8,W13)</f>
        <v>10000</v>
      </c>
      <c r="Y12" s="50">
        <f>MIN($D$8,X13)</f>
        <v>10000</v>
      </c>
      <c r="Z12" s="50">
        <f>MIN($D$8,Y13)</f>
        <v>10000</v>
      </c>
      <c r="AA12" s="50">
        <f>MIN($D$8,Z13)</f>
        <v>10000</v>
      </c>
    </row>
    <row r="13">
      <c r="B13" s="17" t="inlineStr">
        <is>
          <t>Stand lening (eind maand)</t>
        </is>
      </c>
      <c r="D13" s="50">
        <f>$D$7-D12+D11</f>
        <v>890000.0</v>
      </c>
      <c r="E13" s="50">
        <f>D13-E12+E11</f>
        <v>880000.0</v>
      </c>
      <c r="F13" s="50">
        <f>E13-F12+F11</f>
        <v>870000.0</v>
      </c>
      <c r="G13" s="50">
        <f>F13-G12+G11</f>
        <v>860000.0</v>
      </c>
      <c r="H13" s="50">
        <f>G13-H12+H11</f>
        <v>850000.0</v>
      </c>
      <c r="I13" s="50">
        <f>H13-I12+I11</f>
        <v>840000.0</v>
      </c>
      <c r="J13" s="50">
        <f>I13-J12+J11</f>
        <v>830000.0</v>
      </c>
      <c r="K13" s="50">
        <f>J13-K12+K11</f>
        <v>820000.0</v>
      </c>
      <c r="L13" s="50">
        <f>K13-L12+L11</f>
        <v>810000.0</v>
      </c>
      <c r="M13" s="50">
        <f>L13-M12+M11</f>
        <v>800000.0</v>
      </c>
      <c r="N13" s="50">
        <f>M13-N12+N11</f>
        <v>790000.0</v>
      </c>
      <c r="O13" s="50">
        <f>N13-O12+O11</f>
        <v>780000.0</v>
      </c>
      <c r="P13" s="50">
        <f>O13-P12+P11</f>
        <v>770000.0</v>
      </c>
      <c r="Q13" s="50">
        <f>P13-Q12+Q11</f>
        <v>760000.0</v>
      </c>
      <c r="R13" s="50">
        <f>Q13-R12+R11</f>
        <v>750000.0</v>
      </c>
      <c r="S13" s="50">
        <f>R13-S12+S11</f>
        <v>740000.0</v>
      </c>
      <c r="T13" s="50">
        <f>S13-T12+T11</f>
        <v>730000.0</v>
      </c>
      <c r="U13" s="50">
        <f>T13-U12+U11</f>
        <v>720000.0</v>
      </c>
      <c r="V13" s="50">
        <f>U13-V12+V11</f>
        <v>710000.0</v>
      </c>
      <c r="W13" s="50">
        <f>V13-W12+W11</f>
        <v>700000.0</v>
      </c>
      <c r="X13" s="50">
        <f>W13-X12+X11</f>
        <v>690000.0</v>
      </c>
      <c r="Y13" s="50">
        <f>X13-Y12+Y11</f>
        <v>680000.0</v>
      </c>
      <c r="Z13" s="50">
        <f>Y13-Z12+Z11</f>
        <v>670000.0</v>
      </c>
      <c r="AA13" s="50">
        <f>Z13-AA12+AA11</f>
        <v>660000.0</v>
      </c>
    </row>
    <row r="14">
      <c r="B14" s="54" t="inlineStr">
        <is>
          <t>Rente (kas-uit)</t>
        </is>
      </c>
      <c r="D14" s="50">
        <f>$D$7*p_rente/12</f>
        <v>4500.0</v>
      </c>
      <c r="E14" s="50">
        <f>D13*p_rente/12</f>
        <v>4450.0</v>
      </c>
      <c r="F14" s="50">
        <f>E13*p_rente/12</f>
        <v>4400.0</v>
      </c>
      <c r="G14" s="50">
        <f>F13*p_rente/12</f>
        <v>4350.0</v>
      </c>
      <c r="H14" s="50">
        <f>G13*p_rente/12</f>
        <v>4300.0</v>
      </c>
      <c r="I14" s="50">
        <f>H13*p_rente/12</f>
        <v>4250.0</v>
      </c>
      <c r="J14" s="50">
        <f>I13*p_rente/12</f>
        <v>4200.0</v>
      </c>
      <c r="K14" s="50">
        <f>J13*p_rente/12</f>
        <v>4150.0</v>
      </c>
      <c r="L14" s="50">
        <f>K13*p_rente/12</f>
        <v>4100.0</v>
      </c>
      <c r="M14" s="50">
        <f>L13*p_rente/12</f>
        <v>4050.0</v>
      </c>
      <c r="N14" s="50">
        <f>M13*p_rente/12</f>
        <v>4000.0</v>
      </c>
      <c r="O14" s="50">
        <f>N13*p_rente/12</f>
        <v>3950.0</v>
      </c>
      <c r="P14" s="50">
        <f>O13*p_rente/12</f>
        <v>3900.0</v>
      </c>
      <c r="Q14" s="50">
        <f>P13*p_rente/12</f>
        <v>3850.0</v>
      </c>
      <c r="R14" s="50">
        <f>Q13*p_rente/12</f>
        <v>3800.0</v>
      </c>
      <c r="S14" s="50">
        <f>R13*p_rente/12</f>
        <v>3750.0</v>
      </c>
      <c r="T14" s="50">
        <f>S13*p_rente/12</f>
        <v>3700.0</v>
      </c>
      <c r="U14" s="50">
        <f>T13*p_rente/12</f>
        <v>3650.0</v>
      </c>
      <c r="V14" s="50">
        <f>U13*p_rente/12</f>
        <v>3600.0</v>
      </c>
      <c r="W14" s="50">
        <f>V13*p_rente/12</f>
        <v>3550.0</v>
      </c>
      <c r="X14" s="50">
        <f>W13*p_rente/12</f>
        <v>3500.0</v>
      </c>
      <c r="Y14" s="50">
        <f>X13*p_rente/12</f>
        <v>3450.0</v>
      </c>
      <c r="Z14" s="50">
        <f>Y13*p_rente/12</f>
        <v>3400.0</v>
      </c>
      <c r="AA14" s="50">
        <f>Z13*p_rente/12</f>
        <v>3350.0</v>
      </c>
    </row>
  </sheetData>
  <mergeCells count="2">
    <mergeCell ref="B3:AA3"/>
    <mergeCell ref="B2:AA2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7D32"/>
    <outlinePr summaryBelow="1" summaryRight="1"/>
    <pageSetUpPr/>
  </sheetPr>
  <dimension ref="B2:AA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BELASTINGEN - BTW, LOONHEFFING, VPB</t>
        </is>
      </c>
    </row>
    <row r="3" ht="15" customHeight="1">
      <c r="B3" s="2" t="inlineStr">
        <is>
          <t>11 Belastingen   ·   Liquiditeitsplanning (geen fiscale aangifteberekening)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8">
      <c r="B8" s="17" t="inlineStr">
        <is>
          <t>BTW over omzet (output)</t>
        </is>
      </c>
      <c r="D8" s="55">
        <f>'05 Omzet &amp; marge'!D8*v_btw</f>
        <v>73500.00000000001</v>
      </c>
      <c r="E8" s="55">
        <f>'05 Omzet &amp; marge'!E8*v_btw</f>
        <v>73500.00000000001</v>
      </c>
      <c r="F8" s="55">
        <f>'05 Omzet &amp; marge'!F8*v_btw</f>
        <v>89250.00000000001</v>
      </c>
      <c r="G8" s="55">
        <f>'05 Omzet &amp; marge'!G8*v_btw</f>
        <v>89250.00000000001</v>
      </c>
      <c r="H8" s="55">
        <f>'05 Omzet &amp; marge'!H8*v_btw</f>
        <v>94500.0</v>
      </c>
      <c r="I8" s="55">
        <f>'05 Omzet &amp; marge'!I8*v_btw</f>
        <v>89250.00000000001</v>
      </c>
      <c r="J8" s="55">
        <f>'05 Omzet &amp; marge'!J8*v_btw</f>
        <v>73500.00000000001</v>
      </c>
      <c r="K8" s="55">
        <f>'05 Omzet &amp; marge'!K8*v_btw</f>
        <v>63000.0</v>
      </c>
      <c r="L8" s="55">
        <f>'05 Omzet &amp; marge'!L8*v_btw</f>
        <v>94500.0</v>
      </c>
      <c r="M8" s="55">
        <f>'05 Omzet &amp; marge'!M8*v_btw</f>
        <v>105000.0</v>
      </c>
      <c r="N8" s="55">
        <f>'05 Omzet &amp; marge'!N8*v_btw</f>
        <v>110250.0</v>
      </c>
      <c r="O8" s="55">
        <f>'05 Omzet &amp; marge'!O8*v_btw</f>
        <v>94500.0</v>
      </c>
      <c r="P8" s="55">
        <f>'05 Omzet &amp; marge'!P8*v_btw</f>
        <v>73500.00000000001</v>
      </c>
      <c r="Q8" s="55">
        <f>'05 Omzet &amp; marge'!Q8*v_btw</f>
        <v>73500.00000000001</v>
      </c>
      <c r="R8" s="55">
        <f>'05 Omzet &amp; marge'!R8*v_btw</f>
        <v>89250.00000000001</v>
      </c>
      <c r="S8" s="55">
        <f>'05 Omzet &amp; marge'!S8*v_btw</f>
        <v>89250.00000000001</v>
      </c>
      <c r="T8" s="55">
        <f>'05 Omzet &amp; marge'!T8*v_btw</f>
        <v>94500.0</v>
      </c>
      <c r="U8" s="55">
        <f>'05 Omzet &amp; marge'!U8*v_btw</f>
        <v>89250.00000000001</v>
      </c>
      <c r="V8" s="55">
        <f>'05 Omzet &amp; marge'!V8*v_btw</f>
        <v>73500.00000000001</v>
      </c>
      <c r="W8" s="55">
        <f>'05 Omzet &amp; marge'!W8*v_btw</f>
        <v>63000.0</v>
      </c>
      <c r="X8" s="55">
        <f>'05 Omzet &amp; marge'!X8*v_btw</f>
        <v>94500.0</v>
      </c>
      <c r="Y8" s="55">
        <f>'05 Omzet &amp; marge'!Y8*v_btw</f>
        <v>105000.0</v>
      </c>
      <c r="Z8" s="55">
        <f>'05 Omzet &amp; marge'!Z8*v_btw</f>
        <v>110250.0</v>
      </c>
      <c r="AA8" s="55">
        <f>'05 Omzet &amp; marge'!AA8*v_btw</f>
        <v>94500.0</v>
      </c>
    </row>
    <row r="9">
      <c r="B9" s="17" t="inlineStr">
        <is>
          <t>BTW over inkoop+kosten+capex (input)</t>
        </is>
      </c>
      <c r="D9" s="55">
        <f>('06 Werkkapitaal'!D11+'08 Overige kosten'!D30+'09 Investeringen'!D15)*v_btw</f>
        <v>-2053.5789473683876</v>
      </c>
      <c r="E9" s="55">
        <f>('06 Werkkapitaal'!E11+'08 Overige kosten'!E30+'09 Investeringen'!E15)*v_btw</f>
        <v>59703.00000000001</v>
      </c>
      <c r="F9" s="55">
        <f>('06 Werkkapitaal'!F11+'08 Overige kosten'!F30+'09 Investeringen'!F15)*v_btw</f>
        <v>92031.94736842102</v>
      </c>
      <c r="G9" s="55">
        <f>('06 Werkkapitaal'!G11+'08 Overige kosten'!G30+'09 Investeringen'!G15)*v_btw</f>
        <v>80965.5</v>
      </c>
      <c r="H9" s="55">
        <f>('06 Werkkapitaal'!H11+'08 Overige kosten'!H30+'09 Investeringen'!H15)*v_btw</f>
        <v>82291.8157894737</v>
      </c>
      <c r="I9" s="55">
        <f>('06 Werkkapitaal'!I11+'08 Overige kosten'!I30+'09 Investeringen'!I15)*v_btw</f>
        <v>64676.6842105263</v>
      </c>
      <c r="J9" s="55">
        <f>('06 Werkkapitaal'!J11+'08 Overige kosten'!J30+'09 Investeringen'!J15)*v_btw</f>
        <v>39186.55263157898</v>
      </c>
      <c r="K9" s="55">
        <f>('06 Werkkapitaal'!K11+'08 Overige kosten'!K30+'09 Investeringen'!K15)*v_btw</f>
        <v>38150.36842105262</v>
      </c>
      <c r="L9" s="55">
        <f>('06 Werkkapitaal'!L11+'08 Overige kosten'!L30+'09 Investeringen'!L15)*v_btw</f>
        <v>133285.8947368421</v>
      </c>
      <c r="M9" s="55">
        <f>('06 Werkkapitaal'!M11+'08 Overige kosten'!M30+'09 Investeringen'!M15)*v_btw</f>
        <v>97005.63157894736</v>
      </c>
      <c r="N9" s="55">
        <f>('06 Werkkapitaal'!N11+'08 Overige kosten'!N30+'09 Investeringen'!N15)*v_btw</f>
        <v>94104.3157894737</v>
      </c>
      <c r="O9" s="55">
        <f>('06 Werkkapitaal'!O11+'08 Overige kosten'!O30+'09 Investeringen'!O15)*v_btw</f>
        <v>54936.552631578954</v>
      </c>
      <c r="P9" s="55">
        <f>('06 Werkkapitaal'!P11+'08 Overige kosten'!P30+'09 Investeringen'!P15)*v_btw</f>
        <v>32347.736842105285</v>
      </c>
      <c r="Q9" s="55">
        <f>('06 Werkkapitaal'!Q11+'08 Overige kosten'!Q30+'09 Investeringen'!Q15)*v_btw</f>
        <v>72303.00000000001</v>
      </c>
      <c r="R9" s="55">
        <f>('06 Werkkapitaal'!R11+'08 Overige kosten'!R30+'09 Investeringen'!R15)*v_btw</f>
        <v>92031.94736842102</v>
      </c>
      <c r="S9" s="55">
        <f>('06 Werkkapitaal'!S11+'08 Overige kosten'!S30+'09 Investeringen'!S15)*v_btw</f>
        <v>71515.5</v>
      </c>
      <c r="T9" s="55">
        <f>('06 Werkkapitaal'!T11+'08 Overige kosten'!T30+'09 Investeringen'!T15)*v_btw</f>
        <v>82291.8157894737</v>
      </c>
      <c r="U9" s="55">
        <f>('06 Werkkapitaal'!U11+'08 Overige kosten'!U30+'09 Investeringen'!U15)*v_btw</f>
        <v>64676.6842105263</v>
      </c>
      <c r="V9" s="55">
        <f>('06 Werkkapitaal'!V11+'08 Overige kosten'!V30+'09 Investeringen'!V15)*v_btw</f>
        <v>39186.55263157898</v>
      </c>
      <c r="W9" s="55">
        <f>('06 Werkkapitaal'!W11+'08 Overige kosten'!W30+'09 Investeringen'!W15)*v_btw</f>
        <v>46550.36842105262</v>
      </c>
      <c r="X9" s="55">
        <f>('06 Werkkapitaal'!X11+'08 Overige kosten'!X30+'09 Investeringen'!X15)*v_btw</f>
        <v>116485.8947368421</v>
      </c>
      <c r="Y9" s="55">
        <f>('06 Werkkapitaal'!Y11+'08 Overige kosten'!Y30+'09 Investeringen'!Y15)*v_btw</f>
        <v>97005.63157894736</v>
      </c>
      <c r="Z9" s="55">
        <f>('06 Werkkapitaal'!Z11+'08 Overige kosten'!Z30+'09 Investeringen'!Z15)*v_btw</f>
        <v>94104.3157894737</v>
      </c>
      <c r="AA9" s="55">
        <f>('06 Werkkapitaal'!AA11+'08 Overige kosten'!AA30+'09 Investeringen'!AA15)*v_btw</f>
        <v>54936.552631578954</v>
      </c>
    </row>
    <row r="10">
      <c r="B10" s="17" t="inlineStr">
        <is>
          <t>BTW-saldo (af te dragen)</t>
        </is>
      </c>
      <c r="D10" s="50">
        <f>D8-D9</f>
        <v>75553.5789473684</v>
      </c>
      <c r="E10" s="50">
        <f>E8-E9</f>
        <v>13797.000000000007</v>
      </c>
      <c r="F10" s="50">
        <f>F8-F9</f>
        <v>-2781.9473684210097</v>
      </c>
      <c r="G10" s="50">
        <f>G8-G9</f>
        <v>8284.500000000015</v>
      </c>
      <c r="H10" s="50">
        <f>H8-H9</f>
        <v>12208.184210526306</v>
      </c>
      <c r="I10" s="50">
        <f>I8-I9</f>
        <v>24573.315789473716</v>
      </c>
      <c r="J10" s="50">
        <f>J8-J9</f>
        <v>34313.44736842103</v>
      </c>
      <c r="K10" s="50">
        <f>K8-K9</f>
        <v>24849.63157894738</v>
      </c>
      <c r="L10" s="50">
        <f>L8-L9</f>
        <v>-38785.89473684211</v>
      </c>
      <c r="M10" s="50">
        <f>M8-M9</f>
        <v>7994.368421052641</v>
      </c>
      <c r="N10" s="50">
        <f>N8-N9</f>
        <v>16145.684210526306</v>
      </c>
      <c r="O10" s="50">
        <f>O8-O9</f>
        <v>39563.447368421046</v>
      </c>
      <c r="P10" s="50">
        <f>P8-P9</f>
        <v>41152.26315789473</v>
      </c>
      <c r="Q10" s="50">
        <f>Q8-Q9</f>
        <v>1197.0</v>
      </c>
      <c r="R10" s="50">
        <f>R8-R9</f>
        <v>-2781.9473684210097</v>
      </c>
      <c r="S10" s="50">
        <f>S8-S9</f>
        <v>17734.500000000015</v>
      </c>
      <c r="T10" s="50">
        <f>T8-T9</f>
        <v>12208.184210526306</v>
      </c>
      <c r="U10" s="50">
        <f>U8-U9</f>
        <v>24573.315789473716</v>
      </c>
      <c r="V10" s="50">
        <f>V8-V9</f>
        <v>34313.44736842103</v>
      </c>
      <c r="W10" s="50">
        <f>W8-W9</f>
        <v>16449.63157894738</v>
      </c>
      <c r="X10" s="50">
        <f>X8-X9</f>
        <v>-21985.894736842107</v>
      </c>
      <c r="Y10" s="50">
        <f>Y8-Y9</f>
        <v>7994.368421052641</v>
      </c>
      <c r="Z10" s="50">
        <f>Z8-Z9</f>
        <v>16145.684210526306</v>
      </c>
      <c r="AA10" s="50">
        <f>AA8-AA9</f>
        <v>39563.447368421046</v>
      </c>
    </row>
    <row r="11">
      <c r="B11" s="52" t="inlineStr">
        <is>
          <t>BTW-betaling (kas-uit)</t>
        </is>
      </c>
      <c r="D11" s="63" t="n">
        <v>0</v>
      </c>
      <c r="E11" s="63">
        <f>MAX(0,IF(s_btwregime="Maand",D10,0))</f>
        <v>0</v>
      </c>
      <c r="F11" s="63">
        <f>MAX(0,IF(s_btwregime="Maand",E10,0))</f>
        <v>0</v>
      </c>
      <c r="G11" s="63">
        <f>MAX(0,IF(s_btwregime="Maand",F10,IF(MOD(4-1,3)=0,SUM(D10:F10),0)))</f>
        <v>86568.63157894739</v>
      </c>
      <c r="H11" s="63">
        <f>MAX(0,IF(s_btwregime="Maand",G10,IF(MOD(5-1,3)=0,SUM(E10:G10),0)))</f>
        <v>0</v>
      </c>
      <c r="I11" s="63">
        <f>MAX(0,IF(s_btwregime="Maand",H10,IF(MOD(6-1,3)=0,SUM(F10:H10),0)))</f>
        <v>0</v>
      </c>
      <c r="J11" s="63">
        <f>MAX(0,IF(s_btwregime="Maand",I10,IF(MOD(7-1,3)=0,SUM(G10:I10),0)))</f>
        <v>45066.00000000004</v>
      </c>
      <c r="K11" s="63">
        <f>MAX(0,IF(s_btwregime="Maand",J10,IF(MOD(8-1,3)=0,SUM(H10:J10),0)))</f>
        <v>0</v>
      </c>
      <c r="L11" s="63">
        <f>MAX(0,IF(s_btwregime="Maand",K10,IF(MOD(9-1,3)=0,SUM(I10:K10),0)))</f>
        <v>0</v>
      </c>
      <c r="M11" s="63">
        <f>MAX(0,IF(s_btwregime="Maand",L10,IF(MOD(10-1,3)=0,SUM(J10:L10),0)))</f>
        <v>20377.184210526306</v>
      </c>
      <c r="N11" s="63">
        <f>MAX(0,IF(s_btwregime="Maand",M10,IF(MOD(11-1,3)=0,SUM(K10:M10),0)))</f>
        <v>0</v>
      </c>
      <c r="O11" s="63">
        <f>MAX(0,IF(s_btwregime="Maand",N10,IF(MOD(12-1,3)=0,SUM(L10:N10),0)))</f>
        <v>0</v>
      </c>
      <c r="P11" s="63">
        <f>MAX(0,IF(s_btwregime="Maand",O10,IF(MOD(13-1,3)=0,SUM(M10:O10),0)))</f>
        <v>63703.49999999999</v>
      </c>
      <c r="Q11" s="63">
        <f>MAX(0,IF(s_btwregime="Maand",P10,IF(MOD(14-1,3)=0,SUM(N10:P10),0)))</f>
        <v>0</v>
      </c>
      <c r="R11" s="63">
        <f>MAX(0,IF(s_btwregime="Maand",Q10,IF(MOD(15-1,3)=0,SUM(O10:Q10),0)))</f>
        <v>0</v>
      </c>
      <c r="S11" s="63">
        <f>MAX(0,IF(s_btwregime="Maand",R10,IF(MOD(16-1,3)=0,SUM(P10:R10),0)))</f>
        <v>39567.31578947372</v>
      </c>
      <c r="T11" s="63">
        <f>MAX(0,IF(s_btwregime="Maand",S10,IF(MOD(17-1,3)=0,SUM(Q10:S10),0)))</f>
        <v>0</v>
      </c>
      <c r="U11" s="63">
        <f>MAX(0,IF(s_btwregime="Maand",T10,IF(MOD(18-1,3)=0,SUM(R10:T10),0)))</f>
        <v>0</v>
      </c>
      <c r="V11" s="63">
        <f>MAX(0,IF(s_btwregime="Maand",U10,IF(MOD(19-1,3)=0,SUM(S10:U10),0)))</f>
        <v>54516.00000000004</v>
      </c>
      <c r="W11" s="63">
        <f>MAX(0,IF(s_btwregime="Maand",V10,IF(MOD(20-1,3)=0,SUM(T10:V10),0)))</f>
        <v>0</v>
      </c>
      <c r="X11" s="63">
        <f>MAX(0,IF(s_btwregime="Maand",W10,IF(MOD(21-1,3)=0,SUM(U10:W10),0)))</f>
        <v>0</v>
      </c>
      <c r="Y11" s="63">
        <f>MAX(0,IF(s_btwregime="Maand",X10,IF(MOD(22-1,3)=0,SUM(V10:X10),0)))</f>
        <v>28777.184210526306</v>
      </c>
      <c r="Z11" s="63">
        <f>MAX(0,IF(s_btwregime="Maand",Y10,IF(MOD(23-1,3)=0,SUM(W10:Y10),0)))</f>
        <v>0</v>
      </c>
      <c r="AA11" s="63">
        <f>MAX(0,IF(s_btwregime="Maand",Z10,IF(MOD(24-1,3)=0,SUM(X10:Z10),0)))</f>
        <v>0</v>
      </c>
    </row>
    <row r="13">
      <c r="B13" s="64" t="inlineStr">
        <is>
          <t>Loonheffing (MEMO - zit al in personeelskosten)</t>
        </is>
      </c>
      <c r="D13" s="65">
        <f>'07 Personeel'!D13*0.35</f>
        <v>17920.0</v>
      </c>
      <c r="E13" s="65">
        <f>'07 Personeel'!E13*0.35</f>
        <v>17920.0</v>
      </c>
      <c r="F13" s="65">
        <f>'07 Personeel'!F13*0.35</f>
        <v>17920.0</v>
      </c>
      <c r="G13" s="65">
        <f>'07 Personeel'!G13*0.35</f>
        <v>17920.0</v>
      </c>
      <c r="H13" s="65">
        <f>'07 Personeel'!H13*0.35</f>
        <v>31359.999999999996</v>
      </c>
      <c r="I13" s="65">
        <f>'07 Personeel'!I13*0.35</f>
        <v>17920.0</v>
      </c>
      <c r="J13" s="65">
        <f>'07 Personeel'!J13*0.35</f>
        <v>17920.0</v>
      </c>
      <c r="K13" s="65">
        <f>'07 Personeel'!K13*0.35</f>
        <v>17920.0</v>
      </c>
      <c r="L13" s="65">
        <f>'07 Personeel'!L13*0.35</f>
        <v>17920.0</v>
      </c>
      <c r="M13" s="65">
        <f>'07 Personeel'!M13*0.35</f>
        <v>17920.0</v>
      </c>
      <c r="N13" s="65">
        <f>'07 Personeel'!N13*0.35</f>
        <v>17920.0</v>
      </c>
      <c r="O13" s="65">
        <f>'07 Personeel'!O13*0.35</f>
        <v>17920.0</v>
      </c>
      <c r="P13" s="65">
        <f>'07 Personeel'!P13*0.35</f>
        <v>17920.0</v>
      </c>
      <c r="Q13" s="65">
        <f>'07 Personeel'!Q13*0.35</f>
        <v>17920.0</v>
      </c>
      <c r="R13" s="65">
        <f>'07 Personeel'!R13*0.35</f>
        <v>17920.0</v>
      </c>
      <c r="S13" s="65">
        <f>'07 Personeel'!S13*0.35</f>
        <v>17920.0</v>
      </c>
      <c r="T13" s="65">
        <f>'07 Personeel'!T13*0.35</f>
        <v>31359.999999999996</v>
      </c>
      <c r="U13" s="65">
        <f>'07 Personeel'!U13*0.35</f>
        <v>17920.0</v>
      </c>
      <c r="V13" s="65">
        <f>'07 Personeel'!V13*0.35</f>
        <v>17920.0</v>
      </c>
      <c r="W13" s="65">
        <f>'07 Personeel'!W13*0.35</f>
        <v>17920.0</v>
      </c>
      <c r="X13" s="65">
        <f>'07 Personeel'!X13*0.35</f>
        <v>17920.0</v>
      </c>
      <c r="Y13" s="65">
        <f>'07 Personeel'!Y13*0.35</f>
        <v>17920.0</v>
      </c>
      <c r="Z13" s="65">
        <f>'07 Personeel'!Z13*0.35</f>
        <v>17920.0</v>
      </c>
      <c r="AA13" s="65">
        <f>'07 Personeel'!AA13*0.35</f>
        <v>17920.0</v>
      </c>
    </row>
    <row r="14">
      <c r="B14" s="54" t="inlineStr">
        <is>
          <t>VPB-betaling (kas-uit, per kwartaal)</t>
        </is>
      </c>
      <c r="D14" s="36">
        <f>IF(MOD(1,3)=0,8000,0)</f>
        <v>0</v>
      </c>
      <c r="E14" s="36">
        <f>IF(MOD(2,3)=0,8000,0)</f>
        <v>0</v>
      </c>
      <c r="F14" s="41">
        <f>IF(MOD(3,3)=0,8000,0)</f>
        <v>8000</v>
      </c>
      <c r="G14" s="36">
        <f>IF(MOD(4,3)=0,8000,0)</f>
        <v>0</v>
      </c>
      <c r="H14" s="36">
        <f>IF(MOD(5,3)=0,8000,0)</f>
        <v>0</v>
      </c>
      <c r="I14" s="41">
        <f>IF(MOD(6,3)=0,8000,0)</f>
        <v>8000</v>
      </c>
      <c r="J14" s="36">
        <f>IF(MOD(7,3)=0,8000,0)</f>
        <v>0</v>
      </c>
      <c r="K14" s="36">
        <f>IF(MOD(8,3)=0,8000,0)</f>
        <v>0</v>
      </c>
      <c r="L14" s="41">
        <f>IF(MOD(9,3)=0,8000,0)</f>
        <v>8000</v>
      </c>
      <c r="M14" s="36">
        <f>IF(MOD(10,3)=0,8000,0)</f>
        <v>0</v>
      </c>
      <c r="N14" s="36">
        <f>IF(MOD(11,3)=0,8000,0)</f>
        <v>0</v>
      </c>
      <c r="O14" s="41">
        <f>IF(MOD(12,3)=0,8000,0)</f>
        <v>8000</v>
      </c>
      <c r="P14" s="36">
        <f>IF(MOD(13,3)=0,8000,0)</f>
        <v>0</v>
      </c>
      <c r="Q14" s="36">
        <f>IF(MOD(14,3)=0,8000,0)</f>
        <v>0</v>
      </c>
      <c r="R14" s="41">
        <f>IF(MOD(15,3)=0,8000,0)</f>
        <v>8000</v>
      </c>
      <c r="S14" s="36">
        <f>IF(MOD(16,3)=0,8000,0)</f>
        <v>0</v>
      </c>
      <c r="T14" s="36">
        <f>IF(MOD(17,3)=0,8000,0)</f>
        <v>0</v>
      </c>
      <c r="U14" s="41">
        <f>IF(MOD(18,3)=0,8000,0)</f>
        <v>8000</v>
      </c>
      <c r="V14" s="36">
        <f>IF(MOD(19,3)=0,8000,0)</f>
        <v>0</v>
      </c>
      <c r="W14" s="36">
        <f>IF(MOD(20,3)=0,8000,0)</f>
        <v>0</v>
      </c>
      <c r="X14" s="41">
        <f>IF(MOD(21,3)=0,8000,0)</f>
        <v>8000</v>
      </c>
      <c r="Y14" s="36">
        <f>IF(MOD(22,3)=0,8000,0)</f>
        <v>0</v>
      </c>
      <c r="Z14" s="36">
        <f>IF(MOD(23,3)=0,8000,0)</f>
        <v>0</v>
      </c>
      <c r="AA14" s="41">
        <f>IF(MOD(24,3)=0,8000,0)</f>
        <v>8000</v>
      </c>
    </row>
    <row r="15">
      <c r="B15" s="52" t="inlineStr">
        <is>
          <t>Totaal belastingen excl. BTW (kas-uit) = VPB</t>
        </is>
      </c>
      <c r="D15" s="63">
        <f>D14</f>
        <v>0</v>
      </c>
      <c r="E15" s="63">
        <f>E14</f>
        <v>0</v>
      </c>
      <c r="F15" s="63">
        <f>F14</f>
        <v>8000</v>
      </c>
      <c r="G15" s="63">
        <f>G14</f>
        <v>0</v>
      </c>
      <c r="H15" s="63">
        <f>H14</f>
        <v>0</v>
      </c>
      <c r="I15" s="63">
        <f>I14</f>
        <v>8000</v>
      </c>
      <c r="J15" s="63">
        <f>J14</f>
        <v>0</v>
      </c>
      <c r="K15" s="63">
        <f>K14</f>
        <v>0</v>
      </c>
      <c r="L15" s="63">
        <f>L14</f>
        <v>8000</v>
      </c>
      <c r="M15" s="63">
        <f>M14</f>
        <v>0</v>
      </c>
      <c r="N15" s="63">
        <f>N14</f>
        <v>0</v>
      </c>
      <c r="O15" s="63">
        <f>O14</f>
        <v>8000</v>
      </c>
      <c r="P15" s="63">
        <f>P14</f>
        <v>0</v>
      </c>
      <c r="Q15" s="63">
        <f>Q14</f>
        <v>0</v>
      </c>
      <c r="R15" s="63">
        <f>R14</f>
        <v>8000</v>
      </c>
      <c r="S15" s="63">
        <f>S14</f>
        <v>0</v>
      </c>
      <c r="T15" s="63">
        <f>T14</f>
        <v>0</v>
      </c>
      <c r="U15" s="63">
        <f>U14</f>
        <v>8000</v>
      </c>
      <c r="V15" s="63">
        <f>V14</f>
        <v>0</v>
      </c>
      <c r="W15" s="63">
        <f>W14</f>
        <v>0</v>
      </c>
      <c r="X15" s="63">
        <f>X14</f>
        <v>8000</v>
      </c>
      <c r="Y15" s="63">
        <f>Y14</f>
        <v>0</v>
      </c>
      <c r="Z15" s="63">
        <f>Z14</f>
        <v>0</v>
      </c>
      <c r="AA15" s="63">
        <f>AA14</f>
        <v>8000</v>
      </c>
    </row>
  </sheetData>
  <mergeCells count="2">
    <mergeCell ref="B3:AA3"/>
    <mergeCell ref="B2:AA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E4620"/>
    <outlinePr summaryBelow="1" summaryRight="1"/>
    <pageSetUpPr/>
  </sheetPr>
  <dimension ref="B2:AA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LIQUIDITEITSPROGNOSE - 24 MAANDEN</t>
        </is>
      </c>
    </row>
    <row r="3" ht="15" customHeight="1">
      <c r="B3" s="2" t="inlineStr">
        <is>
          <t>12 Liquiditeitsprognose   ·   Begin + inkomend - uitgaand = eind · buffer · financieringsbehoefte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8">
      <c r="B8" s="52" t="inlineStr">
        <is>
          <t>BEGINLIQUIDITEIT</t>
        </is>
      </c>
      <c r="D8" s="63">
        <f>s_bank0</f>
        <v>300000</v>
      </c>
      <c r="E8" s="63">
        <f>D25</f>
        <v>76529.96537396125</v>
      </c>
      <c r="F8" s="63">
        <f>E25</f>
        <v>559364.6052631577</v>
      </c>
      <c r="G8" s="63">
        <f>F25</f>
        <v>578175.0865650966</v>
      </c>
      <c r="H8" s="63">
        <f>G25</f>
        <v>328951.9605263156</v>
      </c>
      <c r="I8" s="63">
        <f>H25</f>
        <v>332535.4542936287</v>
      </c>
      <c r="J8" s="63">
        <f>I25</f>
        <v>278353.79570637085</v>
      </c>
      <c r="K8" s="63">
        <f>J25</f>
        <v>311045.4792243766</v>
      </c>
      <c r="L8" s="63">
        <f>K25</f>
        <v>473432.98614958406</v>
      </c>
      <c r="M8" s="63">
        <f>L25</f>
        <v>512930.2783933517</v>
      </c>
      <c r="N8" s="63">
        <f>M25</f>
        <v>235461.0927977838</v>
      </c>
      <c r="O8" s="63">
        <f>N25</f>
        <v>197208.25692520768</v>
      </c>
      <c r="P8" s="63">
        <f>O25</f>
        <v>194399.61080332403</v>
      </c>
      <c r="Q8" s="63">
        <f>P25</f>
        <v>316126.63019390573</v>
      </c>
      <c r="R8" s="63">
        <f>Q25</f>
        <v>478749.289473684</v>
      </c>
      <c r="S8" s="63">
        <f>R25</f>
        <v>498159.77077562286</v>
      </c>
      <c r="T8" s="63">
        <f>S25</f>
        <v>341537.96052631555</v>
      </c>
      <c r="U8" s="63">
        <f>T25</f>
        <v>345721.45429362863</v>
      </c>
      <c r="V8" s="63">
        <f>U25</f>
        <v>292139.7957063708</v>
      </c>
      <c r="W8" s="63">
        <f>V25</f>
        <v>315981.47922437656</v>
      </c>
      <c r="X8" s="63">
        <f>W25</f>
        <v>438968.986149584</v>
      </c>
      <c r="Y8" s="63">
        <f>X25</f>
        <v>559066.2783933517</v>
      </c>
      <c r="Z8" s="63">
        <f>Y25</f>
        <v>273797.0927977838</v>
      </c>
      <c r="AA8" s="63">
        <f>Z25</f>
        <v>236144.25692520768</v>
      </c>
    </row>
    <row r="9">
      <c r="B9" s="17" t="inlineStr">
        <is>
          <t xml:space="preserve">  + Ontvangsten van klanten</t>
        </is>
      </c>
      <c r="D9" s="55">
        <f>'06 Werkkapitaal'!D16</f>
        <v>396608.5526315789</v>
      </c>
      <c r="E9" s="55">
        <f>'06 Werkkapitaal'!E16</f>
        <v>423500.0</v>
      </c>
      <c r="F9" s="55">
        <f>'06 Werkkapitaal'!F16</f>
        <v>379916.1184210526</v>
      </c>
      <c r="G9" s="55">
        <f>'06 Werkkapitaal'!G16</f>
        <v>514250.0</v>
      </c>
      <c r="H9" s="55">
        <f>'06 Werkkapitaal'!H16</f>
        <v>499722.0394736843</v>
      </c>
      <c r="I9" s="55">
        <f>'06 Werkkapitaal'!I16</f>
        <v>559027.9605263157</v>
      </c>
      <c r="J9" s="55">
        <f>'06 Werkkapitaal'!J16</f>
        <v>557833.8815789474</v>
      </c>
      <c r="K9" s="55">
        <f>'06 Werkkapitaal'!K16</f>
        <v>452555.9210526316</v>
      </c>
      <c r="L9" s="55">
        <f>'06 Werkkapitaal'!L16</f>
        <v>275832.2368421054</v>
      </c>
      <c r="M9" s="55">
        <f>'06 Werkkapitaal'!M16</f>
        <v>515444.0789473684</v>
      </c>
      <c r="N9" s="55">
        <f>'06 Werkkapitaal'!N16</f>
        <v>590472.0394736843</v>
      </c>
      <c r="O9" s="55">
        <f>'06 Werkkapitaal'!O16</f>
        <v>678833.8815789474</v>
      </c>
      <c r="P9" s="55">
        <f>'06 Werkkapitaal'!P16</f>
        <v>602611.8421052631</v>
      </c>
      <c r="Q9" s="55">
        <f>'06 Werkkapitaal'!Q16</f>
        <v>423500.0</v>
      </c>
      <c r="R9" s="55">
        <f>'06 Werkkapitaal'!R16</f>
        <v>379916.1184210526</v>
      </c>
      <c r="S9" s="55">
        <f>'06 Werkkapitaal'!S16</f>
        <v>514250.0</v>
      </c>
      <c r="T9" s="55">
        <f>'06 Werkkapitaal'!T16</f>
        <v>499722.0394736843</v>
      </c>
      <c r="U9" s="55">
        <f>'06 Werkkapitaal'!U16</f>
        <v>559027.9605263157</v>
      </c>
      <c r="V9" s="55">
        <f>'06 Werkkapitaal'!V16</f>
        <v>557833.8815789474</v>
      </c>
      <c r="W9" s="55">
        <f>'06 Werkkapitaal'!W16</f>
        <v>452555.9210526316</v>
      </c>
      <c r="X9" s="55">
        <f>'06 Werkkapitaal'!X16</f>
        <v>275832.2368421054</v>
      </c>
      <c r="Y9" s="55">
        <f>'06 Werkkapitaal'!Y16</f>
        <v>515444.0789473684</v>
      </c>
      <c r="Z9" s="55">
        <f>'06 Werkkapitaal'!Z16</f>
        <v>590472.0394736843</v>
      </c>
      <c r="AA9" s="55">
        <f>'06 Werkkapitaal'!AA16</f>
        <v>678833.8815789474</v>
      </c>
    </row>
    <row r="10">
      <c r="B10" s="17" t="inlineStr">
        <is>
          <t xml:space="preserve">  + Overige ontvangsten</t>
        </is>
      </c>
      <c r="D10" s="55">
        <f>'04 Input prognose'!D9</f>
        <v>0</v>
      </c>
      <c r="E10" s="55">
        <f>'04 Input prognose'!E9</f>
        <v>0</v>
      </c>
      <c r="F10" s="55">
        <f>'04 Input prognose'!F9</f>
        <v>0</v>
      </c>
      <c r="G10" s="55">
        <f>'04 Input prognose'!G9</f>
        <v>0</v>
      </c>
      <c r="H10" s="55">
        <f>'04 Input prognose'!H9</f>
        <v>0</v>
      </c>
      <c r="I10" s="55">
        <f>'04 Input prognose'!I9</f>
        <v>0</v>
      </c>
      <c r="J10" s="55">
        <f>'04 Input prognose'!J9</f>
        <v>0</v>
      </c>
      <c r="K10" s="55">
        <f>'04 Input prognose'!K9</f>
        <v>0</v>
      </c>
      <c r="L10" s="55">
        <f>'04 Input prognose'!L9</f>
        <v>0</v>
      </c>
      <c r="M10" s="55">
        <f>'04 Input prognose'!M9</f>
        <v>0</v>
      </c>
      <c r="N10" s="55">
        <f>'04 Input prognose'!N9</f>
        <v>0</v>
      </c>
      <c r="O10" s="55">
        <f>'04 Input prognose'!O9</f>
        <v>0</v>
      </c>
      <c r="P10" s="55">
        <f>'04 Input prognose'!P9</f>
        <v>0</v>
      </c>
      <c r="Q10" s="55">
        <f>'04 Input prognose'!Q9</f>
        <v>0</v>
      </c>
      <c r="R10" s="55">
        <f>'04 Input prognose'!R9</f>
        <v>0</v>
      </c>
      <c r="S10" s="55">
        <f>'04 Input prognose'!S9</f>
        <v>0</v>
      </c>
      <c r="T10" s="55">
        <f>'04 Input prognose'!T9</f>
        <v>0</v>
      </c>
      <c r="U10" s="55">
        <f>'04 Input prognose'!U9</f>
        <v>0</v>
      </c>
      <c r="V10" s="55">
        <f>'04 Input prognose'!V9</f>
        <v>0</v>
      </c>
      <c r="W10" s="55">
        <f>'04 Input prognose'!W9</f>
        <v>0</v>
      </c>
      <c r="X10" s="55">
        <f>'04 Input prognose'!X9</f>
        <v>0</v>
      </c>
      <c r="Y10" s="55">
        <f>'04 Input prognose'!Y9</f>
        <v>0</v>
      </c>
      <c r="Z10" s="55">
        <f>'04 Input prognose'!Z9</f>
        <v>0</v>
      </c>
      <c r="AA10" s="55">
        <f>'04 Input prognose'!AA9</f>
        <v>0</v>
      </c>
    </row>
    <row r="11">
      <c r="B11" s="17" t="inlineStr">
        <is>
          <t xml:space="preserve">  + Nieuwe financiering / opname</t>
        </is>
      </c>
      <c r="D11" s="55">
        <f>'10 Financiering'!D11</f>
        <v>0</v>
      </c>
      <c r="E11" s="55">
        <f>'10 Financiering'!E11</f>
        <v>0</v>
      </c>
      <c r="F11" s="55">
        <f>'10 Financiering'!F11</f>
        <v>0</v>
      </c>
      <c r="G11" s="55">
        <f>'10 Financiering'!G11</f>
        <v>0</v>
      </c>
      <c r="H11" s="55">
        <f>'10 Financiering'!H11</f>
        <v>0</v>
      </c>
      <c r="I11" s="55">
        <f>'10 Financiering'!I11</f>
        <v>0</v>
      </c>
      <c r="J11" s="55">
        <f>'10 Financiering'!J11</f>
        <v>0</v>
      </c>
      <c r="K11" s="55">
        <f>'10 Financiering'!K11</f>
        <v>0</v>
      </c>
      <c r="L11" s="55">
        <f>'10 Financiering'!L11</f>
        <v>0</v>
      </c>
      <c r="M11" s="55">
        <f>'10 Financiering'!M11</f>
        <v>0</v>
      </c>
      <c r="N11" s="55">
        <f>'10 Financiering'!N11</f>
        <v>0</v>
      </c>
      <c r="O11" s="55">
        <f>'10 Financiering'!O11</f>
        <v>0</v>
      </c>
      <c r="P11" s="55">
        <f>'10 Financiering'!P11</f>
        <v>0</v>
      </c>
      <c r="Q11" s="55">
        <f>'10 Financiering'!Q11</f>
        <v>0</v>
      </c>
      <c r="R11" s="55">
        <f>'10 Financiering'!R11</f>
        <v>0</v>
      </c>
      <c r="S11" s="55">
        <f>'10 Financiering'!S11</f>
        <v>0</v>
      </c>
      <c r="T11" s="55">
        <f>'10 Financiering'!T11</f>
        <v>0</v>
      </c>
      <c r="U11" s="55">
        <f>'10 Financiering'!U11</f>
        <v>0</v>
      </c>
      <c r="V11" s="55">
        <f>'10 Financiering'!V11</f>
        <v>0</v>
      </c>
      <c r="W11" s="55">
        <f>'10 Financiering'!W11</f>
        <v>0</v>
      </c>
      <c r="X11" s="55">
        <f>'10 Financiering'!X11</f>
        <v>0</v>
      </c>
      <c r="Y11" s="55">
        <f>'10 Financiering'!Y11</f>
        <v>0</v>
      </c>
      <c r="Z11" s="55">
        <f>'10 Financiering'!Z11</f>
        <v>0</v>
      </c>
      <c r="AA11" s="55">
        <f>'10 Financiering'!AA11</f>
        <v>0</v>
      </c>
    </row>
    <row r="12">
      <c r="B12" s="52" t="inlineStr">
        <is>
          <t>TOTAAL INKOMEND</t>
        </is>
      </c>
      <c r="D12" s="63">
        <f>D9+D10+D11</f>
        <v>396608.5526315789</v>
      </c>
      <c r="E12" s="63">
        <f>E9+E10+E11</f>
        <v>423500.0</v>
      </c>
      <c r="F12" s="63">
        <f>F9+F10+F11</f>
        <v>379916.1184210526</v>
      </c>
      <c r="G12" s="63">
        <f>G9+G10+G11</f>
        <v>514250.0</v>
      </c>
      <c r="H12" s="63">
        <f>H9+H10+H11</f>
        <v>499722.0394736843</v>
      </c>
      <c r="I12" s="63">
        <f>I9+I10+I11</f>
        <v>559027.9605263157</v>
      </c>
      <c r="J12" s="63">
        <f>J9+J10+J11</f>
        <v>557833.8815789474</v>
      </c>
      <c r="K12" s="63">
        <f>K9+K10+K11</f>
        <v>452555.9210526316</v>
      </c>
      <c r="L12" s="63">
        <f>L9+L10+L11</f>
        <v>275832.2368421054</v>
      </c>
      <c r="M12" s="63">
        <f>M9+M10+M11</f>
        <v>515444.0789473684</v>
      </c>
      <c r="N12" s="63">
        <f>N9+N10+N11</f>
        <v>590472.0394736843</v>
      </c>
      <c r="O12" s="63">
        <f>O9+O10+O11</f>
        <v>678833.8815789474</v>
      </c>
      <c r="P12" s="63">
        <f>P9+P10+P11</f>
        <v>602611.8421052631</v>
      </c>
      <c r="Q12" s="63">
        <f>Q9+Q10+Q11</f>
        <v>423500.0</v>
      </c>
      <c r="R12" s="63">
        <f>R9+R10+R11</f>
        <v>379916.1184210526</v>
      </c>
      <c r="S12" s="63">
        <f>S9+S10+S11</f>
        <v>514250.0</v>
      </c>
      <c r="T12" s="63">
        <f>T9+T10+T11</f>
        <v>499722.0394736843</v>
      </c>
      <c r="U12" s="63">
        <f>U9+U10+U11</f>
        <v>559027.9605263157</v>
      </c>
      <c r="V12" s="63">
        <f>V9+V10+V11</f>
        <v>557833.8815789474</v>
      </c>
      <c r="W12" s="63">
        <f>W9+W10+W11</f>
        <v>452555.9210526316</v>
      </c>
      <c r="X12" s="63">
        <f>X9+X10+X11</f>
        <v>275832.2368421054</v>
      </c>
      <c r="Y12" s="63">
        <f>Y9+Y10+Y11</f>
        <v>515444.0789473684</v>
      </c>
      <c r="Z12" s="63">
        <f>Z9+Z10+Z11</f>
        <v>590472.0394736843</v>
      </c>
      <c r="AA12" s="63">
        <f>AA9+AA10+AA11</f>
        <v>678833.8815789474</v>
      </c>
    </row>
    <row r="13">
      <c r="B13" s="17" t="inlineStr">
        <is>
          <t xml:space="preserve">  - Betalingen leveranciers</t>
        </is>
      </c>
      <c r="D13" s="55">
        <f>'06 Werkkapitaal'!D17</f>
        <v>516078.5872576177</v>
      </c>
      <c r="E13" s="55">
        <f>'06 Werkkapitaal'!E17</f>
        <v>-163284.63988919643</v>
      </c>
      <c r="F13" s="55">
        <f>'06 Werkkapitaal'!F17</f>
        <v>246955.6371191137</v>
      </c>
      <c r="G13" s="55">
        <f>'06 Werkkapitaal'!G17</f>
        <v>525804.4944598336</v>
      </c>
      <c r="H13" s="55">
        <f>'06 Werkkapitaal'!H17</f>
        <v>350938.5457063712</v>
      </c>
      <c r="I13" s="55">
        <f>'06 Werkkapitaal'!I17</f>
        <v>463209.6191135735</v>
      </c>
      <c r="J13" s="55">
        <f>'06 Werkkapitaal'!J17</f>
        <v>376376.19806094165</v>
      </c>
      <c r="K13" s="55">
        <f>'06 Werkkapitaal'!K17</f>
        <v>188018.41412742413</v>
      </c>
      <c r="L13" s="55">
        <f>'06 Werkkapitaal'!L17</f>
        <v>41734.94459833775</v>
      </c>
      <c r="M13" s="55">
        <f>'06 Werkkapitaal'!M17</f>
        <v>664486.08033241</v>
      </c>
      <c r="N13" s="55">
        <f>'06 Werkkapitaal'!N17</f>
        <v>519974.8753462604</v>
      </c>
      <c r="O13" s="55">
        <f>'06 Werkkapitaal'!O17</f>
        <v>567192.5277008311</v>
      </c>
      <c r="P13" s="55">
        <f>'06 Werkkapitaal'!P17</f>
        <v>313781.32271468145</v>
      </c>
      <c r="Q13" s="55">
        <f>'06 Werkkapitaal'!Q17</f>
        <v>97527.34072022175</v>
      </c>
      <c r="R13" s="55">
        <f>'06 Werkkapitaal'!R17</f>
        <v>246955.6371191137</v>
      </c>
      <c r="S13" s="55">
        <f>'06 Werkkapitaal'!S17</f>
        <v>525804.4944598336</v>
      </c>
      <c r="T13" s="55">
        <f>'06 Werkkapitaal'!T17</f>
        <v>350938.5457063712</v>
      </c>
      <c r="U13" s="55">
        <f>'06 Werkkapitaal'!U17</f>
        <v>463209.6191135735</v>
      </c>
      <c r="V13" s="55">
        <f>'06 Werkkapitaal'!V17</f>
        <v>376376.19806094165</v>
      </c>
      <c r="W13" s="55">
        <f>'06 Werkkapitaal'!W17</f>
        <v>188018.41412742413</v>
      </c>
      <c r="X13" s="55">
        <f>'06 Werkkapitaal'!X17</f>
        <v>41734.94459833775</v>
      </c>
      <c r="Y13" s="55">
        <f>'06 Werkkapitaal'!Y17</f>
        <v>664486.08033241</v>
      </c>
      <c r="Z13" s="55">
        <f>'06 Werkkapitaal'!Z17</f>
        <v>519974.8753462604</v>
      </c>
      <c r="AA13" s="55">
        <f>'06 Werkkapitaal'!AA17</f>
        <v>567192.5277008311</v>
      </c>
    </row>
    <row r="14">
      <c r="B14" s="17" t="inlineStr">
        <is>
          <t xml:space="preserve">  - Personeel</t>
        </is>
      </c>
      <c r="D14" s="55">
        <f>'07 Personeel'!D13</f>
        <v>51200.0</v>
      </c>
      <c r="E14" s="55">
        <f>'07 Personeel'!E13</f>
        <v>51200.0</v>
      </c>
      <c r="F14" s="55">
        <f>'07 Personeel'!F13</f>
        <v>51200.0</v>
      </c>
      <c r="G14" s="55">
        <f>'07 Personeel'!G13</f>
        <v>51200.0</v>
      </c>
      <c r="H14" s="55">
        <f>'07 Personeel'!H13</f>
        <v>89600.0</v>
      </c>
      <c r="I14" s="55">
        <f>'07 Personeel'!I13</f>
        <v>51200.0</v>
      </c>
      <c r="J14" s="55">
        <f>'07 Personeel'!J13</f>
        <v>51200.0</v>
      </c>
      <c r="K14" s="55">
        <f>'07 Personeel'!K13</f>
        <v>51200.0</v>
      </c>
      <c r="L14" s="55">
        <f>'07 Personeel'!L13</f>
        <v>51200.0</v>
      </c>
      <c r="M14" s="55">
        <f>'07 Personeel'!M13</f>
        <v>51200.0</v>
      </c>
      <c r="N14" s="55">
        <f>'07 Personeel'!N13</f>
        <v>51200.0</v>
      </c>
      <c r="O14" s="55">
        <f>'07 Personeel'!O13</f>
        <v>51200.0</v>
      </c>
      <c r="P14" s="55">
        <f>'07 Personeel'!P13</f>
        <v>51200.0</v>
      </c>
      <c r="Q14" s="55">
        <f>'07 Personeel'!Q13</f>
        <v>51200.0</v>
      </c>
      <c r="R14" s="55">
        <f>'07 Personeel'!R13</f>
        <v>51200.0</v>
      </c>
      <c r="S14" s="55">
        <f>'07 Personeel'!S13</f>
        <v>51200.0</v>
      </c>
      <c r="T14" s="55">
        <f>'07 Personeel'!T13</f>
        <v>89600.0</v>
      </c>
      <c r="U14" s="55">
        <f>'07 Personeel'!U13</f>
        <v>51200.0</v>
      </c>
      <c r="V14" s="55">
        <f>'07 Personeel'!V13</f>
        <v>51200.0</v>
      </c>
      <c r="W14" s="55">
        <f>'07 Personeel'!W13</f>
        <v>51200.0</v>
      </c>
      <c r="X14" s="55">
        <f>'07 Personeel'!X13</f>
        <v>51200.0</v>
      </c>
      <c r="Y14" s="55">
        <f>'07 Personeel'!Y13</f>
        <v>51200.0</v>
      </c>
      <c r="Z14" s="55">
        <f>'07 Personeel'!Z13</f>
        <v>51200.0</v>
      </c>
      <c r="AA14" s="55">
        <f>'07 Personeel'!AA13</f>
        <v>51200.0</v>
      </c>
    </row>
    <row r="15">
      <c r="B15" s="17" t="inlineStr">
        <is>
          <t xml:space="preserve">  - Overige kosten</t>
        </is>
      </c>
      <c r="D15" s="55">
        <f>'08 Overige kosten'!D29</f>
        <v>34300.0</v>
      </c>
      <c r="E15" s="55">
        <f>'08 Overige kosten'!E29</f>
        <v>34300.0</v>
      </c>
      <c r="F15" s="55">
        <f>'08 Overige kosten'!F29</f>
        <v>36550.0</v>
      </c>
      <c r="G15" s="55">
        <f>'08 Overige kosten'!G29</f>
        <v>36550.0</v>
      </c>
      <c r="H15" s="55">
        <f>'08 Overige kosten'!H29</f>
        <v>37300.0</v>
      </c>
      <c r="I15" s="55">
        <f>'08 Overige kosten'!I29</f>
        <v>36550.0</v>
      </c>
      <c r="J15" s="55">
        <f>'08 Overige kosten'!J29</f>
        <v>34300.0</v>
      </c>
      <c r="K15" s="55">
        <f>'08 Overige kosten'!K29</f>
        <v>32800.0</v>
      </c>
      <c r="L15" s="55">
        <f>'08 Overige kosten'!L29</f>
        <v>37300.0</v>
      </c>
      <c r="M15" s="55">
        <f>'08 Overige kosten'!M29</f>
        <v>38800.0</v>
      </c>
      <c r="N15" s="55">
        <f>'08 Overige kosten'!N29</f>
        <v>39550.0</v>
      </c>
      <c r="O15" s="55">
        <f>'08 Overige kosten'!O29</f>
        <v>37300.0</v>
      </c>
      <c r="P15" s="55">
        <f>'08 Overige kosten'!P29</f>
        <v>34300.0</v>
      </c>
      <c r="Q15" s="55">
        <f>'08 Overige kosten'!Q29</f>
        <v>34300.0</v>
      </c>
      <c r="R15" s="55">
        <f>'08 Overige kosten'!R29</f>
        <v>36550.0</v>
      </c>
      <c r="S15" s="55">
        <f>'08 Overige kosten'!S29</f>
        <v>36550.0</v>
      </c>
      <c r="T15" s="55">
        <f>'08 Overige kosten'!T29</f>
        <v>37300.0</v>
      </c>
      <c r="U15" s="55">
        <f>'08 Overige kosten'!U29</f>
        <v>36550.0</v>
      </c>
      <c r="V15" s="55">
        <f>'08 Overige kosten'!V29</f>
        <v>34300.0</v>
      </c>
      <c r="W15" s="55">
        <f>'08 Overige kosten'!W29</f>
        <v>32800.0</v>
      </c>
      <c r="X15" s="55">
        <f>'08 Overige kosten'!X29</f>
        <v>37300.0</v>
      </c>
      <c r="Y15" s="55">
        <f>'08 Overige kosten'!Y29</f>
        <v>38800.0</v>
      </c>
      <c r="Z15" s="55">
        <f>'08 Overige kosten'!Z29</f>
        <v>39550.0</v>
      </c>
      <c r="AA15" s="55">
        <f>'08 Overige kosten'!AA29</f>
        <v>37300.0</v>
      </c>
    </row>
    <row r="16">
      <c r="B16" s="17" t="inlineStr">
        <is>
          <t xml:space="preserve">  - BTW</t>
        </is>
      </c>
      <c r="D16" s="55">
        <f>'11 Belastingen'!D11</f>
        <v>0</v>
      </c>
      <c r="E16" s="55">
        <f>'11 Belastingen'!E11</f>
        <v>0</v>
      </c>
      <c r="F16" s="55">
        <f>'11 Belastingen'!F11</f>
        <v>0</v>
      </c>
      <c r="G16" s="55">
        <f>'11 Belastingen'!G11</f>
        <v>86568.63157894739</v>
      </c>
      <c r="H16" s="55">
        <f>'11 Belastingen'!H11</f>
        <v>0</v>
      </c>
      <c r="I16" s="55">
        <f>'11 Belastingen'!I11</f>
        <v>0</v>
      </c>
      <c r="J16" s="55">
        <f>'11 Belastingen'!J11</f>
        <v>45066.00000000004</v>
      </c>
      <c r="K16" s="55">
        <f>'11 Belastingen'!K11</f>
        <v>0</v>
      </c>
      <c r="L16" s="55">
        <f>'11 Belastingen'!L11</f>
        <v>0</v>
      </c>
      <c r="M16" s="55">
        <f>'11 Belastingen'!M11</f>
        <v>20377.184210526306</v>
      </c>
      <c r="N16" s="55">
        <f>'11 Belastingen'!N11</f>
        <v>0</v>
      </c>
      <c r="O16" s="55">
        <f>'11 Belastingen'!O11</f>
        <v>0</v>
      </c>
      <c r="P16" s="55">
        <f>'11 Belastingen'!P11</f>
        <v>63703.49999999999</v>
      </c>
      <c r="Q16" s="55">
        <f>'11 Belastingen'!Q11</f>
        <v>0</v>
      </c>
      <c r="R16" s="55">
        <f>'11 Belastingen'!R11</f>
        <v>0</v>
      </c>
      <c r="S16" s="55">
        <f>'11 Belastingen'!S11</f>
        <v>39567.31578947372</v>
      </c>
      <c r="T16" s="55">
        <f>'11 Belastingen'!T11</f>
        <v>0</v>
      </c>
      <c r="U16" s="55">
        <f>'11 Belastingen'!U11</f>
        <v>0</v>
      </c>
      <c r="V16" s="55">
        <f>'11 Belastingen'!V11</f>
        <v>54516.00000000004</v>
      </c>
      <c r="W16" s="55">
        <f>'11 Belastingen'!W11</f>
        <v>0</v>
      </c>
      <c r="X16" s="55">
        <f>'11 Belastingen'!X11</f>
        <v>0</v>
      </c>
      <c r="Y16" s="55">
        <f>'11 Belastingen'!Y11</f>
        <v>28777.184210526306</v>
      </c>
      <c r="Z16" s="55">
        <f>'11 Belastingen'!Z11</f>
        <v>0</v>
      </c>
      <c r="AA16" s="55">
        <f>'11 Belastingen'!AA11</f>
        <v>0</v>
      </c>
    </row>
    <row r="17">
      <c r="B17" s="17" t="inlineStr">
        <is>
          <t xml:space="preserve">  - VPB (vennootschapsbelasting)</t>
        </is>
      </c>
      <c r="D17" s="55">
        <f>'11 Belastingen'!D15</f>
        <v>0</v>
      </c>
      <c r="E17" s="55">
        <f>'11 Belastingen'!E15</f>
        <v>0</v>
      </c>
      <c r="F17" s="55">
        <f>'11 Belastingen'!F15</f>
        <v>8000</v>
      </c>
      <c r="G17" s="55">
        <f>'11 Belastingen'!G15</f>
        <v>0</v>
      </c>
      <c r="H17" s="55">
        <f>'11 Belastingen'!H15</f>
        <v>0</v>
      </c>
      <c r="I17" s="55">
        <f>'11 Belastingen'!I15</f>
        <v>8000</v>
      </c>
      <c r="J17" s="55">
        <f>'11 Belastingen'!J15</f>
        <v>0</v>
      </c>
      <c r="K17" s="55">
        <f>'11 Belastingen'!K15</f>
        <v>0</v>
      </c>
      <c r="L17" s="55">
        <f>'11 Belastingen'!L15</f>
        <v>8000</v>
      </c>
      <c r="M17" s="55">
        <f>'11 Belastingen'!M15</f>
        <v>0</v>
      </c>
      <c r="N17" s="55">
        <f>'11 Belastingen'!N15</f>
        <v>0</v>
      </c>
      <c r="O17" s="55">
        <f>'11 Belastingen'!O15</f>
        <v>8000</v>
      </c>
      <c r="P17" s="55">
        <f>'11 Belastingen'!P15</f>
        <v>0</v>
      </c>
      <c r="Q17" s="55">
        <f>'11 Belastingen'!Q15</f>
        <v>0</v>
      </c>
      <c r="R17" s="55">
        <f>'11 Belastingen'!R15</f>
        <v>8000</v>
      </c>
      <c r="S17" s="55">
        <f>'11 Belastingen'!S15</f>
        <v>0</v>
      </c>
      <c r="T17" s="55">
        <f>'11 Belastingen'!T15</f>
        <v>0</v>
      </c>
      <c r="U17" s="55">
        <f>'11 Belastingen'!U15</f>
        <v>8000</v>
      </c>
      <c r="V17" s="55">
        <f>'11 Belastingen'!V15</f>
        <v>0</v>
      </c>
      <c r="W17" s="55">
        <f>'11 Belastingen'!W15</f>
        <v>0</v>
      </c>
      <c r="X17" s="55">
        <f>'11 Belastingen'!X15</f>
        <v>8000</v>
      </c>
      <c r="Y17" s="55">
        <f>'11 Belastingen'!Y15</f>
        <v>0</v>
      </c>
      <c r="Z17" s="55">
        <f>'11 Belastingen'!Z15</f>
        <v>0</v>
      </c>
      <c r="AA17" s="55">
        <f>'11 Belastingen'!AA15</f>
        <v>8000</v>
      </c>
    </row>
    <row r="18">
      <c r="B18" s="17" t="inlineStr">
        <is>
          <t xml:space="preserve">  - Investeringen (capex)</t>
        </is>
      </c>
      <c r="D18" s="55">
        <f>'09 Investeringen'!D15</f>
        <v>0.0</v>
      </c>
      <c r="E18" s="55">
        <f>'09 Investeringen'!E15</f>
        <v>0.0</v>
      </c>
      <c r="F18" s="55">
        <f>'09 Investeringen'!F15</f>
        <v>0.0</v>
      </c>
      <c r="G18" s="55">
        <f>'09 Investeringen'!G15</f>
        <v>45000.0</v>
      </c>
      <c r="H18" s="55">
        <f>'09 Investeringen'!H15</f>
        <v>0.0</v>
      </c>
      <c r="I18" s="55">
        <f>'09 Investeringen'!I15</f>
        <v>0.0</v>
      </c>
      <c r="J18" s="55">
        <f>'09 Investeringen'!J15</f>
        <v>0.0</v>
      </c>
      <c r="K18" s="55">
        <f>'09 Investeringen'!K15</f>
        <v>0.0</v>
      </c>
      <c r="L18" s="55">
        <f>'09 Investeringen'!L15</f>
        <v>80000.0</v>
      </c>
      <c r="M18" s="55">
        <f>'09 Investeringen'!M15</f>
        <v>0.0</v>
      </c>
      <c r="N18" s="55">
        <f>'09 Investeringen'!N15</f>
        <v>0.0</v>
      </c>
      <c r="O18" s="55">
        <f>'09 Investeringen'!O15</f>
        <v>0.0</v>
      </c>
      <c r="P18" s="55">
        <f>'09 Investeringen'!P15</f>
        <v>0.0</v>
      </c>
      <c r="Q18" s="55">
        <f>'09 Investeringen'!Q15</f>
        <v>60000.0</v>
      </c>
      <c r="R18" s="55">
        <f>'09 Investeringen'!R15</f>
        <v>0.0</v>
      </c>
      <c r="S18" s="55">
        <f>'09 Investeringen'!S15</f>
        <v>0.0</v>
      </c>
      <c r="T18" s="55">
        <f>'09 Investeringen'!T15</f>
        <v>0.0</v>
      </c>
      <c r="U18" s="55">
        <f>'09 Investeringen'!U15</f>
        <v>0.0</v>
      </c>
      <c r="V18" s="55">
        <f>'09 Investeringen'!V15</f>
        <v>0.0</v>
      </c>
      <c r="W18" s="55">
        <f>'09 Investeringen'!W15</f>
        <v>40000.0</v>
      </c>
      <c r="X18" s="55">
        <f>'09 Investeringen'!X15</f>
        <v>0.0</v>
      </c>
      <c r="Y18" s="55">
        <f>'09 Investeringen'!Y15</f>
        <v>0.0</v>
      </c>
      <c r="Z18" s="55">
        <f>'09 Investeringen'!Z15</f>
        <v>0.0</v>
      </c>
      <c r="AA18" s="55">
        <f>'09 Investeringen'!AA15</f>
        <v>0.0</v>
      </c>
    </row>
    <row r="19">
      <c r="B19" s="17" t="inlineStr">
        <is>
          <t xml:space="preserve">  - Rente</t>
        </is>
      </c>
      <c r="D19" s="55">
        <f>'10 Financiering'!D14</f>
        <v>4500.0</v>
      </c>
      <c r="E19" s="55">
        <f>'10 Financiering'!E14</f>
        <v>4450.0</v>
      </c>
      <c r="F19" s="55">
        <f>'10 Financiering'!F14</f>
        <v>4400.0</v>
      </c>
      <c r="G19" s="55">
        <f>'10 Financiering'!G14</f>
        <v>4350.0</v>
      </c>
      <c r="H19" s="55">
        <f>'10 Financiering'!H14</f>
        <v>4300.0</v>
      </c>
      <c r="I19" s="55">
        <f>'10 Financiering'!I14</f>
        <v>4250.0</v>
      </c>
      <c r="J19" s="55">
        <f>'10 Financiering'!J14</f>
        <v>4200.0</v>
      </c>
      <c r="K19" s="55">
        <f>'10 Financiering'!K14</f>
        <v>4150.0</v>
      </c>
      <c r="L19" s="55">
        <f>'10 Financiering'!L14</f>
        <v>4100.0</v>
      </c>
      <c r="M19" s="55">
        <f>'10 Financiering'!M14</f>
        <v>4050.0</v>
      </c>
      <c r="N19" s="55">
        <f>'10 Financiering'!N14</f>
        <v>4000.0</v>
      </c>
      <c r="O19" s="55">
        <f>'10 Financiering'!O14</f>
        <v>3950.0</v>
      </c>
      <c r="P19" s="55">
        <f>'10 Financiering'!P14</f>
        <v>3900.0</v>
      </c>
      <c r="Q19" s="55">
        <f>'10 Financiering'!Q14</f>
        <v>3850.0</v>
      </c>
      <c r="R19" s="55">
        <f>'10 Financiering'!R14</f>
        <v>3800.0</v>
      </c>
      <c r="S19" s="55">
        <f>'10 Financiering'!S14</f>
        <v>3750.0</v>
      </c>
      <c r="T19" s="55">
        <f>'10 Financiering'!T14</f>
        <v>3700.0</v>
      </c>
      <c r="U19" s="55">
        <f>'10 Financiering'!U14</f>
        <v>3650.0</v>
      </c>
      <c r="V19" s="55">
        <f>'10 Financiering'!V14</f>
        <v>3600.0</v>
      </c>
      <c r="W19" s="55">
        <f>'10 Financiering'!W14</f>
        <v>3550.0</v>
      </c>
      <c r="X19" s="55">
        <f>'10 Financiering'!X14</f>
        <v>3500.0</v>
      </c>
      <c r="Y19" s="55">
        <f>'10 Financiering'!Y14</f>
        <v>3450.0</v>
      </c>
      <c r="Z19" s="55">
        <f>'10 Financiering'!Z14</f>
        <v>3400.0</v>
      </c>
      <c r="AA19" s="55">
        <f>'10 Financiering'!AA14</f>
        <v>3350.0</v>
      </c>
    </row>
    <row r="20">
      <c r="B20" s="17" t="inlineStr">
        <is>
          <t xml:space="preserve">  - Aflossingen</t>
        </is>
      </c>
      <c r="D20" s="55">
        <f>'10 Financiering'!D12</f>
        <v>10000</v>
      </c>
      <c r="E20" s="55">
        <f>'10 Financiering'!E12</f>
        <v>10000</v>
      </c>
      <c r="F20" s="55">
        <f>'10 Financiering'!F12</f>
        <v>10000</v>
      </c>
      <c r="G20" s="55">
        <f>'10 Financiering'!G12</f>
        <v>10000</v>
      </c>
      <c r="H20" s="55">
        <f>'10 Financiering'!H12</f>
        <v>10000</v>
      </c>
      <c r="I20" s="55">
        <f>'10 Financiering'!I12</f>
        <v>10000</v>
      </c>
      <c r="J20" s="55">
        <f>'10 Financiering'!J12</f>
        <v>10000</v>
      </c>
      <c r="K20" s="55">
        <f>'10 Financiering'!K12</f>
        <v>10000</v>
      </c>
      <c r="L20" s="55">
        <f>'10 Financiering'!L12</f>
        <v>10000</v>
      </c>
      <c r="M20" s="55">
        <f>'10 Financiering'!M12</f>
        <v>10000</v>
      </c>
      <c r="N20" s="55">
        <f>'10 Financiering'!N12</f>
        <v>10000</v>
      </c>
      <c r="O20" s="55">
        <f>'10 Financiering'!O12</f>
        <v>10000</v>
      </c>
      <c r="P20" s="55">
        <f>'10 Financiering'!P12</f>
        <v>10000</v>
      </c>
      <c r="Q20" s="55">
        <f>'10 Financiering'!Q12</f>
        <v>10000</v>
      </c>
      <c r="R20" s="55">
        <f>'10 Financiering'!R12</f>
        <v>10000</v>
      </c>
      <c r="S20" s="55">
        <f>'10 Financiering'!S12</f>
        <v>10000</v>
      </c>
      <c r="T20" s="55">
        <f>'10 Financiering'!T12</f>
        <v>10000</v>
      </c>
      <c r="U20" s="55">
        <f>'10 Financiering'!U12</f>
        <v>10000</v>
      </c>
      <c r="V20" s="55">
        <f>'10 Financiering'!V12</f>
        <v>10000</v>
      </c>
      <c r="W20" s="55">
        <f>'10 Financiering'!W12</f>
        <v>10000</v>
      </c>
      <c r="X20" s="55">
        <f>'10 Financiering'!X12</f>
        <v>10000</v>
      </c>
      <c r="Y20" s="55">
        <f>'10 Financiering'!Y12</f>
        <v>10000</v>
      </c>
      <c r="Z20" s="55">
        <f>'10 Financiering'!Z12</f>
        <v>10000</v>
      </c>
      <c r="AA20" s="55">
        <f>'10 Financiering'!AA12</f>
        <v>10000</v>
      </c>
    </row>
    <row r="21">
      <c r="B21" s="17" t="inlineStr">
        <is>
          <t xml:space="preserve">  - Dividend / privé</t>
        </is>
      </c>
      <c r="D21" s="55">
        <f>'04 Input prognose'!D11</f>
        <v>4000</v>
      </c>
      <c r="E21" s="55">
        <f>'04 Input prognose'!E11</f>
        <v>4000</v>
      </c>
      <c r="F21" s="55">
        <f>'04 Input prognose'!F11</f>
        <v>4000</v>
      </c>
      <c r="G21" s="55">
        <f>'04 Input prognose'!G11</f>
        <v>4000</v>
      </c>
      <c r="H21" s="55">
        <f>'04 Input prognose'!H11</f>
        <v>4000</v>
      </c>
      <c r="I21" s="55">
        <f>'04 Input prognose'!I11</f>
        <v>40000</v>
      </c>
      <c r="J21" s="55">
        <f>'04 Input prognose'!J11</f>
        <v>4000</v>
      </c>
      <c r="K21" s="55">
        <f>'04 Input prognose'!K11</f>
        <v>4000</v>
      </c>
      <c r="L21" s="55">
        <f>'04 Input prognose'!L11</f>
        <v>4000</v>
      </c>
      <c r="M21" s="55">
        <f>'04 Input prognose'!M11</f>
        <v>4000</v>
      </c>
      <c r="N21" s="55">
        <f>'04 Input prognose'!N11</f>
        <v>4000</v>
      </c>
      <c r="O21" s="55">
        <f>'04 Input prognose'!O11</f>
        <v>4000</v>
      </c>
      <c r="P21" s="55">
        <f>'04 Input prognose'!P11</f>
        <v>4000</v>
      </c>
      <c r="Q21" s="55">
        <f>'04 Input prognose'!Q11</f>
        <v>4000</v>
      </c>
      <c r="R21" s="55">
        <f>'04 Input prognose'!R11</f>
        <v>4000</v>
      </c>
      <c r="S21" s="55">
        <f>'04 Input prognose'!S11</f>
        <v>4000</v>
      </c>
      <c r="T21" s="55">
        <f>'04 Input prognose'!T11</f>
        <v>4000</v>
      </c>
      <c r="U21" s="55">
        <f>'04 Input prognose'!U11</f>
        <v>40000</v>
      </c>
      <c r="V21" s="55">
        <f>'04 Input prognose'!V11</f>
        <v>4000</v>
      </c>
      <c r="W21" s="55">
        <f>'04 Input prognose'!W11</f>
        <v>4000</v>
      </c>
      <c r="X21" s="55">
        <f>'04 Input prognose'!X11</f>
        <v>4000</v>
      </c>
      <c r="Y21" s="55">
        <f>'04 Input prognose'!Y11</f>
        <v>4000</v>
      </c>
      <c r="Z21" s="55">
        <f>'04 Input prognose'!Z11</f>
        <v>4000</v>
      </c>
      <c r="AA21" s="55">
        <f>'04 Input prognose'!AA11</f>
        <v>4000</v>
      </c>
    </row>
    <row r="22">
      <c r="B22" s="17" t="inlineStr">
        <is>
          <t xml:space="preserve">  - Overige uitgaven</t>
        </is>
      </c>
      <c r="D22" s="55">
        <f>'04 Input prognose'!D10</f>
        <v>0</v>
      </c>
      <c r="E22" s="55">
        <f>'04 Input prognose'!E10</f>
        <v>0</v>
      </c>
      <c r="F22" s="55">
        <f>'04 Input prognose'!F10</f>
        <v>0</v>
      </c>
      <c r="G22" s="55">
        <f>'04 Input prognose'!G10</f>
        <v>0</v>
      </c>
      <c r="H22" s="55">
        <f>'04 Input prognose'!H10</f>
        <v>0</v>
      </c>
      <c r="I22" s="55">
        <f>'04 Input prognose'!I10</f>
        <v>0</v>
      </c>
      <c r="J22" s="55">
        <f>'04 Input prognose'!J10</f>
        <v>0</v>
      </c>
      <c r="K22" s="55">
        <f>'04 Input prognose'!K10</f>
        <v>0</v>
      </c>
      <c r="L22" s="55">
        <f>'04 Input prognose'!L10</f>
        <v>0</v>
      </c>
      <c r="M22" s="55">
        <f>'04 Input prognose'!M10</f>
        <v>0</v>
      </c>
      <c r="N22" s="55">
        <f>'04 Input prognose'!N10</f>
        <v>0</v>
      </c>
      <c r="O22" s="55">
        <f>'04 Input prognose'!O10</f>
        <v>0</v>
      </c>
      <c r="P22" s="55">
        <f>'04 Input prognose'!P10</f>
        <v>0</v>
      </c>
      <c r="Q22" s="55">
        <f>'04 Input prognose'!Q10</f>
        <v>0</v>
      </c>
      <c r="R22" s="55">
        <f>'04 Input prognose'!R10</f>
        <v>0</v>
      </c>
      <c r="S22" s="55">
        <f>'04 Input prognose'!S10</f>
        <v>0</v>
      </c>
      <c r="T22" s="55">
        <f>'04 Input prognose'!T10</f>
        <v>0</v>
      </c>
      <c r="U22" s="55">
        <f>'04 Input prognose'!U10</f>
        <v>0</v>
      </c>
      <c r="V22" s="55">
        <f>'04 Input prognose'!V10</f>
        <v>0</v>
      </c>
      <c r="W22" s="55">
        <f>'04 Input prognose'!W10</f>
        <v>0</v>
      </c>
      <c r="X22" s="55">
        <f>'04 Input prognose'!X10</f>
        <v>0</v>
      </c>
      <c r="Y22" s="55">
        <f>'04 Input prognose'!Y10</f>
        <v>0</v>
      </c>
      <c r="Z22" s="55">
        <f>'04 Input prognose'!Z10</f>
        <v>0</v>
      </c>
      <c r="AA22" s="55">
        <f>'04 Input prognose'!AA10</f>
        <v>0</v>
      </c>
    </row>
    <row r="23">
      <c r="B23" s="52" t="inlineStr">
        <is>
          <t>TOTAAL UITGAAND</t>
        </is>
      </c>
      <c r="D23" s="63">
        <f>SUM(D13:D22)</f>
        <v>620078.5872576176</v>
      </c>
      <c r="E23" s="63">
        <f>SUM(E13:E22)</f>
        <v>-59334.639889196435</v>
      </c>
      <c r="F23" s="63">
        <f>SUM(F13:F22)</f>
        <v>361105.6371191137</v>
      </c>
      <c r="G23" s="63">
        <f>SUM(G13:G22)</f>
        <v>763473.126038781</v>
      </c>
      <c r="H23" s="63">
        <f>SUM(H13:H22)</f>
        <v>496138.5457063712</v>
      </c>
      <c r="I23" s="63">
        <f>SUM(I13:I22)</f>
        <v>613209.6191135736</v>
      </c>
      <c r="J23" s="63">
        <f>SUM(J13:J22)</f>
        <v>525142.1980609416</v>
      </c>
      <c r="K23" s="63">
        <f>SUM(K13:K22)</f>
        <v>290168.4141274241</v>
      </c>
      <c r="L23" s="63">
        <f>SUM(L13:L22)</f>
        <v>236334.94459833775</v>
      </c>
      <c r="M23" s="63">
        <f>SUM(M13:M22)</f>
        <v>792913.2645429363</v>
      </c>
      <c r="N23" s="63">
        <f>SUM(N13:N22)</f>
        <v>628724.8753462604</v>
      </c>
      <c r="O23" s="63">
        <f>SUM(O13:O22)</f>
        <v>681642.5277008311</v>
      </c>
      <c r="P23" s="63">
        <f>SUM(P13:P22)</f>
        <v>480884.82271468145</v>
      </c>
      <c r="Q23" s="63">
        <f>SUM(Q13:Q22)</f>
        <v>260877.34072022175</v>
      </c>
      <c r="R23" s="63">
        <f>SUM(R13:R22)</f>
        <v>360505.6371191137</v>
      </c>
      <c r="S23" s="63">
        <f>SUM(S13:S22)</f>
        <v>670871.8102493073</v>
      </c>
      <c r="T23" s="63">
        <f>SUM(T13:T22)</f>
        <v>495538.5457063712</v>
      </c>
      <c r="U23" s="63">
        <f>SUM(U13:U22)</f>
        <v>612609.6191135736</v>
      </c>
      <c r="V23" s="63">
        <f>SUM(V13:V22)</f>
        <v>533992.1980609416</v>
      </c>
      <c r="W23" s="63">
        <f>SUM(W13:W22)</f>
        <v>329568.4141274241</v>
      </c>
      <c r="X23" s="63">
        <f>SUM(X13:X22)</f>
        <v>155734.94459833775</v>
      </c>
      <c r="Y23" s="63">
        <f>SUM(Y13:Y22)</f>
        <v>800713.2645429363</v>
      </c>
      <c r="Z23" s="63">
        <f>SUM(Z13:Z22)</f>
        <v>628124.8753462604</v>
      </c>
      <c r="AA23" s="63">
        <f>SUM(AA13:AA22)</f>
        <v>681042.5277008311</v>
      </c>
    </row>
    <row r="24">
      <c r="B24" s="52" t="inlineStr">
        <is>
          <t>NETTO KASSTROOM</t>
        </is>
      </c>
      <c r="D24" s="63">
        <f>D12-D23</f>
        <v>-223470.03462603875</v>
      </c>
      <c r="E24" s="63">
        <f>E12-E23</f>
        <v>482834.63988919643</v>
      </c>
      <c r="F24" s="63">
        <f>F12-F23</f>
        <v>18810.481301938882</v>
      </c>
      <c r="G24" s="63">
        <f>G12-G23</f>
        <v>-249223.12603878102</v>
      </c>
      <c r="H24" s="63">
        <f>H12-H23</f>
        <v>3583.493767313077</v>
      </c>
      <c r="I24" s="63">
        <f>I12-I23</f>
        <v>-54181.65858725784</v>
      </c>
      <c r="J24" s="63">
        <f>J12-J23</f>
        <v>32691.683518005768</v>
      </c>
      <c r="K24" s="63">
        <f>K12-K23</f>
        <v>162387.50692520745</v>
      </c>
      <c r="L24" s="63">
        <f>L12-L23</f>
        <v>39497.292243767646</v>
      </c>
      <c r="M24" s="63">
        <f>M12-M23</f>
        <v>-277469.1855955679</v>
      </c>
      <c r="N24" s="63">
        <f>N12-N23</f>
        <v>-38252.835872576106</v>
      </c>
      <c r="O24" s="63">
        <f>O12-O23</f>
        <v>-2808.6461218836484</v>
      </c>
      <c r="P24" s="63">
        <f>P12-P23</f>
        <v>121727.0193905817</v>
      </c>
      <c r="Q24" s="63">
        <f>Q12-Q23</f>
        <v>162622.65927977825</v>
      </c>
      <c r="R24" s="63">
        <f>R12-R23</f>
        <v>19410.481301938882</v>
      </c>
      <c r="S24" s="63">
        <f>S12-S23</f>
        <v>-156621.8102493073</v>
      </c>
      <c r="T24" s="63">
        <f>T12-T23</f>
        <v>4183.493767313077</v>
      </c>
      <c r="U24" s="63">
        <f>U12-U23</f>
        <v>-53581.65858725784</v>
      </c>
      <c r="V24" s="63">
        <f>V12-V23</f>
        <v>23841.683518005768</v>
      </c>
      <c r="W24" s="63">
        <f>W12-W23</f>
        <v>122987.50692520745</v>
      </c>
      <c r="X24" s="63">
        <f>X12-X23</f>
        <v>120097.29224376765</v>
      </c>
      <c r="Y24" s="63">
        <f>Y12-Y23</f>
        <v>-285269.1855955679</v>
      </c>
      <c r="Z24" s="63">
        <f>Z12-Z23</f>
        <v>-37652.835872576106</v>
      </c>
      <c r="AA24" s="63">
        <f>AA12-AA23</f>
        <v>-2208.6461218836484</v>
      </c>
    </row>
    <row r="25">
      <c r="B25" s="52" t="inlineStr">
        <is>
          <t>EINDLIQUIDITEIT</t>
        </is>
      </c>
      <c r="D25" s="63">
        <f>D8+D24</f>
        <v>76529.96537396125</v>
      </c>
      <c r="E25" s="63">
        <f>E8+E24</f>
        <v>559364.6052631577</v>
      </c>
      <c r="F25" s="63">
        <f>F8+F24</f>
        <v>578175.0865650966</v>
      </c>
      <c r="G25" s="63">
        <f>G8+G24</f>
        <v>328951.9605263156</v>
      </c>
      <c r="H25" s="63">
        <f>H8+H24</f>
        <v>332535.4542936287</v>
      </c>
      <c r="I25" s="63">
        <f>I8+I24</f>
        <v>278353.79570637085</v>
      </c>
      <c r="J25" s="63">
        <f>J8+J24</f>
        <v>311045.4792243766</v>
      </c>
      <c r="K25" s="63">
        <f>K8+K24</f>
        <v>473432.98614958406</v>
      </c>
      <c r="L25" s="63">
        <f>L8+L24</f>
        <v>512930.2783933517</v>
      </c>
      <c r="M25" s="63">
        <f>M8+M24</f>
        <v>235461.0927977838</v>
      </c>
      <c r="N25" s="63">
        <f>N8+N24</f>
        <v>197208.25692520768</v>
      </c>
      <c r="O25" s="63">
        <f>O8+O24</f>
        <v>194399.61080332403</v>
      </c>
      <c r="P25" s="63">
        <f>P8+P24</f>
        <v>316126.63019390573</v>
      </c>
      <c r="Q25" s="63">
        <f>Q8+Q24</f>
        <v>478749.289473684</v>
      </c>
      <c r="R25" s="63">
        <f>R8+R24</f>
        <v>498159.77077562286</v>
      </c>
      <c r="S25" s="63">
        <f>S8+S24</f>
        <v>341537.96052631555</v>
      </c>
      <c r="T25" s="63">
        <f>T8+T24</f>
        <v>345721.45429362863</v>
      </c>
      <c r="U25" s="63">
        <f>U8+U24</f>
        <v>292139.7957063708</v>
      </c>
      <c r="V25" s="63">
        <f>V8+V24</f>
        <v>315981.47922437656</v>
      </c>
      <c r="W25" s="63">
        <f>W8+W24</f>
        <v>438968.986149584</v>
      </c>
      <c r="X25" s="63">
        <f>X8+X24</f>
        <v>559066.2783933517</v>
      </c>
      <c r="Y25" s="63">
        <f>Y8+Y24</f>
        <v>273797.0927977838</v>
      </c>
      <c r="Z25" s="63">
        <f>Z8+Z24</f>
        <v>236144.25692520768</v>
      </c>
      <c r="AA25" s="63">
        <f>AA8+AA24</f>
        <v>233935.61080332403</v>
      </c>
    </row>
    <row r="27">
      <c r="B27" s="17" t="inlineStr">
        <is>
          <t>Minimale buffer</t>
        </is>
      </c>
      <c r="D27" s="66">
        <f>s_buffer</f>
        <v>100000</v>
      </c>
      <c r="E27" s="66">
        <f>s_buffer</f>
        <v>100000</v>
      </c>
      <c r="F27" s="66">
        <f>s_buffer</f>
        <v>100000</v>
      </c>
      <c r="G27" s="66">
        <f>s_buffer</f>
        <v>100000</v>
      </c>
      <c r="H27" s="66">
        <f>s_buffer</f>
        <v>100000</v>
      </c>
      <c r="I27" s="66">
        <f>s_buffer</f>
        <v>100000</v>
      </c>
      <c r="J27" s="66">
        <f>s_buffer</f>
        <v>100000</v>
      </c>
      <c r="K27" s="66">
        <f>s_buffer</f>
        <v>100000</v>
      </c>
      <c r="L27" s="66">
        <f>s_buffer</f>
        <v>100000</v>
      </c>
      <c r="M27" s="66">
        <f>s_buffer</f>
        <v>100000</v>
      </c>
      <c r="N27" s="66">
        <f>s_buffer</f>
        <v>100000</v>
      </c>
      <c r="O27" s="66">
        <f>s_buffer</f>
        <v>100000</v>
      </c>
      <c r="P27" s="66">
        <f>s_buffer</f>
        <v>100000</v>
      </c>
      <c r="Q27" s="66">
        <f>s_buffer</f>
        <v>100000</v>
      </c>
      <c r="R27" s="66">
        <f>s_buffer</f>
        <v>100000</v>
      </c>
      <c r="S27" s="66">
        <f>s_buffer</f>
        <v>100000</v>
      </c>
      <c r="T27" s="66">
        <f>s_buffer</f>
        <v>100000</v>
      </c>
      <c r="U27" s="66">
        <f>s_buffer</f>
        <v>100000</v>
      </c>
      <c r="V27" s="66">
        <f>s_buffer</f>
        <v>100000</v>
      </c>
      <c r="W27" s="66">
        <f>s_buffer</f>
        <v>100000</v>
      </c>
      <c r="X27" s="66">
        <f>s_buffer</f>
        <v>100000</v>
      </c>
      <c r="Y27" s="66">
        <f>s_buffer</f>
        <v>100000</v>
      </c>
      <c r="Z27" s="66">
        <f>s_buffer</f>
        <v>100000</v>
      </c>
      <c r="AA27" s="66">
        <f>s_buffer</f>
        <v>100000</v>
      </c>
    </row>
    <row r="28">
      <c r="B28" s="38" t="inlineStr">
        <is>
          <t>Vrije liquiditeit (eind - buffer)</t>
        </is>
      </c>
      <c r="D28" s="39">
        <f>D25-D27</f>
        <v>-23470.034626038745</v>
      </c>
      <c r="E28" s="39">
        <f>E25-E27</f>
        <v>459364.60526315775</v>
      </c>
      <c r="F28" s="39">
        <f>F25-F27</f>
        <v>478175.08656509663</v>
      </c>
      <c r="G28" s="39">
        <f>G25-G27</f>
        <v>228951.9605263156</v>
      </c>
      <c r="H28" s="39">
        <f>H25-H27</f>
        <v>232535.4542936287</v>
      </c>
      <c r="I28" s="39">
        <f>I25-I27</f>
        <v>178353.79570637085</v>
      </c>
      <c r="J28" s="39">
        <f>J25-J27</f>
        <v>211045.4792243766</v>
      </c>
      <c r="K28" s="39">
        <f>K25-K27</f>
        <v>373432.98614958406</v>
      </c>
      <c r="L28" s="39">
        <f>L25-L27</f>
        <v>412930.2783933517</v>
      </c>
      <c r="M28" s="39">
        <f>M25-M27</f>
        <v>135461.0927977838</v>
      </c>
      <c r="N28" s="39">
        <f>N25-N27</f>
        <v>97208.25692520768</v>
      </c>
      <c r="O28" s="39">
        <f>O25-O27</f>
        <v>94399.61080332403</v>
      </c>
      <c r="P28" s="39">
        <f>P25-P27</f>
        <v>216126.63019390573</v>
      </c>
      <c r="Q28" s="39">
        <f>Q25-Q27</f>
        <v>378749.289473684</v>
      </c>
      <c r="R28" s="39">
        <f>R25-R27</f>
        <v>398159.77077562286</v>
      </c>
      <c r="S28" s="39">
        <f>S25-S27</f>
        <v>241537.96052631555</v>
      </c>
      <c r="T28" s="39">
        <f>T25-T27</f>
        <v>245721.45429362863</v>
      </c>
      <c r="U28" s="39">
        <f>U25-U27</f>
        <v>192139.7957063708</v>
      </c>
      <c r="V28" s="39">
        <f>V25-V27</f>
        <v>215981.47922437656</v>
      </c>
      <c r="W28" s="39">
        <f>W25-W27</f>
        <v>338968.986149584</v>
      </c>
      <c r="X28" s="39">
        <f>X25-X27</f>
        <v>459066.2783933517</v>
      </c>
      <c r="Y28" s="39">
        <f>Y25-Y27</f>
        <v>173797.0927977838</v>
      </c>
      <c r="Z28" s="39">
        <f>Z25-Z27</f>
        <v>136144.25692520768</v>
      </c>
      <c r="AA28" s="39">
        <f>AA25-AA27</f>
        <v>133935.61080332403</v>
      </c>
    </row>
    <row r="29">
      <c r="B29" s="67" t="inlineStr">
        <is>
          <t>Financieringsbehoefte (tekort t.o.v. buffer)</t>
        </is>
      </c>
      <c r="D29" s="68">
        <f>MAX(0,D27-D25)</f>
        <v>23470.034626038745</v>
      </c>
      <c r="E29" s="68">
        <f>MAX(0,E27-E25)</f>
        <v>0</v>
      </c>
      <c r="F29" s="68">
        <f>MAX(0,F27-F25)</f>
        <v>0</v>
      </c>
      <c r="G29" s="68">
        <f>MAX(0,G27-G25)</f>
        <v>0</v>
      </c>
      <c r="H29" s="68">
        <f>MAX(0,H27-H25)</f>
        <v>0</v>
      </c>
      <c r="I29" s="68">
        <f>MAX(0,I27-I25)</f>
        <v>0</v>
      </c>
      <c r="J29" s="68">
        <f>MAX(0,J27-J25)</f>
        <v>0</v>
      </c>
      <c r="K29" s="68">
        <f>MAX(0,K27-K25)</f>
        <v>0</v>
      </c>
      <c r="L29" s="68">
        <f>MAX(0,L27-L25)</f>
        <v>0</v>
      </c>
      <c r="M29" s="68">
        <f>MAX(0,M27-M25)</f>
        <v>0</v>
      </c>
      <c r="N29" s="68">
        <f>MAX(0,N27-N25)</f>
        <v>0</v>
      </c>
      <c r="O29" s="68">
        <f>MAX(0,O27-O25)</f>
        <v>0</v>
      </c>
      <c r="P29" s="68">
        <f>MAX(0,P27-P25)</f>
        <v>0</v>
      </c>
      <c r="Q29" s="68">
        <f>MAX(0,Q27-Q25)</f>
        <v>0</v>
      </c>
      <c r="R29" s="68">
        <f>MAX(0,R27-R25)</f>
        <v>0</v>
      </c>
      <c r="S29" s="68">
        <f>MAX(0,S27-S25)</f>
        <v>0</v>
      </c>
      <c r="T29" s="68">
        <f>MAX(0,T27-T25)</f>
        <v>0</v>
      </c>
      <c r="U29" s="68">
        <f>MAX(0,U27-U25)</f>
        <v>0</v>
      </c>
      <c r="V29" s="68">
        <f>MAX(0,V27-V25)</f>
        <v>0</v>
      </c>
      <c r="W29" s="68">
        <f>MAX(0,W27-W25)</f>
        <v>0</v>
      </c>
      <c r="X29" s="68">
        <f>MAX(0,X27-X25)</f>
        <v>0</v>
      </c>
      <c r="Y29" s="68">
        <f>MAX(0,Y27-Y25)</f>
        <v>0</v>
      </c>
      <c r="Z29" s="68">
        <f>MAX(0,Z27-Z25)</f>
        <v>0</v>
      </c>
      <c r="AA29" s="68">
        <f>MAX(0,AA27-AA25)</f>
        <v>0</v>
      </c>
    </row>
    <row r="30">
      <c r="B30" s="64" t="inlineStr">
        <is>
          <t>Overige kasstroom (excl. deb/cred) - hulpregel</t>
        </is>
      </c>
      <c r="D30" s="65">
        <f>D24-D9+D13</f>
        <v>-103999.99999999994</v>
      </c>
      <c r="E30" s="65">
        <f>E24-E9+E13</f>
        <v>-103950.0</v>
      </c>
      <c r="F30" s="65">
        <f>F24-F9+F13</f>
        <v>-114150.0</v>
      </c>
      <c r="G30" s="65">
        <f>G24-G9+G13</f>
        <v>-237668.63157894742</v>
      </c>
      <c r="H30" s="65">
        <f>H24-H9+H13</f>
        <v>-145200.0</v>
      </c>
      <c r="I30" s="65">
        <f>I24-I9+I13</f>
        <v>-150000.00000000006</v>
      </c>
      <c r="J30" s="65">
        <f>J24-J9+J13</f>
        <v>-148766.0</v>
      </c>
      <c r="K30" s="65">
        <f>K24-K9+K13</f>
        <v>-102150.0</v>
      </c>
      <c r="L30" s="65">
        <f>L24-L9+L13</f>
        <v>-194600.0</v>
      </c>
      <c r="M30" s="65">
        <f>M24-M9+M13</f>
        <v>-128427.18421052629</v>
      </c>
      <c r="N30" s="65">
        <f>N24-N9+N13</f>
        <v>-108750.0</v>
      </c>
      <c r="O30" s="65">
        <f>O24-O9+O13</f>
        <v>-114450.0</v>
      </c>
      <c r="P30" s="65">
        <f>P24-P9+P13</f>
        <v>-167103.5</v>
      </c>
      <c r="Q30" s="65">
        <f>Q24-Q9+Q13</f>
        <v>-163350.0</v>
      </c>
      <c r="R30" s="65">
        <f>R24-R9+R13</f>
        <v>-113550.0</v>
      </c>
      <c r="S30" s="65">
        <f>S24-S9+S13</f>
        <v>-145067.3157894737</v>
      </c>
      <c r="T30" s="65">
        <f>T24-T9+T13</f>
        <v>-144600.0</v>
      </c>
      <c r="U30" s="65">
        <f>U24-U9+U13</f>
        <v>-149400.00000000006</v>
      </c>
      <c r="V30" s="65">
        <f>V24-V9+V13</f>
        <v>-157616.0</v>
      </c>
      <c r="W30" s="65">
        <f>W24-W9+W13</f>
        <v>-141550.0</v>
      </c>
      <c r="X30" s="65">
        <f>X24-X9+X13</f>
        <v>-114000.0</v>
      </c>
      <c r="Y30" s="65">
        <f>Y24-Y9+Y13</f>
        <v>-136227.1842105263</v>
      </c>
      <c r="Z30" s="65">
        <f>Z24-Z9+Z13</f>
        <v>-108150.0</v>
      </c>
      <c r="AA30" s="65">
        <f>AA24-AA9+AA13</f>
        <v>-113850.0</v>
      </c>
    </row>
  </sheetData>
  <mergeCells count="2">
    <mergeCell ref="B3:AA3"/>
    <mergeCell ref="B2:AA2"/>
  </mergeCells>
  <conditionalFormatting sqref="D25:AA25">
    <cfRule type="expression" priority="1" dxfId="0">
      <formula>D25&lt;D27</formula>
    </cfRule>
    <cfRule type="expression" priority="2" dxfId="1">
      <formula>D25&lt;0</formula>
    </cfRule>
  </conditionalFormatting>
  <conditionalFormatting sqref="D28:AA28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C9A2A"/>
    <outlinePr summaryBelow="1" summaryRight="1"/>
    <pageSetUpPr/>
  </sheetPr>
  <dimension ref="B2:AA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2" ht="26" customHeight="1">
      <c r="B2" s="1" t="inlineStr">
        <is>
          <t>SCENARIOANALYSE - BASE / BEST / WORST</t>
        </is>
      </c>
    </row>
    <row r="3" ht="15" customHeight="1">
      <c r="B3" s="2" t="inlineStr">
        <is>
          <t>13 Scenarioanalyse   ·   Omzet-, marge- &amp; werkkapitaaleffect per scenario · overige kaslijnen = actief model</t>
        </is>
      </c>
    </row>
    <row r="5">
      <c r="B5" s="42" t="inlineStr">
        <is>
          <t>Maand</t>
        </is>
      </c>
      <c r="C5" s="43" t="inlineStr">
        <is>
          <t>Eenheid</t>
        </is>
      </c>
      <c r="D5" s="44">
        <f>EDATE(s_start,0)</f>
        <v>46023</v>
      </c>
      <c r="E5" s="44">
        <f>EDATE(s_start,1)</f>
        <v>46054</v>
      </c>
      <c r="F5" s="44">
        <f>EDATE(s_start,2)</f>
        <v>46082</v>
      </c>
      <c r="G5" s="44">
        <f>EDATE(s_start,3)</f>
        <v>46113</v>
      </c>
      <c r="H5" s="44">
        <f>EDATE(s_start,4)</f>
        <v>46143</v>
      </c>
      <c r="I5" s="44">
        <f>EDATE(s_start,5)</f>
        <v>46174</v>
      </c>
      <c r="J5" s="44">
        <f>EDATE(s_start,6)</f>
        <v>46204</v>
      </c>
      <c r="K5" s="44">
        <f>EDATE(s_start,7)</f>
        <v>46235</v>
      </c>
      <c r="L5" s="44">
        <f>EDATE(s_start,8)</f>
        <v>46266</v>
      </c>
      <c r="M5" s="44">
        <f>EDATE(s_start,9)</f>
        <v>46296</v>
      </c>
      <c r="N5" s="44">
        <f>EDATE(s_start,10)</f>
        <v>46327</v>
      </c>
      <c r="O5" s="44">
        <f>EDATE(s_start,11)</f>
        <v>46357</v>
      </c>
      <c r="P5" s="44">
        <f>EDATE(s_start,12)</f>
        <v>46388</v>
      </c>
      <c r="Q5" s="44">
        <f>EDATE(s_start,13)</f>
        <v>46419</v>
      </c>
      <c r="R5" s="44">
        <f>EDATE(s_start,14)</f>
        <v>46447</v>
      </c>
      <c r="S5" s="44">
        <f>EDATE(s_start,15)</f>
        <v>46478</v>
      </c>
      <c r="T5" s="44">
        <f>EDATE(s_start,16)</f>
        <v>46508</v>
      </c>
      <c r="U5" s="44">
        <f>EDATE(s_start,17)</f>
        <v>46539</v>
      </c>
      <c r="V5" s="44">
        <f>EDATE(s_start,18)</f>
        <v>46569</v>
      </c>
      <c r="W5" s="44">
        <f>EDATE(s_start,19)</f>
        <v>46600</v>
      </c>
      <c r="X5" s="44">
        <f>EDATE(s_start,20)</f>
        <v>46631</v>
      </c>
      <c r="Y5" s="44">
        <f>EDATE(s_start,21)</f>
        <v>46661</v>
      </c>
      <c r="Z5" s="44">
        <f>EDATE(s_start,22)</f>
        <v>46692</v>
      </c>
      <c r="AA5" s="44">
        <f>EDATE(s_start,23)</f>
        <v>46722</v>
      </c>
    </row>
    <row r="6">
      <c r="B6" s="45" t="inlineStr">
        <is>
          <t>Maandindex</t>
        </is>
      </c>
      <c r="D6" s="25" t="n">
        <v>1</v>
      </c>
      <c r="E6" s="25" t="n">
        <v>2</v>
      </c>
      <c r="F6" s="25" t="n">
        <v>3</v>
      </c>
      <c r="G6" s="25" t="n">
        <v>4</v>
      </c>
      <c r="H6" s="25" t="n">
        <v>5</v>
      </c>
      <c r="I6" s="25" t="n">
        <v>6</v>
      </c>
      <c r="J6" s="25" t="n">
        <v>7</v>
      </c>
      <c r="K6" s="25" t="n">
        <v>8</v>
      </c>
      <c r="L6" s="25" t="n">
        <v>9</v>
      </c>
      <c r="M6" s="25" t="n">
        <v>10</v>
      </c>
      <c r="N6" s="25" t="n">
        <v>11</v>
      </c>
      <c r="O6" s="25" t="n">
        <v>12</v>
      </c>
      <c r="P6" s="25" t="n">
        <v>13</v>
      </c>
      <c r="Q6" s="25" t="n">
        <v>14</v>
      </c>
      <c r="R6" s="25" t="n">
        <v>15</v>
      </c>
      <c r="S6" s="25" t="n">
        <v>16</v>
      </c>
      <c r="T6" s="25" t="n">
        <v>17</v>
      </c>
      <c r="U6" s="25" t="n">
        <v>18</v>
      </c>
      <c r="V6" s="25" t="n">
        <v>19</v>
      </c>
      <c r="W6" s="25" t="n">
        <v>20</v>
      </c>
      <c r="X6" s="25" t="n">
        <v>21</v>
      </c>
      <c r="Y6" s="25" t="n">
        <v>22</v>
      </c>
      <c r="Z6" s="25" t="n">
        <v>23</v>
      </c>
      <c r="AA6" s="25" t="n">
        <v>24</v>
      </c>
    </row>
    <row r="8" ht="18" customHeight="1">
      <c r="B8" s="16" t="inlineStr">
        <is>
          <t>SCENARIO: Base</t>
        </is>
      </c>
    </row>
    <row r="9">
      <c r="B9" s="17" t="inlineStr">
        <is>
          <t>Omzet (excl. BTW)</t>
        </is>
      </c>
      <c r="D9" s="50">
        <f>'04 Input prognose'!D$8*s_omzet_jaar*(1+'02 Instellingen'!$D$21)</f>
        <v>350000.00000000006</v>
      </c>
      <c r="E9" s="50">
        <f>'04 Input prognose'!E$8*s_omzet_jaar*(1+'02 Instellingen'!$D$21)</f>
        <v>350000.00000000006</v>
      </c>
      <c r="F9" s="50">
        <f>'04 Input prognose'!F$8*s_omzet_jaar*(1+'02 Instellingen'!$D$21)</f>
        <v>425000.00000000006</v>
      </c>
      <c r="G9" s="50">
        <f>'04 Input prognose'!G$8*s_omzet_jaar*(1+'02 Instellingen'!$D$21)</f>
        <v>425000.00000000006</v>
      </c>
      <c r="H9" s="50">
        <f>'04 Input prognose'!H$8*s_omzet_jaar*(1+'02 Instellingen'!$D$21)</f>
        <v>450000.0</v>
      </c>
      <c r="I9" s="50">
        <f>'04 Input prognose'!I$8*s_omzet_jaar*(1+'02 Instellingen'!$D$21)</f>
        <v>425000.00000000006</v>
      </c>
      <c r="J9" s="50">
        <f>'04 Input prognose'!J$8*s_omzet_jaar*(1+'02 Instellingen'!$D$21)</f>
        <v>350000.00000000006</v>
      </c>
      <c r="K9" s="50">
        <f>'04 Input prognose'!K$8*s_omzet_jaar*(1+'02 Instellingen'!$D$21)</f>
        <v>300000.0</v>
      </c>
      <c r="L9" s="50">
        <f>'04 Input prognose'!L$8*s_omzet_jaar*(1+'02 Instellingen'!$D$21)</f>
        <v>450000.0</v>
      </c>
      <c r="M9" s="50">
        <f>'04 Input prognose'!M$8*s_omzet_jaar*(1+'02 Instellingen'!$D$21)</f>
        <v>500000.0</v>
      </c>
      <c r="N9" s="50">
        <f>'04 Input prognose'!N$8*s_omzet_jaar*(1+'02 Instellingen'!$D$21)</f>
        <v>525000.0</v>
      </c>
      <c r="O9" s="50">
        <f>'04 Input prognose'!O$8*s_omzet_jaar*(1+'02 Instellingen'!$D$21)</f>
        <v>450000.0</v>
      </c>
      <c r="P9" s="50">
        <f>'04 Input prognose'!P$8*s_omzet_jaar*(1+'02 Instellingen'!$D$21)</f>
        <v>350000.00000000006</v>
      </c>
      <c r="Q9" s="50">
        <f>'04 Input prognose'!Q$8*s_omzet_jaar*(1+'02 Instellingen'!$D$21)</f>
        <v>350000.00000000006</v>
      </c>
      <c r="R9" s="50">
        <f>'04 Input prognose'!R$8*s_omzet_jaar*(1+'02 Instellingen'!$D$21)</f>
        <v>425000.00000000006</v>
      </c>
      <c r="S9" s="50">
        <f>'04 Input prognose'!S$8*s_omzet_jaar*(1+'02 Instellingen'!$D$21)</f>
        <v>425000.00000000006</v>
      </c>
      <c r="T9" s="50">
        <f>'04 Input prognose'!T$8*s_omzet_jaar*(1+'02 Instellingen'!$D$21)</f>
        <v>450000.0</v>
      </c>
      <c r="U9" s="50">
        <f>'04 Input prognose'!U$8*s_omzet_jaar*(1+'02 Instellingen'!$D$21)</f>
        <v>425000.00000000006</v>
      </c>
      <c r="V9" s="50">
        <f>'04 Input prognose'!V$8*s_omzet_jaar*(1+'02 Instellingen'!$D$21)</f>
        <v>350000.00000000006</v>
      </c>
      <c r="W9" s="50">
        <f>'04 Input prognose'!W$8*s_omzet_jaar*(1+'02 Instellingen'!$D$21)</f>
        <v>300000.0</v>
      </c>
      <c r="X9" s="50">
        <f>'04 Input prognose'!X$8*s_omzet_jaar*(1+'02 Instellingen'!$D$21)</f>
        <v>450000.0</v>
      </c>
      <c r="Y9" s="50">
        <f>'04 Input prognose'!Y$8*s_omzet_jaar*(1+'02 Instellingen'!$D$21)</f>
        <v>500000.0</v>
      </c>
      <c r="Z9" s="50">
        <f>'04 Input prognose'!Z$8*s_omzet_jaar*(1+'02 Instellingen'!$D$21)</f>
        <v>525000.0</v>
      </c>
      <c r="AA9" s="50">
        <f>'04 Input prognose'!AA$8*s_omzet_jaar*(1+'02 Instellingen'!$D$21)</f>
        <v>450000.0</v>
      </c>
    </row>
    <row r="10">
      <c r="B10" s="17" t="inlineStr">
        <is>
          <t>Inkoopwaarde omzet</t>
        </is>
      </c>
      <c r="D10" s="50">
        <f>D9*(1-(s_margin+'02 Instellingen'!$D$22))</f>
        <v>252000.00000000003</v>
      </c>
      <c r="E10" s="50">
        <f>E9*(1-(s_margin+'02 Instellingen'!$D$22))</f>
        <v>252000.00000000003</v>
      </c>
      <c r="F10" s="50">
        <f>F9*(1-(s_margin+'02 Instellingen'!$D$22))</f>
        <v>306000.00000000006</v>
      </c>
      <c r="G10" s="50">
        <f>G9*(1-(s_margin+'02 Instellingen'!$D$22))</f>
        <v>306000.00000000006</v>
      </c>
      <c r="H10" s="50">
        <f>H9*(1-(s_margin+'02 Instellingen'!$D$22))</f>
        <v>324000.0</v>
      </c>
      <c r="I10" s="50">
        <f>I9*(1-(s_margin+'02 Instellingen'!$D$22))</f>
        <v>306000.00000000006</v>
      </c>
      <c r="J10" s="50">
        <f>J9*(1-(s_margin+'02 Instellingen'!$D$22))</f>
        <v>252000.00000000003</v>
      </c>
      <c r="K10" s="50">
        <f>K9*(1-(s_margin+'02 Instellingen'!$D$22))</f>
        <v>216000.0</v>
      </c>
      <c r="L10" s="50">
        <f>L9*(1-(s_margin+'02 Instellingen'!$D$22))</f>
        <v>324000.0</v>
      </c>
      <c r="M10" s="50">
        <f>M9*(1-(s_margin+'02 Instellingen'!$D$22))</f>
        <v>360000.0</v>
      </c>
      <c r="N10" s="50">
        <f>N9*(1-(s_margin+'02 Instellingen'!$D$22))</f>
        <v>378000.0</v>
      </c>
      <c r="O10" s="50">
        <f>O9*(1-(s_margin+'02 Instellingen'!$D$22))</f>
        <v>324000.0</v>
      </c>
      <c r="P10" s="50">
        <f>P9*(1-(s_margin+'02 Instellingen'!$D$22))</f>
        <v>252000.00000000003</v>
      </c>
      <c r="Q10" s="50">
        <f>Q9*(1-(s_margin+'02 Instellingen'!$D$22))</f>
        <v>252000.00000000003</v>
      </c>
      <c r="R10" s="50">
        <f>R9*(1-(s_margin+'02 Instellingen'!$D$22))</f>
        <v>306000.00000000006</v>
      </c>
      <c r="S10" s="50">
        <f>S9*(1-(s_margin+'02 Instellingen'!$D$22))</f>
        <v>306000.00000000006</v>
      </c>
      <c r="T10" s="50">
        <f>T9*(1-(s_margin+'02 Instellingen'!$D$22))</f>
        <v>324000.0</v>
      </c>
      <c r="U10" s="50">
        <f>U9*(1-(s_margin+'02 Instellingen'!$D$22))</f>
        <v>306000.00000000006</v>
      </c>
      <c r="V10" s="50">
        <f>V9*(1-(s_margin+'02 Instellingen'!$D$22))</f>
        <v>252000.00000000003</v>
      </c>
      <c r="W10" s="50">
        <f>W9*(1-(s_margin+'02 Instellingen'!$D$22))</f>
        <v>216000.0</v>
      </c>
      <c r="X10" s="50">
        <f>X9*(1-(s_margin+'02 Instellingen'!$D$22))</f>
        <v>324000.0</v>
      </c>
      <c r="Y10" s="50">
        <f>Y9*(1-(s_margin+'02 Instellingen'!$D$22))</f>
        <v>360000.0</v>
      </c>
      <c r="Z10" s="50">
        <f>Z9*(1-(s_margin+'02 Instellingen'!$D$22))</f>
        <v>378000.0</v>
      </c>
      <c r="AA10" s="50">
        <f>AA9*(1-(s_margin+'02 Instellingen'!$D$22))</f>
        <v>324000.0</v>
      </c>
    </row>
    <row r="11">
      <c r="B11" s="17" t="inlineStr">
        <is>
          <t>Voorraad (DIO)</t>
        </is>
      </c>
      <c r="D11" s="50">
        <f>'02 Instellingen'!$D$25/s_dpm*D10</f>
        <v>455921.05263157905</v>
      </c>
      <c r="E11" s="50">
        <f>'02 Instellingen'!$D$25/s_dpm*E10</f>
        <v>455921.05263157905</v>
      </c>
      <c r="F11" s="50">
        <f>'02 Instellingen'!$D$25/s_dpm*F10</f>
        <v>553618.4210526317</v>
      </c>
      <c r="G11" s="50">
        <f>'02 Instellingen'!$D$25/s_dpm*G10</f>
        <v>553618.4210526317</v>
      </c>
      <c r="H11" s="50">
        <f>'02 Instellingen'!$D$25/s_dpm*H10</f>
        <v>586184.2105263158</v>
      </c>
      <c r="I11" s="50">
        <f>'02 Instellingen'!$D$25/s_dpm*I10</f>
        <v>553618.4210526317</v>
      </c>
      <c r="J11" s="50">
        <f>'02 Instellingen'!$D$25/s_dpm*J10</f>
        <v>455921.05263157905</v>
      </c>
      <c r="K11" s="50">
        <f>'02 Instellingen'!$D$25/s_dpm*K10</f>
        <v>390789.47368421056</v>
      </c>
      <c r="L11" s="50">
        <f>'02 Instellingen'!$D$25/s_dpm*L10</f>
        <v>586184.2105263158</v>
      </c>
      <c r="M11" s="50">
        <f>'02 Instellingen'!$D$25/s_dpm*M10</f>
        <v>651315.7894736843</v>
      </c>
      <c r="N11" s="50">
        <f>'02 Instellingen'!$D$25/s_dpm*N10</f>
        <v>683881.5789473684</v>
      </c>
      <c r="O11" s="50">
        <f>'02 Instellingen'!$D$25/s_dpm*O10</f>
        <v>586184.2105263158</v>
      </c>
      <c r="P11" s="50">
        <f>'02 Instellingen'!$D$25/s_dpm*P10</f>
        <v>455921.05263157905</v>
      </c>
      <c r="Q11" s="50">
        <f>'02 Instellingen'!$D$25/s_dpm*Q10</f>
        <v>455921.05263157905</v>
      </c>
      <c r="R11" s="50">
        <f>'02 Instellingen'!$D$25/s_dpm*R10</f>
        <v>553618.4210526317</v>
      </c>
      <c r="S11" s="50">
        <f>'02 Instellingen'!$D$25/s_dpm*S10</f>
        <v>553618.4210526317</v>
      </c>
      <c r="T11" s="50">
        <f>'02 Instellingen'!$D$25/s_dpm*T10</f>
        <v>586184.2105263158</v>
      </c>
      <c r="U11" s="50">
        <f>'02 Instellingen'!$D$25/s_dpm*U10</f>
        <v>553618.4210526317</v>
      </c>
      <c r="V11" s="50">
        <f>'02 Instellingen'!$D$25/s_dpm*V10</f>
        <v>455921.05263157905</v>
      </c>
      <c r="W11" s="50">
        <f>'02 Instellingen'!$D$25/s_dpm*W10</f>
        <v>390789.47368421056</v>
      </c>
      <c r="X11" s="50">
        <f>'02 Instellingen'!$D$25/s_dpm*X10</f>
        <v>586184.2105263158</v>
      </c>
      <c r="Y11" s="50">
        <f>'02 Instellingen'!$D$25/s_dpm*Y10</f>
        <v>651315.7894736843</v>
      </c>
      <c r="Z11" s="50">
        <f>'02 Instellingen'!$D$25/s_dpm*Z10</f>
        <v>683881.5789473684</v>
      </c>
      <c r="AA11" s="50">
        <f>'02 Instellingen'!$D$25/s_dpm*AA10</f>
        <v>586184.2105263158</v>
      </c>
    </row>
    <row r="12">
      <c r="B12" s="17" t="inlineStr">
        <is>
          <t>Inkopen incl. BTW</t>
        </is>
      </c>
      <c r="D12" s="50">
        <f>(D10+D11-h_voorraad)*(1+v_btw)</f>
        <v>-50915.52631578928</v>
      </c>
      <c r="E12" s="50">
        <f>(E10+E11-D11)*(1+v_btw)</f>
        <v>304920.00000000006</v>
      </c>
      <c r="F12" s="50">
        <f>(F10+F11-E11)*(1+v_btw)</f>
        <v>488473.8157894737</v>
      </c>
      <c r="G12" s="50">
        <f>(G10+G11-F11)*(1+v_btw)</f>
        <v>370260.0</v>
      </c>
      <c r="H12" s="50">
        <f>(H10+H11-G11)*(1+v_btw)</f>
        <v>431444.6052631578</v>
      </c>
      <c r="I12" s="50">
        <f>(I10+I11-H11)*(1+v_btw)</f>
        <v>330855.39473684214</v>
      </c>
      <c r="J12" s="50">
        <f>(J10+J11-I11)*(1+v_btw)</f>
        <v>186706.18421052638</v>
      </c>
      <c r="K12" s="50">
        <f>(K10+K11-J11)*(1+v_btw)</f>
        <v>182550.78947368413</v>
      </c>
      <c r="L12" s="50">
        <f>(L10+L11-K11)*(1+v_btw)</f>
        <v>628467.6315789474</v>
      </c>
      <c r="M12" s="50">
        <f>(M10+M11-L11)*(1+v_btw)</f>
        <v>514409.2105263158</v>
      </c>
      <c r="N12" s="50">
        <f>(N10+N11-M11)*(1+v_btw)</f>
        <v>496784.605263158</v>
      </c>
      <c r="O12" s="50">
        <f>(O10+O11-N11)*(1+v_btw)</f>
        <v>273826.18421052635</v>
      </c>
      <c r="P12" s="50">
        <f>(P10+P11-O11)*(1+v_btw)</f>
        <v>147301.57894736854</v>
      </c>
      <c r="Q12" s="50">
        <f>(Q10+Q11-P11)*(1+v_btw)</f>
        <v>304920.00000000006</v>
      </c>
      <c r="R12" s="50">
        <f>(R10+R11-Q11)*(1+v_btw)</f>
        <v>488473.8157894737</v>
      </c>
      <c r="S12" s="50">
        <f>(S10+S11-R11)*(1+v_btw)</f>
        <v>370260.0</v>
      </c>
      <c r="T12" s="50">
        <f>(T10+T11-S11)*(1+v_btw)</f>
        <v>431444.6052631578</v>
      </c>
      <c r="U12" s="50">
        <f>(U10+U11-T11)*(1+v_btw)</f>
        <v>330855.39473684214</v>
      </c>
      <c r="V12" s="50">
        <f>(V10+V11-U11)*(1+v_btw)</f>
        <v>186706.18421052638</v>
      </c>
      <c r="W12" s="50">
        <f>(W10+W11-V11)*(1+v_btw)</f>
        <v>182550.78947368413</v>
      </c>
      <c r="X12" s="50">
        <f>(X10+X11-W11)*(1+v_btw)</f>
        <v>628467.6315789474</v>
      </c>
      <c r="Y12" s="50">
        <f>(Y10+Y11-X11)*(1+v_btw)</f>
        <v>514409.2105263158</v>
      </c>
      <c r="Z12" s="50">
        <f>(Z10+Z11-Y11)*(1+v_btw)</f>
        <v>496784.605263158</v>
      </c>
      <c r="AA12" s="50">
        <f>(AA10+AA11-Z11)*(1+v_btw)</f>
        <v>273826.18421052635</v>
      </c>
    </row>
    <row r="13">
      <c r="B13" s="17" t="inlineStr">
        <is>
          <t>Omzet incl. BTW</t>
        </is>
      </c>
      <c r="D13" s="50">
        <f>D9*(1+v_btw)</f>
        <v>423500.00000000006</v>
      </c>
      <c r="E13" s="50">
        <f>E9*(1+v_btw)</f>
        <v>423500.00000000006</v>
      </c>
      <c r="F13" s="50">
        <f>F9*(1+v_btw)</f>
        <v>514250.00000000006</v>
      </c>
      <c r="G13" s="50">
        <f>G9*(1+v_btw)</f>
        <v>514250.00000000006</v>
      </c>
      <c r="H13" s="50">
        <f>H9*(1+v_btw)</f>
        <v>544500.0</v>
      </c>
      <c r="I13" s="50">
        <f>I9*(1+v_btw)</f>
        <v>514250.00000000006</v>
      </c>
      <c r="J13" s="50">
        <f>J9*(1+v_btw)</f>
        <v>423500.00000000006</v>
      </c>
      <c r="K13" s="50">
        <f>K9*(1+v_btw)</f>
        <v>363000.0</v>
      </c>
      <c r="L13" s="50">
        <f>L9*(1+v_btw)</f>
        <v>544500.0</v>
      </c>
      <c r="M13" s="50">
        <f>M9*(1+v_btw)</f>
        <v>605000.0</v>
      </c>
      <c r="N13" s="50">
        <f>N9*(1+v_btw)</f>
        <v>635250.0</v>
      </c>
      <c r="O13" s="50">
        <f>O9*(1+v_btw)</f>
        <v>544500.0</v>
      </c>
      <c r="P13" s="50">
        <f>P9*(1+v_btw)</f>
        <v>423500.00000000006</v>
      </c>
      <c r="Q13" s="50">
        <f>Q9*(1+v_btw)</f>
        <v>423500.00000000006</v>
      </c>
      <c r="R13" s="50">
        <f>R9*(1+v_btw)</f>
        <v>514250.00000000006</v>
      </c>
      <c r="S13" s="50">
        <f>S9*(1+v_btw)</f>
        <v>514250.00000000006</v>
      </c>
      <c r="T13" s="50">
        <f>T9*(1+v_btw)</f>
        <v>544500.0</v>
      </c>
      <c r="U13" s="50">
        <f>U9*(1+v_btw)</f>
        <v>514250.00000000006</v>
      </c>
      <c r="V13" s="50">
        <f>V9*(1+v_btw)</f>
        <v>423500.00000000006</v>
      </c>
      <c r="W13" s="50">
        <f>W9*(1+v_btw)</f>
        <v>363000.0</v>
      </c>
      <c r="X13" s="50">
        <f>X9*(1+v_btw)</f>
        <v>544500.0</v>
      </c>
      <c r="Y13" s="50">
        <f>Y9*(1+v_btw)</f>
        <v>605000.0</v>
      </c>
      <c r="Z13" s="50">
        <f>Z9*(1+v_btw)</f>
        <v>635250.0</v>
      </c>
      <c r="AA13" s="50">
        <f>AA9*(1+v_btw)</f>
        <v>544500.0</v>
      </c>
    </row>
    <row r="14">
      <c r="B14" s="17" t="inlineStr">
        <is>
          <t>Debiteuren (DSO)</t>
        </is>
      </c>
      <c r="D14" s="50">
        <f>'02 Instellingen'!$D$23/s_dpm*D13</f>
        <v>626891.4473684211</v>
      </c>
      <c r="E14" s="50">
        <f>'02 Instellingen'!$D$23/s_dpm*E13</f>
        <v>626891.4473684211</v>
      </c>
      <c r="F14" s="50">
        <f>'02 Instellingen'!$D$23/s_dpm*F13</f>
        <v>761225.3289473685</v>
      </c>
      <c r="G14" s="50">
        <f>'02 Instellingen'!$D$23/s_dpm*G13</f>
        <v>761225.3289473685</v>
      </c>
      <c r="H14" s="50">
        <f>'02 Instellingen'!$D$23/s_dpm*H13</f>
        <v>806003.2894736843</v>
      </c>
      <c r="I14" s="50">
        <f>'02 Instellingen'!$D$23/s_dpm*I13</f>
        <v>761225.3289473685</v>
      </c>
      <c r="J14" s="50">
        <f>'02 Instellingen'!$D$23/s_dpm*J13</f>
        <v>626891.4473684211</v>
      </c>
      <c r="K14" s="50">
        <f>'02 Instellingen'!$D$23/s_dpm*K13</f>
        <v>537335.5263157896</v>
      </c>
      <c r="L14" s="50">
        <f>'02 Instellingen'!$D$23/s_dpm*L13</f>
        <v>806003.2894736843</v>
      </c>
      <c r="M14" s="50">
        <f>'02 Instellingen'!$D$23/s_dpm*M13</f>
        <v>895559.2105263158</v>
      </c>
      <c r="N14" s="50">
        <f>'02 Instellingen'!$D$23/s_dpm*N13</f>
        <v>940337.1710526317</v>
      </c>
      <c r="O14" s="50">
        <f>'02 Instellingen'!$D$23/s_dpm*O13</f>
        <v>806003.2894736843</v>
      </c>
      <c r="P14" s="50">
        <f>'02 Instellingen'!$D$23/s_dpm*P13</f>
        <v>626891.4473684211</v>
      </c>
      <c r="Q14" s="50">
        <f>'02 Instellingen'!$D$23/s_dpm*Q13</f>
        <v>626891.4473684211</v>
      </c>
      <c r="R14" s="50">
        <f>'02 Instellingen'!$D$23/s_dpm*R13</f>
        <v>761225.3289473685</v>
      </c>
      <c r="S14" s="50">
        <f>'02 Instellingen'!$D$23/s_dpm*S13</f>
        <v>761225.3289473685</v>
      </c>
      <c r="T14" s="50">
        <f>'02 Instellingen'!$D$23/s_dpm*T13</f>
        <v>806003.2894736843</v>
      </c>
      <c r="U14" s="50">
        <f>'02 Instellingen'!$D$23/s_dpm*U13</f>
        <v>761225.3289473685</v>
      </c>
      <c r="V14" s="50">
        <f>'02 Instellingen'!$D$23/s_dpm*V13</f>
        <v>626891.4473684211</v>
      </c>
      <c r="W14" s="50">
        <f>'02 Instellingen'!$D$23/s_dpm*W13</f>
        <v>537335.5263157896</v>
      </c>
      <c r="X14" s="50">
        <f>'02 Instellingen'!$D$23/s_dpm*X13</f>
        <v>806003.2894736843</v>
      </c>
      <c r="Y14" s="50">
        <f>'02 Instellingen'!$D$23/s_dpm*Y13</f>
        <v>895559.2105263158</v>
      </c>
      <c r="Z14" s="50">
        <f>'02 Instellingen'!$D$23/s_dpm*Z13</f>
        <v>940337.1710526317</v>
      </c>
      <c r="AA14" s="50">
        <f>'02 Instellingen'!$D$23/s_dpm*AA13</f>
        <v>806003.2894736843</v>
      </c>
    </row>
    <row r="15">
      <c r="B15" s="17" t="inlineStr">
        <is>
          <t>Crediteuren (DPO)</t>
        </is>
      </c>
      <c r="D15" s="50">
        <f>'02 Instellingen'!$D$24/s_dpm*D12</f>
        <v>-66994.11357340695</v>
      </c>
      <c r="E15" s="50">
        <f>'02 Instellingen'!$D$24/s_dpm*E12</f>
        <v>401210.52631578955</v>
      </c>
      <c r="F15" s="50">
        <f>'02 Instellingen'!$D$24/s_dpm*F12</f>
        <v>642728.7049861497</v>
      </c>
      <c r="G15" s="50">
        <f>'02 Instellingen'!$D$24/s_dpm*G12</f>
        <v>487184.21052631584</v>
      </c>
      <c r="H15" s="50">
        <f>'02 Instellingen'!$D$24/s_dpm*H12</f>
        <v>567690.2700831024</v>
      </c>
      <c r="I15" s="50">
        <f>'02 Instellingen'!$D$24/s_dpm*I12</f>
        <v>435336.04570637125</v>
      </c>
      <c r="J15" s="50">
        <f>'02 Instellingen'!$D$24/s_dpm*J12</f>
        <v>245666.03185595578</v>
      </c>
      <c r="K15" s="50">
        <f>'02 Instellingen'!$D$24/s_dpm*K12</f>
        <v>240198.40720221598</v>
      </c>
      <c r="L15" s="50">
        <f>'02 Instellingen'!$D$24/s_dpm*L12</f>
        <v>826931.0941828256</v>
      </c>
      <c r="M15" s="50">
        <f>'02 Instellingen'!$D$24/s_dpm*M12</f>
        <v>676854.2243767313</v>
      </c>
      <c r="N15" s="50">
        <f>'02 Instellingen'!$D$24/s_dpm*N12</f>
        <v>653663.9542936289</v>
      </c>
      <c r="O15" s="50">
        <f>'02 Instellingen'!$D$24/s_dpm*O12</f>
        <v>360297.61080332415</v>
      </c>
      <c r="P15" s="50">
        <f>'02 Instellingen'!$D$24/s_dpm*P12</f>
        <v>193817.86703601124</v>
      </c>
      <c r="Q15" s="50">
        <f>'02 Instellingen'!$D$24/s_dpm*Q12</f>
        <v>401210.52631578955</v>
      </c>
      <c r="R15" s="50">
        <f>'02 Instellingen'!$D$24/s_dpm*R12</f>
        <v>642728.7049861497</v>
      </c>
      <c r="S15" s="50">
        <f>'02 Instellingen'!$D$24/s_dpm*S12</f>
        <v>487184.21052631584</v>
      </c>
      <c r="T15" s="50">
        <f>'02 Instellingen'!$D$24/s_dpm*T12</f>
        <v>567690.2700831024</v>
      </c>
      <c r="U15" s="50">
        <f>'02 Instellingen'!$D$24/s_dpm*U12</f>
        <v>435336.04570637125</v>
      </c>
      <c r="V15" s="50">
        <f>'02 Instellingen'!$D$24/s_dpm*V12</f>
        <v>245666.03185595578</v>
      </c>
      <c r="W15" s="50">
        <f>'02 Instellingen'!$D$24/s_dpm*W12</f>
        <v>240198.40720221598</v>
      </c>
      <c r="X15" s="50">
        <f>'02 Instellingen'!$D$24/s_dpm*X12</f>
        <v>826931.0941828256</v>
      </c>
      <c r="Y15" s="50">
        <f>'02 Instellingen'!$D$24/s_dpm*Y12</f>
        <v>676854.2243767313</v>
      </c>
      <c r="Z15" s="50">
        <f>'02 Instellingen'!$D$24/s_dpm*Z12</f>
        <v>653663.9542936289</v>
      </c>
      <c r="AA15" s="50">
        <f>'02 Instellingen'!$D$24/s_dpm*AA12</f>
        <v>360297.61080332415</v>
      </c>
    </row>
    <row r="16">
      <c r="B16" s="17" t="inlineStr">
        <is>
          <t>Ontvangsten klanten</t>
        </is>
      </c>
      <c r="D16" s="50">
        <f>h_debiteuren+D13-D14</f>
        <v>396608.5526315789</v>
      </c>
      <c r="E16" s="50">
        <f>D14+E13-E14</f>
        <v>423500.0</v>
      </c>
      <c r="F16" s="50">
        <f>E14+F13-F14</f>
        <v>379916.1184210526</v>
      </c>
      <c r="G16" s="50">
        <f>F14+G13-G14</f>
        <v>514250.0</v>
      </c>
      <c r="H16" s="50">
        <f>G14+H13-H14</f>
        <v>499722.0394736843</v>
      </c>
      <c r="I16" s="50">
        <f>H14+I13-I14</f>
        <v>559027.9605263157</v>
      </c>
      <c r="J16" s="50">
        <f>I14+J13-J14</f>
        <v>557833.8815789474</v>
      </c>
      <c r="K16" s="50">
        <f>J14+K13-K14</f>
        <v>452555.9210526316</v>
      </c>
      <c r="L16" s="50">
        <f>K14+L13-L14</f>
        <v>275832.2368421054</v>
      </c>
      <c r="M16" s="50">
        <f>L14+M13-M14</f>
        <v>515444.0789473684</v>
      </c>
      <c r="N16" s="50">
        <f>M14+N13-N14</f>
        <v>590472.0394736843</v>
      </c>
      <c r="O16" s="50">
        <f>N14+O13-O14</f>
        <v>678833.8815789474</v>
      </c>
      <c r="P16" s="50">
        <f>O14+P13-P14</f>
        <v>602611.8421052631</v>
      </c>
      <c r="Q16" s="50">
        <f>P14+Q13-Q14</f>
        <v>423500.0</v>
      </c>
      <c r="R16" s="50">
        <f>Q14+R13-R14</f>
        <v>379916.1184210526</v>
      </c>
      <c r="S16" s="50">
        <f>R14+S13-S14</f>
        <v>514250.0</v>
      </c>
      <c r="T16" s="50">
        <f>S14+T13-T14</f>
        <v>499722.0394736843</v>
      </c>
      <c r="U16" s="50">
        <f>T14+U13-U14</f>
        <v>559027.9605263157</v>
      </c>
      <c r="V16" s="50">
        <f>U14+V13-V14</f>
        <v>557833.8815789474</v>
      </c>
      <c r="W16" s="50">
        <f>V14+W13-W14</f>
        <v>452555.9210526316</v>
      </c>
      <c r="X16" s="50">
        <f>W14+X13-X14</f>
        <v>275832.2368421054</v>
      </c>
      <c r="Y16" s="50">
        <f>X14+Y13-Y14</f>
        <v>515444.0789473684</v>
      </c>
      <c r="Z16" s="50">
        <f>Y14+Z13-Z14</f>
        <v>590472.0394736843</v>
      </c>
      <c r="AA16" s="50">
        <f>Z14+AA13-AA14</f>
        <v>678833.8815789474</v>
      </c>
    </row>
    <row r="17">
      <c r="B17" s="17" t="inlineStr">
        <is>
          <t>Betalingen leveranciers</t>
        </is>
      </c>
      <c r="D17" s="50">
        <f>h_crediteuren+D12-D15</f>
        <v>516078.5872576177</v>
      </c>
      <c r="E17" s="50">
        <f>D15+E12-E15</f>
        <v>-163284.63988919643</v>
      </c>
      <c r="F17" s="50">
        <f>E15+F12-F15</f>
        <v>246955.63711911358</v>
      </c>
      <c r="G17" s="50">
        <f>F15+G12-G15</f>
        <v>525804.4944598338</v>
      </c>
      <c r="H17" s="50">
        <f>G15+H12-H15</f>
        <v>350938.5457063713</v>
      </c>
      <c r="I17" s="50">
        <f>H15+I12-I15</f>
        <v>463209.6191135733</v>
      </c>
      <c r="J17" s="50">
        <f>I15+J12-J15</f>
        <v>376376.1980609418</v>
      </c>
      <c r="K17" s="50">
        <f>J15+K12-K15</f>
        <v>188018.4141274239</v>
      </c>
      <c r="L17" s="50">
        <f>K15+L12-L15</f>
        <v>41734.94459833775</v>
      </c>
      <c r="M17" s="50">
        <f>L15+M12-M15</f>
        <v>664486.08033241</v>
      </c>
      <c r="N17" s="50">
        <f>M15+N12-N15</f>
        <v>519974.8753462604</v>
      </c>
      <c r="O17" s="50">
        <f>N15+O12-O15</f>
        <v>567192.5277008311</v>
      </c>
      <c r="P17" s="50">
        <f>O15+P12-P15</f>
        <v>313781.32271468145</v>
      </c>
      <c r="Q17" s="50">
        <f>P15+Q12-Q15</f>
        <v>97527.34072022175</v>
      </c>
      <c r="R17" s="50">
        <f>Q15+R12-R15</f>
        <v>246955.63711911358</v>
      </c>
      <c r="S17" s="50">
        <f>R15+S12-S15</f>
        <v>525804.4944598338</v>
      </c>
      <c r="T17" s="50">
        <f>S15+T12-T15</f>
        <v>350938.5457063713</v>
      </c>
      <c r="U17" s="50">
        <f>T15+U12-U15</f>
        <v>463209.6191135733</v>
      </c>
      <c r="V17" s="50">
        <f>U15+V12-V15</f>
        <v>376376.1980609418</v>
      </c>
      <c r="W17" s="50">
        <f>V15+W12-W15</f>
        <v>188018.4141274239</v>
      </c>
      <c r="X17" s="50">
        <f>W15+X12-X15</f>
        <v>41734.94459833775</v>
      </c>
      <c r="Y17" s="50">
        <f>X15+Y12-Y15</f>
        <v>664486.08033241</v>
      </c>
      <c r="Z17" s="50">
        <f>Y15+Z12-Z15</f>
        <v>519974.8753462604</v>
      </c>
      <c r="AA17" s="50">
        <f>Z15+AA12-AA15</f>
        <v>567192.5277008311</v>
      </c>
    </row>
    <row r="18">
      <c r="B18" s="64" t="inlineStr">
        <is>
          <t>Overige kasstroom (uit actief model)</t>
        </is>
      </c>
      <c r="D18" s="55">
        <f>'12 Liquiditeitsprognose'!D30</f>
        <v>-103999.99999999994</v>
      </c>
      <c r="E18" s="55">
        <f>'12 Liquiditeitsprognose'!E30</f>
        <v>-103950.0</v>
      </c>
      <c r="F18" s="55">
        <f>'12 Liquiditeitsprognose'!F30</f>
        <v>-114150.0</v>
      </c>
      <c r="G18" s="55">
        <f>'12 Liquiditeitsprognose'!G30</f>
        <v>-237668.63157894742</v>
      </c>
      <c r="H18" s="55">
        <f>'12 Liquiditeitsprognose'!H30</f>
        <v>-145200.0</v>
      </c>
      <c r="I18" s="55">
        <f>'12 Liquiditeitsprognose'!I30</f>
        <v>-150000.00000000006</v>
      </c>
      <c r="J18" s="55">
        <f>'12 Liquiditeitsprognose'!J30</f>
        <v>-148766.0</v>
      </c>
      <c r="K18" s="55">
        <f>'12 Liquiditeitsprognose'!K30</f>
        <v>-102150.0</v>
      </c>
      <c r="L18" s="55">
        <f>'12 Liquiditeitsprognose'!L30</f>
        <v>-194600.0</v>
      </c>
      <c r="M18" s="55">
        <f>'12 Liquiditeitsprognose'!M30</f>
        <v>-128427.18421052629</v>
      </c>
      <c r="N18" s="55">
        <f>'12 Liquiditeitsprognose'!N30</f>
        <v>-108750.0</v>
      </c>
      <c r="O18" s="55">
        <f>'12 Liquiditeitsprognose'!O30</f>
        <v>-114450.0</v>
      </c>
      <c r="P18" s="55">
        <f>'12 Liquiditeitsprognose'!P30</f>
        <v>-167103.5</v>
      </c>
      <c r="Q18" s="55">
        <f>'12 Liquiditeitsprognose'!Q30</f>
        <v>-163350.0</v>
      </c>
      <c r="R18" s="55">
        <f>'12 Liquiditeitsprognose'!R30</f>
        <v>-113550.0</v>
      </c>
      <c r="S18" s="55">
        <f>'12 Liquiditeitsprognose'!S30</f>
        <v>-145067.3157894737</v>
      </c>
      <c r="T18" s="55">
        <f>'12 Liquiditeitsprognose'!T30</f>
        <v>-144600.0</v>
      </c>
      <c r="U18" s="55">
        <f>'12 Liquiditeitsprognose'!U30</f>
        <v>-149400.00000000006</v>
      </c>
      <c r="V18" s="55">
        <f>'12 Liquiditeitsprognose'!V30</f>
        <v>-157616.0</v>
      </c>
      <c r="W18" s="55">
        <f>'12 Liquiditeitsprognose'!W30</f>
        <v>-141550.0</v>
      </c>
      <c r="X18" s="55">
        <f>'12 Liquiditeitsprognose'!X30</f>
        <v>-114000.0</v>
      </c>
      <c r="Y18" s="55">
        <f>'12 Liquiditeitsprognose'!Y30</f>
        <v>-136227.1842105263</v>
      </c>
      <c r="Z18" s="55">
        <f>'12 Liquiditeitsprognose'!Z30</f>
        <v>-108150.0</v>
      </c>
      <c r="AA18" s="55">
        <f>'12 Liquiditeitsprognose'!AA30</f>
        <v>-113850.0</v>
      </c>
    </row>
    <row r="19">
      <c r="B19" s="38" t="inlineStr">
        <is>
          <t>Netto kasstroom</t>
        </is>
      </c>
      <c r="D19" s="39">
        <f>D16-D17+D18</f>
        <v>-223470.03462603875</v>
      </c>
      <c r="E19" s="39">
        <f>E16-E17+E18</f>
        <v>482834.6398891965</v>
      </c>
      <c r="F19" s="39">
        <f>F16-F17+F18</f>
        <v>18810.481301939</v>
      </c>
      <c r="G19" s="39">
        <f>G16-G17+G18</f>
        <v>-249223.12603878125</v>
      </c>
      <c r="H19" s="39">
        <f>H16-H17+H18</f>
        <v>3583.4937673129607</v>
      </c>
      <c r="I19" s="39">
        <f>I16-I17+I18</f>
        <v>-54181.65858725761</v>
      </c>
      <c r="J19" s="39">
        <f>J16-J17+J18</f>
        <v>32691.683518005593</v>
      </c>
      <c r="K19" s="39">
        <f>K16-K17+K18</f>
        <v>162387.50692520768</v>
      </c>
      <c r="L19" s="39">
        <f>L16-L17+L18</f>
        <v>39497.292243767646</v>
      </c>
      <c r="M19" s="39">
        <f>M16-M17+M18</f>
        <v>-277469.1855955679</v>
      </c>
      <c r="N19" s="39">
        <f>N16-N17+N18</f>
        <v>-38252.835872576106</v>
      </c>
      <c r="O19" s="39">
        <f>O16-O17+O18</f>
        <v>-2808.6461218836484</v>
      </c>
      <c r="P19" s="39">
        <f>P16-P17+P18</f>
        <v>121727.0193905817</v>
      </c>
      <c r="Q19" s="39">
        <f>Q16-Q17+Q18</f>
        <v>162622.65927977825</v>
      </c>
      <c r="R19" s="39">
        <f>R16-R17+R18</f>
        <v>19410.481301939</v>
      </c>
      <c r="S19" s="39">
        <f>S16-S17+S18</f>
        <v>-156621.81024930754</v>
      </c>
      <c r="T19" s="39">
        <f>T16-T17+T18</f>
        <v>4183.493767312961</v>
      </c>
      <c r="U19" s="39">
        <f>U16-U17+U18</f>
        <v>-53581.65858725761</v>
      </c>
      <c r="V19" s="39">
        <f>V16-V17+V18</f>
        <v>23841.683518005593</v>
      </c>
      <c r="W19" s="39">
        <f>W16-W17+W18</f>
        <v>122987.50692520768</v>
      </c>
      <c r="X19" s="39">
        <f>X16-X17+X18</f>
        <v>120097.29224376765</v>
      </c>
      <c r="Y19" s="39">
        <f>Y16-Y17+Y18</f>
        <v>-285269.1855955679</v>
      </c>
      <c r="Z19" s="39">
        <f>Z16-Z17+Z18</f>
        <v>-37652.835872576106</v>
      </c>
      <c r="AA19" s="39">
        <f>AA16-AA17+AA18</f>
        <v>-2208.6461218836484</v>
      </c>
    </row>
    <row r="20">
      <c r="B20" s="52" t="inlineStr">
        <is>
          <t>EINDLIQUIDITEIT</t>
        </is>
      </c>
      <c r="D20" s="63">
        <f>s_bank0+D19</f>
        <v>76529.96537396125</v>
      </c>
      <c r="E20" s="63">
        <f>D20+E19</f>
        <v>559364.6052631577</v>
      </c>
      <c r="F20" s="63">
        <f>E20+F19</f>
        <v>578175.0865650967</v>
      </c>
      <c r="G20" s="63">
        <f>F20+G19</f>
        <v>328951.9605263155</v>
      </c>
      <c r="H20" s="63">
        <f>G20+H19</f>
        <v>332535.45429362846</v>
      </c>
      <c r="I20" s="63">
        <f>H20+I19</f>
        <v>278353.79570637085</v>
      </c>
      <c r="J20" s="63">
        <f>I20+J19</f>
        <v>311045.47922437644</v>
      </c>
      <c r="K20" s="63">
        <f>J20+K19</f>
        <v>473432.9861495841</v>
      </c>
      <c r="L20" s="63">
        <f>K20+L19</f>
        <v>512930.27839335176</v>
      </c>
      <c r="M20" s="63">
        <f>L20+M19</f>
        <v>235461.09279778384</v>
      </c>
      <c r="N20" s="63">
        <f>M20+N19</f>
        <v>197208.25692520774</v>
      </c>
      <c r="O20" s="63">
        <f>N20+O19</f>
        <v>194399.6108033241</v>
      </c>
      <c r="P20" s="63">
        <f>O20+P19</f>
        <v>316126.6301939058</v>
      </c>
      <c r="Q20" s="63">
        <f>P20+Q19</f>
        <v>478749.28947368404</v>
      </c>
      <c r="R20" s="63">
        <f>Q20+R19</f>
        <v>498159.77077562304</v>
      </c>
      <c r="S20" s="63">
        <f>R20+S19</f>
        <v>341537.9605263155</v>
      </c>
      <c r="T20" s="63">
        <f>S20+T19</f>
        <v>345721.45429362846</v>
      </c>
      <c r="U20" s="63">
        <f>T20+U19</f>
        <v>292139.79570637085</v>
      </c>
      <c r="V20" s="63">
        <f>U20+V19</f>
        <v>315981.47922437644</v>
      </c>
      <c r="W20" s="63">
        <f>V20+W19</f>
        <v>438968.9861495841</v>
      </c>
      <c r="X20" s="63">
        <f>W20+X19</f>
        <v>559066.2783933517</v>
      </c>
      <c r="Y20" s="63">
        <f>X20+Y19</f>
        <v>273797.0927977838</v>
      </c>
      <c r="Z20" s="63">
        <f>Y20+Z19</f>
        <v>236144.25692520768</v>
      </c>
      <c r="AA20" s="63">
        <f>Z20+AA19</f>
        <v>233935.61080332403</v>
      </c>
    </row>
    <row r="22" ht="18" customHeight="1">
      <c r="B22" s="56" t="inlineStr">
        <is>
          <t>SCENARIO: Best</t>
        </is>
      </c>
    </row>
    <row r="23">
      <c r="B23" s="17" t="inlineStr">
        <is>
          <t>Omzet (excl. BTW)</t>
        </is>
      </c>
      <c r="D23" s="50">
        <f>'04 Input prognose'!D$8*s_omzet_jaar*(1+'02 Instellingen'!$E$21)</f>
        <v>385000.0000000001</v>
      </c>
      <c r="E23" s="50">
        <f>'04 Input prognose'!E$8*s_omzet_jaar*(1+'02 Instellingen'!$E$21)</f>
        <v>385000.0000000001</v>
      </c>
      <c r="F23" s="50">
        <f>'04 Input prognose'!F$8*s_omzet_jaar*(1+'02 Instellingen'!$E$21)</f>
        <v>467500.0000000001</v>
      </c>
      <c r="G23" s="50">
        <f>'04 Input prognose'!G$8*s_omzet_jaar*(1+'02 Instellingen'!$E$21)</f>
        <v>467500.0000000001</v>
      </c>
      <c r="H23" s="50">
        <f>'04 Input prognose'!H$8*s_omzet_jaar*(1+'02 Instellingen'!$E$21)</f>
        <v>495000.00000000006</v>
      </c>
      <c r="I23" s="50">
        <f>'04 Input prognose'!I$8*s_omzet_jaar*(1+'02 Instellingen'!$E$21)</f>
        <v>467500.0000000001</v>
      </c>
      <c r="J23" s="50">
        <f>'04 Input prognose'!J$8*s_omzet_jaar*(1+'02 Instellingen'!$E$21)</f>
        <v>385000.0000000001</v>
      </c>
      <c r="K23" s="50">
        <f>'04 Input prognose'!K$8*s_omzet_jaar*(1+'02 Instellingen'!$E$21)</f>
        <v>330000.0</v>
      </c>
      <c r="L23" s="50">
        <f>'04 Input prognose'!L$8*s_omzet_jaar*(1+'02 Instellingen'!$E$21)</f>
        <v>495000.00000000006</v>
      </c>
      <c r="M23" s="50">
        <f>'04 Input prognose'!M$8*s_omzet_jaar*(1+'02 Instellingen'!$E$21)</f>
        <v>550000.0</v>
      </c>
      <c r="N23" s="50">
        <f>'04 Input prognose'!N$8*s_omzet_jaar*(1+'02 Instellingen'!$E$21)</f>
        <v>577500.0</v>
      </c>
      <c r="O23" s="50">
        <f>'04 Input prognose'!O$8*s_omzet_jaar*(1+'02 Instellingen'!$E$21)</f>
        <v>495000.00000000006</v>
      </c>
      <c r="P23" s="50">
        <f>'04 Input prognose'!P$8*s_omzet_jaar*(1+'02 Instellingen'!$E$21)</f>
        <v>385000.0000000001</v>
      </c>
      <c r="Q23" s="50">
        <f>'04 Input prognose'!Q$8*s_omzet_jaar*(1+'02 Instellingen'!$E$21)</f>
        <v>385000.0000000001</v>
      </c>
      <c r="R23" s="50">
        <f>'04 Input prognose'!R$8*s_omzet_jaar*(1+'02 Instellingen'!$E$21)</f>
        <v>467500.0000000001</v>
      </c>
      <c r="S23" s="50">
        <f>'04 Input prognose'!S$8*s_omzet_jaar*(1+'02 Instellingen'!$E$21)</f>
        <v>467500.0000000001</v>
      </c>
      <c r="T23" s="50">
        <f>'04 Input prognose'!T$8*s_omzet_jaar*(1+'02 Instellingen'!$E$21)</f>
        <v>495000.00000000006</v>
      </c>
      <c r="U23" s="50">
        <f>'04 Input prognose'!U$8*s_omzet_jaar*(1+'02 Instellingen'!$E$21)</f>
        <v>467500.0000000001</v>
      </c>
      <c r="V23" s="50">
        <f>'04 Input prognose'!V$8*s_omzet_jaar*(1+'02 Instellingen'!$E$21)</f>
        <v>385000.0000000001</v>
      </c>
      <c r="W23" s="50">
        <f>'04 Input prognose'!W$8*s_omzet_jaar*(1+'02 Instellingen'!$E$21)</f>
        <v>330000.0</v>
      </c>
      <c r="X23" s="50">
        <f>'04 Input prognose'!X$8*s_omzet_jaar*(1+'02 Instellingen'!$E$21)</f>
        <v>495000.00000000006</v>
      </c>
      <c r="Y23" s="50">
        <f>'04 Input prognose'!Y$8*s_omzet_jaar*(1+'02 Instellingen'!$E$21)</f>
        <v>550000.0</v>
      </c>
      <c r="Z23" s="50">
        <f>'04 Input prognose'!Z$8*s_omzet_jaar*(1+'02 Instellingen'!$E$21)</f>
        <v>577500.0</v>
      </c>
      <c r="AA23" s="50">
        <f>'04 Input prognose'!AA$8*s_omzet_jaar*(1+'02 Instellingen'!$E$21)</f>
        <v>495000.00000000006</v>
      </c>
    </row>
    <row r="24">
      <c r="B24" s="17" t="inlineStr">
        <is>
          <t>Inkoopwaarde omzet</t>
        </is>
      </c>
      <c r="D24" s="50">
        <f>D23*(1-(s_margin+'02 Instellingen'!$E$22))</f>
        <v>269500.00000000006</v>
      </c>
      <c r="E24" s="50">
        <f>E23*(1-(s_margin+'02 Instellingen'!$E$22))</f>
        <v>269500.00000000006</v>
      </c>
      <c r="F24" s="50">
        <f>F23*(1-(s_margin+'02 Instellingen'!$E$22))</f>
        <v>327250.00000000006</v>
      </c>
      <c r="G24" s="50">
        <f>G23*(1-(s_margin+'02 Instellingen'!$E$22))</f>
        <v>327250.00000000006</v>
      </c>
      <c r="H24" s="50">
        <f>H23*(1-(s_margin+'02 Instellingen'!$E$22))</f>
        <v>346500.0</v>
      </c>
      <c r="I24" s="50">
        <f>I23*(1-(s_margin+'02 Instellingen'!$E$22))</f>
        <v>327250.00000000006</v>
      </c>
      <c r="J24" s="50">
        <f>J23*(1-(s_margin+'02 Instellingen'!$E$22))</f>
        <v>269500.00000000006</v>
      </c>
      <c r="K24" s="50">
        <f>K23*(1-(s_margin+'02 Instellingen'!$E$22))</f>
        <v>230999.99999999997</v>
      </c>
      <c r="L24" s="50">
        <f>L23*(1-(s_margin+'02 Instellingen'!$E$22))</f>
        <v>346500.0</v>
      </c>
      <c r="M24" s="50">
        <f>M23*(1-(s_margin+'02 Instellingen'!$E$22))</f>
        <v>385000.0</v>
      </c>
      <c r="N24" s="50">
        <f>N23*(1-(s_margin+'02 Instellingen'!$E$22))</f>
        <v>404250.0</v>
      </c>
      <c r="O24" s="50">
        <f>O23*(1-(s_margin+'02 Instellingen'!$E$22))</f>
        <v>346500.0</v>
      </c>
      <c r="P24" s="50">
        <f>P23*(1-(s_margin+'02 Instellingen'!$E$22))</f>
        <v>269500.00000000006</v>
      </c>
      <c r="Q24" s="50">
        <f>Q23*(1-(s_margin+'02 Instellingen'!$E$22))</f>
        <v>269500.00000000006</v>
      </c>
      <c r="R24" s="50">
        <f>R23*(1-(s_margin+'02 Instellingen'!$E$22))</f>
        <v>327250.00000000006</v>
      </c>
      <c r="S24" s="50">
        <f>S23*(1-(s_margin+'02 Instellingen'!$E$22))</f>
        <v>327250.00000000006</v>
      </c>
      <c r="T24" s="50">
        <f>T23*(1-(s_margin+'02 Instellingen'!$E$22))</f>
        <v>346500.0</v>
      </c>
      <c r="U24" s="50">
        <f>U23*(1-(s_margin+'02 Instellingen'!$E$22))</f>
        <v>327250.00000000006</v>
      </c>
      <c r="V24" s="50">
        <f>V23*(1-(s_margin+'02 Instellingen'!$E$22))</f>
        <v>269500.00000000006</v>
      </c>
      <c r="W24" s="50">
        <f>W23*(1-(s_margin+'02 Instellingen'!$E$22))</f>
        <v>230999.99999999997</v>
      </c>
      <c r="X24" s="50">
        <f>X23*(1-(s_margin+'02 Instellingen'!$E$22))</f>
        <v>346500.0</v>
      </c>
      <c r="Y24" s="50">
        <f>Y23*(1-(s_margin+'02 Instellingen'!$E$22))</f>
        <v>385000.0</v>
      </c>
      <c r="Z24" s="50">
        <f>Z23*(1-(s_margin+'02 Instellingen'!$E$22))</f>
        <v>404250.0</v>
      </c>
      <c r="AA24" s="50">
        <f>AA23*(1-(s_margin+'02 Instellingen'!$E$22))</f>
        <v>346500.0</v>
      </c>
    </row>
    <row r="25">
      <c r="B25" s="17" t="inlineStr">
        <is>
          <t>Voorraad (DIO)</t>
        </is>
      </c>
      <c r="D25" s="50">
        <f>'02 Instellingen'!$E$25/s_dpm*D24</f>
        <v>398930.9210526317</v>
      </c>
      <c r="E25" s="50">
        <f>'02 Instellingen'!$E$25/s_dpm*E24</f>
        <v>398930.9210526317</v>
      </c>
      <c r="F25" s="50">
        <f>'02 Instellingen'!$E$25/s_dpm*F24</f>
        <v>484416.11842105276</v>
      </c>
      <c r="G25" s="50">
        <f>'02 Instellingen'!$E$25/s_dpm*G24</f>
        <v>484416.11842105276</v>
      </c>
      <c r="H25" s="50">
        <f>'02 Instellingen'!$E$25/s_dpm*H24</f>
        <v>512911.18421052635</v>
      </c>
      <c r="I25" s="50">
        <f>'02 Instellingen'!$E$25/s_dpm*I24</f>
        <v>484416.11842105276</v>
      </c>
      <c r="J25" s="50">
        <f>'02 Instellingen'!$E$25/s_dpm*J24</f>
        <v>398930.9210526317</v>
      </c>
      <c r="K25" s="50">
        <f>'02 Instellingen'!$E$25/s_dpm*K24</f>
        <v>341940.7894736842</v>
      </c>
      <c r="L25" s="50">
        <f>'02 Instellingen'!$E$25/s_dpm*L24</f>
        <v>512911.18421052635</v>
      </c>
      <c r="M25" s="50">
        <f>'02 Instellingen'!$E$25/s_dpm*M24</f>
        <v>569901.3157894737</v>
      </c>
      <c r="N25" s="50">
        <f>'02 Instellingen'!$E$25/s_dpm*N24</f>
        <v>598396.3815789474</v>
      </c>
      <c r="O25" s="50">
        <f>'02 Instellingen'!$E$25/s_dpm*O24</f>
        <v>512911.18421052635</v>
      </c>
      <c r="P25" s="50">
        <f>'02 Instellingen'!$E$25/s_dpm*P24</f>
        <v>398930.9210526317</v>
      </c>
      <c r="Q25" s="50">
        <f>'02 Instellingen'!$E$25/s_dpm*Q24</f>
        <v>398930.9210526317</v>
      </c>
      <c r="R25" s="50">
        <f>'02 Instellingen'!$E$25/s_dpm*R24</f>
        <v>484416.11842105276</v>
      </c>
      <c r="S25" s="50">
        <f>'02 Instellingen'!$E$25/s_dpm*S24</f>
        <v>484416.11842105276</v>
      </c>
      <c r="T25" s="50">
        <f>'02 Instellingen'!$E$25/s_dpm*T24</f>
        <v>512911.18421052635</v>
      </c>
      <c r="U25" s="50">
        <f>'02 Instellingen'!$E$25/s_dpm*U24</f>
        <v>484416.11842105276</v>
      </c>
      <c r="V25" s="50">
        <f>'02 Instellingen'!$E$25/s_dpm*V24</f>
        <v>398930.9210526317</v>
      </c>
      <c r="W25" s="50">
        <f>'02 Instellingen'!$E$25/s_dpm*W24</f>
        <v>341940.7894736842</v>
      </c>
      <c r="X25" s="50">
        <f>'02 Instellingen'!$E$25/s_dpm*X24</f>
        <v>512911.18421052635</v>
      </c>
      <c r="Y25" s="50">
        <f>'02 Instellingen'!$E$25/s_dpm*Y24</f>
        <v>569901.3157894737</v>
      </c>
      <c r="Z25" s="50">
        <f>'02 Instellingen'!$E$25/s_dpm*Z24</f>
        <v>598396.3815789474</v>
      </c>
      <c r="AA25" s="50">
        <f>'02 Instellingen'!$E$25/s_dpm*AA24</f>
        <v>512911.18421052635</v>
      </c>
    </row>
    <row r="26">
      <c r="B26" s="17" t="inlineStr">
        <is>
          <t>Inkopen incl. BTW</t>
        </is>
      </c>
      <c r="D26" s="50">
        <f>(D24+D25-h_voorraad)*(1+v_btw)</f>
        <v>-98698.58552631566</v>
      </c>
      <c r="E26" s="50">
        <f>(E24+E25-D25)*(1+v_btw)</f>
        <v>326095.0</v>
      </c>
      <c r="F26" s="50">
        <f>(F24+F25-E25)*(1+v_btw)</f>
        <v>499409.58881578955</v>
      </c>
      <c r="G26" s="50">
        <f>(G24+G25-F25)*(1+v_btw)</f>
        <v>395972.50000000006</v>
      </c>
      <c r="H26" s="50">
        <f>(H24+H25-G25)*(1+v_btw)</f>
        <v>453744.029605263</v>
      </c>
      <c r="I26" s="50">
        <f>(I24+I25-H25)*(1+v_btw)</f>
        <v>361493.470394737</v>
      </c>
      <c r="J26" s="50">
        <f>(J24+J25-I25)*(1+v_btw)</f>
        <v>222657.9111842105</v>
      </c>
      <c r="K26" s="50">
        <f>(K24+K25-J25)*(1+v_btw)</f>
        <v>210551.94078947348</v>
      </c>
      <c r="L26" s="50">
        <f>(L24+L25-K25)*(1+v_btw)</f>
        <v>626139.1776315789</v>
      </c>
      <c r="M26" s="50">
        <f>(M24+M25-L25)*(1+v_btw)</f>
        <v>534808.0592105263</v>
      </c>
      <c r="N26" s="50">
        <f>(N24+N25-M25)*(1+v_btw)</f>
        <v>523621.52960526315</v>
      </c>
      <c r="O26" s="50">
        <f>(O24+O25-N25)*(1+v_btw)</f>
        <v>315827.91118421045</v>
      </c>
      <c r="P26" s="50">
        <f>(P24+P25-O25)*(1+v_btw)</f>
        <v>188178.88157894745</v>
      </c>
      <c r="Q26" s="50">
        <f>(Q24+Q25-P25)*(1+v_btw)</f>
        <v>326095.0</v>
      </c>
      <c r="R26" s="50">
        <f>(R24+R25-Q25)*(1+v_btw)</f>
        <v>499409.58881578955</v>
      </c>
      <c r="S26" s="50">
        <f>(S24+S25-R25)*(1+v_btw)</f>
        <v>395972.50000000006</v>
      </c>
      <c r="T26" s="50">
        <f>(T24+T25-S25)*(1+v_btw)</f>
        <v>453744.029605263</v>
      </c>
      <c r="U26" s="50">
        <f>(U24+U25-T25)*(1+v_btw)</f>
        <v>361493.470394737</v>
      </c>
      <c r="V26" s="50">
        <f>(V24+V25-U25)*(1+v_btw)</f>
        <v>222657.9111842105</v>
      </c>
      <c r="W26" s="50">
        <f>(W24+W25-V25)*(1+v_btw)</f>
        <v>210551.94078947348</v>
      </c>
      <c r="X26" s="50">
        <f>(X24+X25-W25)*(1+v_btw)</f>
        <v>626139.1776315789</v>
      </c>
      <c r="Y26" s="50">
        <f>(Y24+Y25-X25)*(1+v_btw)</f>
        <v>534808.0592105263</v>
      </c>
      <c r="Z26" s="50">
        <f>(Z24+Z25-Y25)*(1+v_btw)</f>
        <v>523621.52960526315</v>
      </c>
      <c r="AA26" s="50">
        <f>(AA24+AA25-Z25)*(1+v_btw)</f>
        <v>315827.91118421045</v>
      </c>
    </row>
    <row r="27">
      <c r="B27" s="17" t="inlineStr">
        <is>
          <t>Omzet incl. BTW</t>
        </is>
      </c>
      <c r="D27" s="50">
        <f>D23*(1+v_btw)</f>
        <v>465850.0000000001</v>
      </c>
      <c r="E27" s="50">
        <f>E23*(1+v_btw)</f>
        <v>465850.0000000001</v>
      </c>
      <c r="F27" s="50">
        <f>F23*(1+v_btw)</f>
        <v>565675.0000000001</v>
      </c>
      <c r="G27" s="50">
        <f>G23*(1+v_btw)</f>
        <v>565675.0000000001</v>
      </c>
      <c r="H27" s="50">
        <f>H23*(1+v_btw)</f>
        <v>598950.0</v>
      </c>
      <c r="I27" s="50">
        <f>I23*(1+v_btw)</f>
        <v>565675.0000000001</v>
      </c>
      <c r="J27" s="50">
        <f>J23*(1+v_btw)</f>
        <v>465850.0000000001</v>
      </c>
      <c r="K27" s="50">
        <f>K23*(1+v_btw)</f>
        <v>399300.0</v>
      </c>
      <c r="L27" s="50">
        <f>L23*(1+v_btw)</f>
        <v>598950.0</v>
      </c>
      <c r="M27" s="50">
        <f>M23*(1+v_btw)</f>
        <v>665500.0</v>
      </c>
      <c r="N27" s="50">
        <f>N23*(1+v_btw)</f>
        <v>698775.0</v>
      </c>
      <c r="O27" s="50">
        <f>O23*(1+v_btw)</f>
        <v>598950.0</v>
      </c>
      <c r="P27" s="50">
        <f>P23*(1+v_btw)</f>
        <v>465850.0000000001</v>
      </c>
      <c r="Q27" s="50">
        <f>Q23*(1+v_btw)</f>
        <v>465850.0000000001</v>
      </c>
      <c r="R27" s="50">
        <f>R23*(1+v_btw)</f>
        <v>565675.0000000001</v>
      </c>
      <c r="S27" s="50">
        <f>S23*(1+v_btw)</f>
        <v>565675.0000000001</v>
      </c>
      <c r="T27" s="50">
        <f>T23*(1+v_btw)</f>
        <v>598950.0</v>
      </c>
      <c r="U27" s="50">
        <f>U23*(1+v_btw)</f>
        <v>565675.0000000001</v>
      </c>
      <c r="V27" s="50">
        <f>V23*(1+v_btw)</f>
        <v>465850.0000000001</v>
      </c>
      <c r="W27" s="50">
        <f>W23*(1+v_btw)</f>
        <v>399300.0</v>
      </c>
      <c r="X27" s="50">
        <f>X23*(1+v_btw)</f>
        <v>598950.0</v>
      </c>
      <c r="Y27" s="50">
        <f>Y23*(1+v_btw)</f>
        <v>665500.0</v>
      </c>
      <c r="Z27" s="50">
        <f>Z23*(1+v_btw)</f>
        <v>698775.0</v>
      </c>
      <c r="AA27" s="50">
        <f>AA23*(1+v_btw)</f>
        <v>598950.0</v>
      </c>
    </row>
    <row r="28">
      <c r="B28" s="17" t="inlineStr">
        <is>
          <t>Debiteuren (DSO)</t>
        </is>
      </c>
      <c r="D28" s="50">
        <f>'02 Instellingen'!$E$23/s_dpm*D27</f>
        <v>582312.5000000001</v>
      </c>
      <c r="E28" s="50">
        <f>'02 Instellingen'!$E$23/s_dpm*E27</f>
        <v>582312.5000000001</v>
      </c>
      <c r="F28" s="50">
        <f>'02 Instellingen'!$E$23/s_dpm*F27</f>
        <v>707093.7500000001</v>
      </c>
      <c r="G28" s="50">
        <f>'02 Instellingen'!$E$23/s_dpm*G27</f>
        <v>707093.7500000001</v>
      </c>
      <c r="H28" s="50">
        <f>'02 Instellingen'!$E$23/s_dpm*H27</f>
        <v>748687.5</v>
      </c>
      <c r="I28" s="50">
        <f>'02 Instellingen'!$E$23/s_dpm*I27</f>
        <v>707093.7500000001</v>
      </c>
      <c r="J28" s="50">
        <f>'02 Instellingen'!$E$23/s_dpm*J27</f>
        <v>582312.5000000001</v>
      </c>
      <c r="K28" s="50">
        <f>'02 Instellingen'!$E$23/s_dpm*K27</f>
        <v>499125.0</v>
      </c>
      <c r="L28" s="50">
        <f>'02 Instellingen'!$E$23/s_dpm*L27</f>
        <v>748687.5</v>
      </c>
      <c r="M28" s="50">
        <f>'02 Instellingen'!$E$23/s_dpm*M27</f>
        <v>831875.0</v>
      </c>
      <c r="N28" s="50">
        <f>'02 Instellingen'!$E$23/s_dpm*N27</f>
        <v>873468.75</v>
      </c>
      <c r="O28" s="50">
        <f>'02 Instellingen'!$E$23/s_dpm*O27</f>
        <v>748687.5</v>
      </c>
      <c r="P28" s="50">
        <f>'02 Instellingen'!$E$23/s_dpm*P27</f>
        <v>582312.5000000001</v>
      </c>
      <c r="Q28" s="50">
        <f>'02 Instellingen'!$E$23/s_dpm*Q27</f>
        <v>582312.5000000001</v>
      </c>
      <c r="R28" s="50">
        <f>'02 Instellingen'!$E$23/s_dpm*R27</f>
        <v>707093.7500000001</v>
      </c>
      <c r="S28" s="50">
        <f>'02 Instellingen'!$E$23/s_dpm*S27</f>
        <v>707093.7500000001</v>
      </c>
      <c r="T28" s="50">
        <f>'02 Instellingen'!$E$23/s_dpm*T27</f>
        <v>748687.5</v>
      </c>
      <c r="U28" s="50">
        <f>'02 Instellingen'!$E$23/s_dpm*U27</f>
        <v>707093.7500000001</v>
      </c>
      <c r="V28" s="50">
        <f>'02 Instellingen'!$E$23/s_dpm*V27</f>
        <v>582312.5000000001</v>
      </c>
      <c r="W28" s="50">
        <f>'02 Instellingen'!$E$23/s_dpm*W27</f>
        <v>499125.0</v>
      </c>
      <c r="X28" s="50">
        <f>'02 Instellingen'!$E$23/s_dpm*X27</f>
        <v>748687.5</v>
      </c>
      <c r="Y28" s="50">
        <f>'02 Instellingen'!$E$23/s_dpm*Y27</f>
        <v>831875.0</v>
      </c>
      <c r="Z28" s="50">
        <f>'02 Instellingen'!$E$23/s_dpm*Z27</f>
        <v>873468.75</v>
      </c>
      <c r="AA28" s="50">
        <f>'02 Instellingen'!$E$23/s_dpm*AA27</f>
        <v>748687.5</v>
      </c>
    </row>
    <row r="29">
      <c r="B29" s="17" t="inlineStr">
        <is>
          <t>Crediteuren (DPO)</t>
        </is>
      </c>
      <c r="D29" s="50">
        <f>'02 Instellingen'!$E$24/s_dpm*D26</f>
        <v>-146099.87989092778</v>
      </c>
      <c r="E29" s="50">
        <f>'02 Instellingen'!$E$24/s_dpm*E26</f>
        <v>482706.4144736843</v>
      </c>
      <c r="F29" s="50">
        <f>'02 Instellingen'!$E$24/s_dpm*F26</f>
        <v>739257.6150233727</v>
      </c>
      <c r="G29" s="50">
        <f>'02 Instellingen'!$E$24/s_dpm*G26</f>
        <v>586143.5032894738</v>
      </c>
      <c r="H29" s="50">
        <f>'02 Instellingen'!$E$24/s_dpm*H26</f>
        <v>671660.5701393696</v>
      </c>
      <c r="I29" s="50">
        <f>'02 Instellingen'!$E$24/s_dpm*I26</f>
        <v>535105.466044841</v>
      </c>
      <c r="J29" s="50">
        <f>'02 Instellingen'!$E$24/s_dpm*J26</f>
        <v>329592.3027397853</v>
      </c>
      <c r="K29" s="50">
        <f>'02 Instellingen'!$E$24/s_dpm*K26</f>
        <v>311672.28077389166</v>
      </c>
      <c r="L29" s="50">
        <f>'02 Instellingen'!$E$24/s_dpm*L26</f>
        <v>926850.7563625346</v>
      </c>
      <c r="M29" s="50">
        <f>'02 Instellingen'!$E$24/s_dpm*M26</f>
        <v>791656.6665945291</v>
      </c>
      <c r="N29" s="50">
        <f>'02 Instellingen'!$E$24/s_dpm*N26</f>
        <v>775097.6589551594</v>
      </c>
      <c r="O29" s="50">
        <f>'02 Instellingen'!$E$24/s_dpm*O26</f>
        <v>467508.42116083787</v>
      </c>
      <c r="P29" s="50">
        <f>'02 Instellingen'!$E$24/s_dpm*P26</f>
        <v>278554.2654951525</v>
      </c>
      <c r="Q29" s="50">
        <f>'02 Instellingen'!$E$24/s_dpm*Q26</f>
        <v>482706.4144736843</v>
      </c>
      <c r="R29" s="50">
        <f>'02 Instellingen'!$E$24/s_dpm*R26</f>
        <v>739257.6150233727</v>
      </c>
      <c r="S29" s="50">
        <f>'02 Instellingen'!$E$24/s_dpm*S26</f>
        <v>586143.5032894738</v>
      </c>
      <c r="T29" s="50">
        <f>'02 Instellingen'!$E$24/s_dpm*T26</f>
        <v>671660.5701393696</v>
      </c>
      <c r="U29" s="50">
        <f>'02 Instellingen'!$E$24/s_dpm*U26</f>
        <v>535105.466044841</v>
      </c>
      <c r="V29" s="50">
        <f>'02 Instellingen'!$E$24/s_dpm*V26</f>
        <v>329592.3027397853</v>
      </c>
      <c r="W29" s="50">
        <f>'02 Instellingen'!$E$24/s_dpm*W26</f>
        <v>311672.28077389166</v>
      </c>
      <c r="X29" s="50">
        <f>'02 Instellingen'!$E$24/s_dpm*X26</f>
        <v>926850.7563625346</v>
      </c>
      <c r="Y29" s="50">
        <f>'02 Instellingen'!$E$24/s_dpm*Y26</f>
        <v>791656.6665945291</v>
      </c>
      <c r="Z29" s="50">
        <f>'02 Instellingen'!$E$24/s_dpm*Z26</f>
        <v>775097.6589551594</v>
      </c>
      <c r="AA29" s="50">
        <f>'02 Instellingen'!$E$24/s_dpm*AA26</f>
        <v>467508.42116083787</v>
      </c>
    </row>
    <row r="30">
      <c r="B30" s="17" t="inlineStr">
        <is>
          <t>Ontvangsten klanten</t>
        </is>
      </c>
      <c r="D30" s="50">
        <f>h_debiteuren+D27-D28</f>
        <v>483537.4999999999</v>
      </c>
      <c r="E30" s="50">
        <f>D28+E27-E28</f>
        <v>465850.0000000001</v>
      </c>
      <c r="F30" s="50">
        <f>E28+F27-F28</f>
        <v>440893.7500000001</v>
      </c>
      <c r="G30" s="50">
        <f>F28+G27-G28</f>
        <v>565675.0000000001</v>
      </c>
      <c r="H30" s="50">
        <f>G28+H27-H28</f>
        <v>557356.25</v>
      </c>
      <c r="I30" s="50">
        <f>H28+I27-I28</f>
        <v>607268.7499999999</v>
      </c>
      <c r="J30" s="50">
        <f>I28+J27-J28</f>
        <v>590631.2500000001</v>
      </c>
      <c r="K30" s="50">
        <f>J28+K27-K28</f>
        <v>482487.5000000001</v>
      </c>
      <c r="L30" s="50">
        <f>K28+L27-L28</f>
        <v>349387.5</v>
      </c>
      <c r="M30" s="50">
        <f>L28+M27-M28</f>
        <v>582312.5</v>
      </c>
      <c r="N30" s="50">
        <f>M28+N27-N28</f>
        <v>657181.25</v>
      </c>
      <c r="O30" s="50">
        <f>N28+O27-O28</f>
        <v>723731.25</v>
      </c>
      <c r="P30" s="50">
        <f>O28+P27-P28</f>
        <v>632224.9999999999</v>
      </c>
      <c r="Q30" s="50">
        <f>P28+Q27-Q28</f>
        <v>465850.0000000001</v>
      </c>
      <c r="R30" s="50">
        <f>Q28+R27-R28</f>
        <v>440893.7500000001</v>
      </c>
      <c r="S30" s="50">
        <f>R28+S27-S28</f>
        <v>565675.0000000001</v>
      </c>
      <c r="T30" s="50">
        <f>S28+T27-T28</f>
        <v>557356.25</v>
      </c>
      <c r="U30" s="50">
        <f>T28+U27-U28</f>
        <v>607268.7499999999</v>
      </c>
      <c r="V30" s="50">
        <f>U28+V27-V28</f>
        <v>590631.2500000001</v>
      </c>
      <c r="W30" s="50">
        <f>V28+W27-W28</f>
        <v>482487.5000000001</v>
      </c>
      <c r="X30" s="50">
        <f>W28+X27-X28</f>
        <v>349387.5</v>
      </c>
      <c r="Y30" s="50">
        <f>X28+Y27-Y28</f>
        <v>582312.5</v>
      </c>
      <c r="Z30" s="50">
        <f>Y28+Z27-Z28</f>
        <v>657181.25</v>
      </c>
      <c r="AA30" s="50">
        <f>Z28+AA27-AA28</f>
        <v>723731.25</v>
      </c>
    </row>
    <row r="31">
      <c r="B31" s="17" t="inlineStr">
        <is>
          <t>Betalingen leveranciers</t>
        </is>
      </c>
      <c r="D31" s="50">
        <f>h_crediteuren+D26-D29</f>
        <v>547401.2943646121</v>
      </c>
      <c r="E31" s="50">
        <f>D29+E26-E29</f>
        <v>-302711.2943646121</v>
      </c>
      <c r="F31" s="50">
        <f>E29+F26-F29</f>
        <v>242858.38826610113</v>
      </c>
      <c r="G31" s="50">
        <f>F29+G26-G29</f>
        <v>549086.6117338989</v>
      </c>
      <c r="H31" s="50">
        <f>G29+H26-H29</f>
        <v>368226.9627553673</v>
      </c>
      <c r="I31" s="50">
        <f>H29+I26-I29</f>
        <v>498048.57448926556</v>
      </c>
      <c r="J31" s="50">
        <f>I29+J26-J29</f>
        <v>428171.07448926615</v>
      </c>
      <c r="K31" s="50">
        <f>J29+K26-K29</f>
        <v>228471.9627553671</v>
      </c>
      <c r="L31" s="50">
        <f>K29+L26-L29</f>
        <v>10960.702042935882</v>
      </c>
      <c r="M31" s="50">
        <f>L29+M26-M29</f>
        <v>670002.1489785318</v>
      </c>
      <c r="N31" s="50">
        <f>M29+N26-N29</f>
        <v>540180.5372446328</v>
      </c>
      <c r="O31" s="50">
        <f>N29+O26-O29</f>
        <v>623417.1489785321</v>
      </c>
      <c r="P31" s="50">
        <f>O29+P26-P29</f>
        <v>377133.0372446328</v>
      </c>
      <c r="Q31" s="50">
        <f>P29+Q26-Q29</f>
        <v>121942.85102146817</v>
      </c>
      <c r="R31" s="50">
        <f>Q29+R26-R29</f>
        <v>242858.38826610113</v>
      </c>
      <c r="S31" s="50">
        <f>R29+S26-S29</f>
        <v>549086.6117338989</v>
      </c>
      <c r="T31" s="50">
        <f>S29+T26-T29</f>
        <v>368226.9627553673</v>
      </c>
      <c r="U31" s="50">
        <f>T29+U26-U29</f>
        <v>498048.57448926556</v>
      </c>
      <c r="V31" s="50">
        <f>U29+V26-V29</f>
        <v>428171.07448926615</v>
      </c>
      <c r="W31" s="50">
        <f>V29+W26-W29</f>
        <v>228471.9627553671</v>
      </c>
      <c r="X31" s="50">
        <f>W29+X26-X29</f>
        <v>10960.702042935882</v>
      </c>
      <c r="Y31" s="50">
        <f>X29+Y26-Y29</f>
        <v>670002.1489785318</v>
      </c>
      <c r="Z31" s="50">
        <f>Y29+Z26-Z29</f>
        <v>540180.5372446328</v>
      </c>
      <c r="AA31" s="50">
        <f>Z29+AA26-AA29</f>
        <v>623417.1489785321</v>
      </c>
    </row>
    <row r="32">
      <c r="B32" s="64" t="inlineStr">
        <is>
          <t>Overige kasstroom (uit actief model)</t>
        </is>
      </c>
      <c r="D32" s="55">
        <f>'12 Liquiditeitsprognose'!D30</f>
        <v>-103999.99999999994</v>
      </c>
      <c r="E32" s="55">
        <f>'12 Liquiditeitsprognose'!E30</f>
        <v>-103950.0</v>
      </c>
      <c r="F32" s="55">
        <f>'12 Liquiditeitsprognose'!F30</f>
        <v>-114150.0</v>
      </c>
      <c r="G32" s="55">
        <f>'12 Liquiditeitsprognose'!G30</f>
        <v>-237668.63157894742</v>
      </c>
      <c r="H32" s="55">
        <f>'12 Liquiditeitsprognose'!H30</f>
        <v>-145200.0</v>
      </c>
      <c r="I32" s="55">
        <f>'12 Liquiditeitsprognose'!I30</f>
        <v>-150000.00000000006</v>
      </c>
      <c r="J32" s="55">
        <f>'12 Liquiditeitsprognose'!J30</f>
        <v>-148766.0</v>
      </c>
      <c r="K32" s="55">
        <f>'12 Liquiditeitsprognose'!K30</f>
        <v>-102150.0</v>
      </c>
      <c r="L32" s="55">
        <f>'12 Liquiditeitsprognose'!L30</f>
        <v>-194600.0</v>
      </c>
      <c r="M32" s="55">
        <f>'12 Liquiditeitsprognose'!M30</f>
        <v>-128427.18421052629</v>
      </c>
      <c r="N32" s="55">
        <f>'12 Liquiditeitsprognose'!N30</f>
        <v>-108750.0</v>
      </c>
      <c r="O32" s="55">
        <f>'12 Liquiditeitsprognose'!O30</f>
        <v>-114450.0</v>
      </c>
      <c r="P32" s="55">
        <f>'12 Liquiditeitsprognose'!P30</f>
        <v>-167103.5</v>
      </c>
      <c r="Q32" s="55">
        <f>'12 Liquiditeitsprognose'!Q30</f>
        <v>-163350.0</v>
      </c>
      <c r="R32" s="55">
        <f>'12 Liquiditeitsprognose'!R30</f>
        <v>-113550.0</v>
      </c>
      <c r="S32" s="55">
        <f>'12 Liquiditeitsprognose'!S30</f>
        <v>-145067.3157894737</v>
      </c>
      <c r="T32" s="55">
        <f>'12 Liquiditeitsprognose'!T30</f>
        <v>-144600.0</v>
      </c>
      <c r="U32" s="55">
        <f>'12 Liquiditeitsprognose'!U30</f>
        <v>-149400.00000000006</v>
      </c>
      <c r="V32" s="55">
        <f>'12 Liquiditeitsprognose'!V30</f>
        <v>-157616.0</v>
      </c>
      <c r="W32" s="55">
        <f>'12 Liquiditeitsprognose'!W30</f>
        <v>-141550.0</v>
      </c>
      <c r="X32" s="55">
        <f>'12 Liquiditeitsprognose'!X30</f>
        <v>-114000.0</v>
      </c>
      <c r="Y32" s="55">
        <f>'12 Liquiditeitsprognose'!Y30</f>
        <v>-136227.1842105263</v>
      </c>
      <c r="Z32" s="55">
        <f>'12 Liquiditeitsprognose'!Z30</f>
        <v>-108150.0</v>
      </c>
      <c r="AA32" s="55">
        <f>'12 Liquiditeitsprognose'!AA30</f>
        <v>-113850.0</v>
      </c>
    </row>
    <row r="33">
      <c r="B33" s="38" t="inlineStr">
        <is>
          <t>Netto kasstroom</t>
        </is>
      </c>
      <c r="D33" s="39">
        <f>D30-D31+D32</f>
        <v>-167863.79436461214</v>
      </c>
      <c r="E33" s="39">
        <f>E30-E31+E32</f>
        <v>664611.2943646122</v>
      </c>
      <c r="F33" s="39">
        <f>F30-F31+F32</f>
        <v>83885.36173389899</v>
      </c>
      <c r="G33" s="39">
        <f>G30-G31+G32</f>
        <v>-221080.24331284617</v>
      </c>
      <c r="H33" s="39">
        <f>H30-H31+H32</f>
        <v>43929.287244632724</v>
      </c>
      <c r="I33" s="39">
        <f>I30-I31+I32</f>
        <v>-40779.82448926574</v>
      </c>
      <c r="J33" s="39">
        <f>J30-J31+J32</f>
        <v>13694.17551073397</v>
      </c>
      <c r="K33" s="39">
        <f>K30-K31+K32</f>
        <v>151865.53724463301</v>
      </c>
      <c r="L33" s="39">
        <f>L30-L31+L32</f>
        <v>143826.79795706412</v>
      </c>
      <c r="M33" s="39">
        <f>M30-M31+M32</f>
        <v>-216116.83318905812</v>
      </c>
      <c r="N33" s="39">
        <f>N30-N31+N32</f>
        <v>8250.71275536716</v>
      </c>
      <c r="O33" s="39">
        <f>O30-O31+O32</f>
        <v>-14135.89897853206</v>
      </c>
      <c r="P33" s="39">
        <f>P30-P31+P32</f>
        <v>87988.4627553671</v>
      </c>
      <c r="Q33" s="39">
        <f>Q30-Q31+Q32</f>
        <v>180557.14897853194</v>
      </c>
      <c r="R33" s="39">
        <f>R30-R31+R32</f>
        <v>84485.36173389899</v>
      </c>
      <c r="S33" s="39">
        <f>S30-S31+S32</f>
        <v>-128478.92752337246</v>
      </c>
      <c r="T33" s="39">
        <f>T30-T31+T32</f>
        <v>44529.287244632724</v>
      </c>
      <c r="U33" s="39">
        <f>U30-U31+U32</f>
        <v>-40179.82448926574</v>
      </c>
      <c r="V33" s="39">
        <f>V30-V31+V32</f>
        <v>4844.17551073397</v>
      </c>
      <c r="W33" s="39">
        <f>W30-W31+W32</f>
        <v>112465.53724463301</v>
      </c>
      <c r="X33" s="39">
        <f>X30-X31+X32</f>
        <v>224426.79795706412</v>
      </c>
      <c r="Y33" s="39">
        <f>Y30-Y31+Y32</f>
        <v>-223916.83318905812</v>
      </c>
      <c r="Z33" s="39">
        <f>Z30-Z31+Z32</f>
        <v>8850.71275536716</v>
      </c>
      <c r="AA33" s="39">
        <f>AA30-AA31+AA32</f>
        <v>-13535.89897853206</v>
      </c>
    </row>
    <row r="34">
      <c r="B34" s="52" t="inlineStr">
        <is>
          <t>EINDLIQUIDITEIT</t>
        </is>
      </c>
      <c r="D34" s="63">
        <f>s_bank0+D33</f>
        <v>132136.20563538786</v>
      </c>
      <c r="E34" s="63">
        <f>D34+E33</f>
        <v>796747.5</v>
      </c>
      <c r="F34" s="63">
        <f>E34+F33</f>
        <v>880632.861733899</v>
      </c>
      <c r="G34" s="63">
        <f>F34+G33</f>
        <v>659552.6184210528</v>
      </c>
      <c r="H34" s="63">
        <f>G34+H33</f>
        <v>703481.9056656855</v>
      </c>
      <c r="I34" s="63">
        <f>H34+I33</f>
        <v>662702.0811764197</v>
      </c>
      <c r="J34" s="63">
        <f>I34+J33</f>
        <v>676396.2566871537</v>
      </c>
      <c r="K34" s="63">
        <f>J34+K33</f>
        <v>828261.7939317867</v>
      </c>
      <c r="L34" s="63">
        <f>K34+L33</f>
        <v>972088.5918888508</v>
      </c>
      <c r="M34" s="63">
        <f>L34+M33</f>
        <v>755971.7586997927</v>
      </c>
      <c r="N34" s="63">
        <f>M34+N33</f>
        <v>764222.4714551598</v>
      </c>
      <c r="O34" s="63">
        <f>N34+O33</f>
        <v>750086.5724766278</v>
      </c>
      <c r="P34" s="63">
        <f>O34+P33</f>
        <v>838075.0352319949</v>
      </c>
      <c r="Q34" s="63">
        <f>P34+Q33</f>
        <v>1018632.1842105269</v>
      </c>
      <c r="R34" s="63">
        <f>Q34+R33</f>
        <v>1103117.5459444257</v>
      </c>
      <c r="S34" s="63">
        <f>R34+S33</f>
        <v>974638.6184210533</v>
      </c>
      <c r="T34" s="63">
        <f>S34+T33</f>
        <v>1019167.905665686</v>
      </c>
      <c r="U34" s="63">
        <f>T34+U33</f>
        <v>978988.0811764202</v>
      </c>
      <c r="V34" s="63">
        <f>U34+V33</f>
        <v>983832.2566871542</v>
      </c>
      <c r="W34" s="63">
        <f>V34+W33</f>
        <v>1096297.7939317871</v>
      </c>
      <c r="X34" s="63">
        <f>W34+X33</f>
        <v>1320724.5918888513</v>
      </c>
      <c r="Y34" s="63">
        <f>X34+Y33</f>
        <v>1096807.7586997931</v>
      </c>
      <c r="Z34" s="63">
        <f>Y34+Z33</f>
        <v>1105658.4714551603</v>
      </c>
      <c r="AA34" s="63">
        <f>Z34+AA33</f>
        <v>1092122.5724766282</v>
      </c>
    </row>
    <row r="36" ht="18" customHeight="1">
      <c r="B36" s="56" t="inlineStr">
        <is>
          <t>SCENARIO: Worst</t>
        </is>
      </c>
    </row>
    <row r="37">
      <c r="B37" s="17" t="inlineStr">
        <is>
          <t>Omzet (excl. BTW)</t>
        </is>
      </c>
      <c r="D37" s="50">
        <f>'04 Input prognose'!D$8*s_omzet_jaar*(1+'02 Instellingen'!$F$21)</f>
        <v>315000.00000000006</v>
      </c>
      <c r="E37" s="50">
        <f>'04 Input prognose'!E$8*s_omzet_jaar*(1+'02 Instellingen'!$F$21)</f>
        <v>315000.00000000006</v>
      </c>
      <c r="F37" s="50">
        <f>'04 Input prognose'!F$8*s_omzet_jaar*(1+'02 Instellingen'!$F$21)</f>
        <v>382500.00000000006</v>
      </c>
      <c r="G37" s="50">
        <f>'04 Input prognose'!G$8*s_omzet_jaar*(1+'02 Instellingen'!$F$21)</f>
        <v>382500.00000000006</v>
      </c>
      <c r="H37" s="50">
        <f>'04 Input prognose'!H$8*s_omzet_jaar*(1+'02 Instellingen'!$F$21)</f>
        <v>405000.0</v>
      </c>
      <c r="I37" s="50">
        <f>'04 Input prognose'!I$8*s_omzet_jaar*(1+'02 Instellingen'!$F$21)</f>
        <v>382500.00000000006</v>
      </c>
      <c r="J37" s="50">
        <f>'04 Input prognose'!J$8*s_omzet_jaar*(1+'02 Instellingen'!$F$21)</f>
        <v>315000.00000000006</v>
      </c>
      <c r="K37" s="50">
        <f>'04 Input prognose'!K$8*s_omzet_jaar*(1+'02 Instellingen'!$F$21)</f>
        <v>270000.0</v>
      </c>
      <c r="L37" s="50">
        <f>'04 Input prognose'!L$8*s_omzet_jaar*(1+'02 Instellingen'!$F$21)</f>
        <v>405000.0</v>
      </c>
      <c r="M37" s="50">
        <f>'04 Input prognose'!M$8*s_omzet_jaar*(1+'02 Instellingen'!$F$21)</f>
        <v>450000.0</v>
      </c>
      <c r="N37" s="50">
        <f>'04 Input prognose'!N$8*s_omzet_jaar*(1+'02 Instellingen'!$F$21)</f>
        <v>472500.0</v>
      </c>
      <c r="O37" s="50">
        <f>'04 Input prognose'!O$8*s_omzet_jaar*(1+'02 Instellingen'!$F$21)</f>
        <v>405000.0</v>
      </c>
      <c r="P37" s="50">
        <f>'04 Input prognose'!P$8*s_omzet_jaar*(1+'02 Instellingen'!$F$21)</f>
        <v>315000.00000000006</v>
      </c>
      <c r="Q37" s="50">
        <f>'04 Input prognose'!Q$8*s_omzet_jaar*(1+'02 Instellingen'!$F$21)</f>
        <v>315000.00000000006</v>
      </c>
      <c r="R37" s="50">
        <f>'04 Input prognose'!R$8*s_omzet_jaar*(1+'02 Instellingen'!$F$21)</f>
        <v>382500.00000000006</v>
      </c>
      <c r="S37" s="50">
        <f>'04 Input prognose'!S$8*s_omzet_jaar*(1+'02 Instellingen'!$F$21)</f>
        <v>382500.00000000006</v>
      </c>
      <c r="T37" s="50">
        <f>'04 Input prognose'!T$8*s_omzet_jaar*(1+'02 Instellingen'!$F$21)</f>
        <v>405000.0</v>
      </c>
      <c r="U37" s="50">
        <f>'04 Input prognose'!U$8*s_omzet_jaar*(1+'02 Instellingen'!$F$21)</f>
        <v>382500.00000000006</v>
      </c>
      <c r="V37" s="50">
        <f>'04 Input prognose'!V$8*s_omzet_jaar*(1+'02 Instellingen'!$F$21)</f>
        <v>315000.00000000006</v>
      </c>
      <c r="W37" s="50">
        <f>'04 Input prognose'!W$8*s_omzet_jaar*(1+'02 Instellingen'!$F$21)</f>
        <v>270000.0</v>
      </c>
      <c r="X37" s="50">
        <f>'04 Input prognose'!X$8*s_omzet_jaar*(1+'02 Instellingen'!$F$21)</f>
        <v>405000.0</v>
      </c>
      <c r="Y37" s="50">
        <f>'04 Input prognose'!Y$8*s_omzet_jaar*(1+'02 Instellingen'!$F$21)</f>
        <v>450000.0</v>
      </c>
      <c r="Z37" s="50">
        <f>'04 Input prognose'!Z$8*s_omzet_jaar*(1+'02 Instellingen'!$F$21)</f>
        <v>472500.0</v>
      </c>
      <c r="AA37" s="50">
        <f>'04 Input prognose'!AA$8*s_omzet_jaar*(1+'02 Instellingen'!$F$21)</f>
        <v>405000.0</v>
      </c>
    </row>
    <row r="38">
      <c r="B38" s="17" t="inlineStr">
        <is>
          <t>Inkoopwaarde omzet</t>
        </is>
      </c>
      <c r="D38" s="50">
        <f>D37*(1-(s_margin+'02 Instellingen'!$F$22))</f>
        <v>236250.00000000006</v>
      </c>
      <c r="E38" s="50">
        <f>E37*(1-(s_margin+'02 Instellingen'!$F$22))</f>
        <v>236250.00000000006</v>
      </c>
      <c r="F38" s="50">
        <f>F37*(1-(s_margin+'02 Instellingen'!$F$22))</f>
        <v>286875.00000000006</v>
      </c>
      <c r="G38" s="50">
        <f>G37*(1-(s_margin+'02 Instellingen'!$F$22))</f>
        <v>286875.00000000006</v>
      </c>
      <c r="H38" s="50">
        <f>H37*(1-(s_margin+'02 Instellingen'!$F$22))</f>
        <v>303750.0</v>
      </c>
      <c r="I38" s="50">
        <f>I37*(1-(s_margin+'02 Instellingen'!$F$22))</f>
        <v>286875.00000000006</v>
      </c>
      <c r="J38" s="50">
        <f>J37*(1-(s_margin+'02 Instellingen'!$F$22))</f>
        <v>236250.00000000006</v>
      </c>
      <c r="K38" s="50">
        <f>K37*(1-(s_margin+'02 Instellingen'!$F$22))</f>
        <v>202500.0</v>
      </c>
      <c r="L38" s="50">
        <f>L37*(1-(s_margin+'02 Instellingen'!$F$22))</f>
        <v>303750.0</v>
      </c>
      <c r="M38" s="50">
        <f>M37*(1-(s_margin+'02 Instellingen'!$F$22))</f>
        <v>337500.0</v>
      </c>
      <c r="N38" s="50">
        <f>N37*(1-(s_margin+'02 Instellingen'!$F$22))</f>
        <v>354375.0</v>
      </c>
      <c r="O38" s="50">
        <f>O37*(1-(s_margin+'02 Instellingen'!$F$22))</f>
        <v>303750.0</v>
      </c>
      <c r="P38" s="50">
        <f>P37*(1-(s_margin+'02 Instellingen'!$F$22))</f>
        <v>236250.00000000006</v>
      </c>
      <c r="Q38" s="50">
        <f>Q37*(1-(s_margin+'02 Instellingen'!$F$22))</f>
        <v>236250.00000000006</v>
      </c>
      <c r="R38" s="50">
        <f>R37*(1-(s_margin+'02 Instellingen'!$F$22))</f>
        <v>286875.00000000006</v>
      </c>
      <c r="S38" s="50">
        <f>S37*(1-(s_margin+'02 Instellingen'!$F$22))</f>
        <v>286875.00000000006</v>
      </c>
      <c r="T38" s="50">
        <f>T37*(1-(s_margin+'02 Instellingen'!$F$22))</f>
        <v>303750.0</v>
      </c>
      <c r="U38" s="50">
        <f>U37*(1-(s_margin+'02 Instellingen'!$F$22))</f>
        <v>286875.00000000006</v>
      </c>
      <c r="V38" s="50">
        <f>V37*(1-(s_margin+'02 Instellingen'!$F$22))</f>
        <v>236250.00000000006</v>
      </c>
      <c r="W38" s="50">
        <f>W37*(1-(s_margin+'02 Instellingen'!$F$22))</f>
        <v>202500.0</v>
      </c>
      <c r="X38" s="50">
        <f>X37*(1-(s_margin+'02 Instellingen'!$F$22))</f>
        <v>303750.0</v>
      </c>
      <c r="Y38" s="50">
        <f>Y37*(1-(s_margin+'02 Instellingen'!$F$22))</f>
        <v>337500.0</v>
      </c>
      <c r="Z38" s="50">
        <f>Z37*(1-(s_margin+'02 Instellingen'!$F$22))</f>
        <v>354375.0</v>
      </c>
      <c r="AA38" s="50">
        <f>AA37*(1-(s_margin+'02 Instellingen'!$F$22))</f>
        <v>303750.0</v>
      </c>
    </row>
    <row r="39">
      <c r="B39" s="17" t="inlineStr">
        <is>
          <t>Voorraad (DIO)</t>
        </is>
      </c>
      <c r="D39" s="50">
        <f>'02 Instellingen'!$F$25/s_dpm*D38</f>
        <v>582853.6184210528</v>
      </c>
      <c r="E39" s="50">
        <f>'02 Instellingen'!$F$25/s_dpm*E38</f>
        <v>582853.6184210528</v>
      </c>
      <c r="F39" s="50">
        <f>'02 Instellingen'!$F$25/s_dpm*F38</f>
        <v>707750.8223684211</v>
      </c>
      <c r="G39" s="50">
        <f>'02 Instellingen'!$F$25/s_dpm*G38</f>
        <v>707750.8223684211</v>
      </c>
      <c r="H39" s="50">
        <f>'02 Instellingen'!$F$25/s_dpm*H38</f>
        <v>749383.2236842106</v>
      </c>
      <c r="I39" s="50">
        <f>'02 Instellingen'!$F$25/s_dpm*I38</f>
        <v>707750.8223684211</v>
      </c>
      <c r="J39" s="50">
        <f>'02 Instellingen'!$F$25/s_dpm*J38</f>
        <v>582853.6184210528</v>
      </c>
      <c r="K39" s="50">
        <f>'02 Instellingen'!$F$25/s_dpm*K38</f>
        <v>499588.81578947365</v>
      </c>
      <c r="L39" s="50">
        <f>'02 Instellingen'!$F$25/s_dpm*L38</f>
        <v>749383.2236842106</v>
      </c>
      <c r="M39" s="50">
        <f>'02 Instellingen'!$F$25/s_dpm*M38</f>
        <v>832648.0263157894</v>
      </c>
      <c r="N39" s="50">
        <f>'02 Instellingen'!$F$25/s_dpm*N38</f>
        <v>874280.4276315789</v>
      </c>
      <c r="O39" s="50">
        <f>'02 Instellingen'!$F$25/s_dpm*O38</f>
        <v>749383.2236842106</v>
      </c>
      <c r="P39" s="50">
        <f>'02 Instellingen'!$F$25/s_dpm*P38</f>
        <v>582853.6184210528</v>
      </c>
      <c r="Q39" s="50">
        <f>'02 Instellingen'!$F$25/s_dpm*Q38</f>
        <v>582853.6184210528</v>
      </c>
      <c r="R39" s="50">
        <f>'02 Instellingen'!$F$25/s_dpm*R38</f>
        <v>707750.8223684211</v>
      </c>
      <c r="S39" s="50">
        <f>'02 Instellingen'!$F$25/s_dpm*S38</f>
        <v>707750.8223684211</v>
      </c>
      <c r="T39" s="50">
        <f>'02 Instellingen'!$F$25/s_dpm*T38</f>
        <v>749383.2236842106</v>
      </c>
      <c r="U39" s="50">
        <f>'02 Instellingen'!$F$25/s_dpm*U38</f>
        <v>707750.8223684211</v>
      </c>
      <c r="V39" s="50">
        <f>'02 Instellingen'!$F$25/s_dpm*V38</f>
        <v>582853.6184210528</v>
      </c>
      <c r="W39" s="50">
        <f>'02 Instellingen'!$F$25/s_dpm*W38</f>
        <v>499588.81578947365</v>
      </c>
      <c r="X39" s="50">
        <f>'02 Instellingen'!$F$25/s_dpm*X38</f>
        <v>749383.2236842106</v>
      </c>
      <c r="Y39" s="50">
        <f>'02 Instellingen'!$F$25/s_dpm*Y38</f>
        <v>832648.0263157894</v>
      </c>
      <c r="Z39" s="50">
        <f>'02 Instellingen'!$F$25/s_dpm*Z38</f>
        <v>874280.4276315789</v>
      </c>
      <c r="AA39" s="50">
        <f>'02 Instellingen'!$F$25/s_dpm*AA38</f>
        <v>749383.2236842106</v>
      </c>
    </row>
    <row r="40">
      <c r="B40" s="17" t="inlineStr">
        <is>
          <t>Inkopen incl. BTW</t>
        </is>
      </c>
      <c r="D40" s="50">
        <f>(D38+D39-h_voorraad)*(1+v_btw)</f>
        <v>83615.3782894739</v>
      </c>
      <c r="E40" s="50">
        <f>(E38+E39-D39)*(1+v_btw)</f>
        <v>285862.5</v>
      </c>
      <c r="F40" s="50">
        <f>(F38+F39-E39)*(1+v_btw)</f>
        <v>498244.36677631567</v>
      </c>
      <c r="G40" s="50">
        <f>(G38+G39-F39)*(1+v_btw)</f>
        <v>347118.75</v>
      </c>
      <c r="H40" s="50">
        <f>(H38+H39-G39)*(1+v_btw)</f>
        <v>417912.7055921052</v>
      </c>
      <c r="I40" s="50">
        <f>(I38+I39-H39)*(1+v_btw)</f>
        <v>296743.5444078948</v>
      </c>
      <c r="J40" s="50">
        <f>(J38+J39-I39)*(1+v_btw)</f>
        <v>134736.88322368433</v>
      </c>
      <c r="K40" s="50">
        <f>(K38+K39-J39)*(1+v_btw)</f>
        <v>144274.58881578926</v>
      </c>
      <c r="L40" s="50">
        <f>(L38+L39-K39)*(1+v_btw)</f>
        <v>669788.7335526316</v>
      </c>
      <c r="M40" s="50">
        <f>(M38+M39-L39)*(1+v_btw)</f>
        <v>509125.41118421045</v>
      </c>
      <c r="N40" s="50">
        <f>(N38+N39-M39)*(1+v_btw)</f>
        <v>479168.9555921052</v>
      </c>
      <c r="O40" s="50">
        <f>(O38+O39-N39)*(1+v_btw)</f>
        <v>216411.88322368433</v>
      </c>
      <c r="P40" s="50">
        <f>(P38+P39-O39)*(1+v_btw)</f>
        <v>84361.67763157912</v>
      </c>
      <c r="Q40" s="50">
        <f>(Q38+Q39-P39)*(1+v_btw)</f>
        <v>285862.5</v>
      </c>
      <c r="R40" s="50">
        <f>(R38+R39-Q39)*(1+v_btw)</f>
        <v>498244.36677631567</v>
      </c>
      <c r="S40" s="50">
        <f>(S38+S39-R39)*(1+v_btw)</f>
        <v>347118.75</v>
      </c>
      <c r="T40" s="50">
        <f>(T38+T39-S39)*(1+v_btw)</f>
        <v>417912.7055921052</v>
      </c>
      <c r="U40" s="50">
        <f>(U38+U39-T39)*(1+v_btw)</f>
        <v>296743.5444078948</v>
      </c>
      <c r="V40" s="50">
        <f>(V38+V39-U39)*(1+v_btw)</f>
        <v>134736.88322368433</v>
      </c>
      <c r="W40" s="50">
        <f>(W38+W39-V39)*(1+v_btw)</f>
        <v>144274.58881578926</v>
      </c>
      <c r="X40" s="50">
        <f>(X38+X39-W39)*(1+v_btw)</f>
        <v>669788.7335526316</v>
      </c>
      <c r="Y40" s="50">
        <f>(Y38+Y39-X39)*(1+v_btw)</f>
        <v>509125.41118421045</v>
      </c>
      <c r="Z40" s="50">
        <f>(Z38+Z39-Y39)*(1+v_btw)</f>
        <v>479168.9555921052</v>
      </c>
      <c r="AA40" s="50">
        <f>(AA38+AA39-Z39)*(1+v_btw)</f>
        <v>216411.88322368433</v>
      </c>
    </row>
    <row r="41">
      <c r="B41" s="17" t="inlineStr">
        <is>
          <t>Omzet incl. BTW</t>
        </is>
      </c>
      <c r="D41" s="50">
        <f>D37*(1+v_btw)</f>
        <v>381150.00000000006</v>
      </c>
      <c r="E41" s="50">
        <f>E37*(1+v_btw)</f>
        <v>381150.00000000006</v>
      </c>
      <c r="F41" s="50">
        <f>F37*(1+v_btw)</f>
        <v>462825.00000000006</v>
      </c>
      <c r="G41" s="50">
        <f>G37*(1+v_btw)</f>
        <v>462825.00000000006</v>
      </c>
      <c r="H41" s="50">
        <f>H37*(1+v_btw)</f>
        <v>490050.0</v>
      </c>
      <c r="I41" s="50">
        <f>I37*(1+v_btw)</f>
        <v>462825.00000000006</v>
      </c>
      <c r="J41" s="50">
        <f>J37*(1+v_btw)</f>
        <v>381150.00000000006</v>
      </c>
      <c r="K41" s="50">
        <f>K37*(1+v_btw)</f>
        <v>326700.0</v>
      </c>
      <c r="L41" s="50">
        <f>L37*(1+v_btw)</f>
        <v>490050.0</v>
      </c>
      <c r="M41" s="50">
        <f>M37*(1+v_btw)</f>
        <v>544500.0</v>
      </c>
      <c r="N41" s="50">
        <f>N37*(1+v_btw)</f>
        <v>571725.0</v>
      </c>
      <c r="O41" s="50">
        <f>O37*(1+v_btw)</f>
        <v>490050.0</v>
      </c>
      <c r="P41" s="50">
        <f>P37*(1+v_btw)</f>
        <v>381150.00000000006</v>
      </c>
      <c r="Q41" s="50">
        <f>Q37*(1+v_btw)</f>
        <v>381150.00000000006</v>
      </c>
      <c r="R41" s="50">
        <f>R37*(1+v_btw)</f>
        <v>462825.00000000006</v>
      </c>
      <c r="S41" s="50">
        <f>S37*(1+v_btw)</f>
        <v>462825.00000000006</v>
      </c>
      <c r="T41" s="50">
        <f>T37*(1+v_btw)</f>
        <v>490050.0</v>
      </c>
      <c r="U41" s="50">
        <f>U37*(1+v_btw)</f>
        <v>462825.00000000006</v>
      </c>
      <c r="V41" s="50">
        <f>V37*(1+v_btw)</f>
        <v>381150.00000000006</v>
      </c>
      <c r="W41" s="50">
        <f>W37*(1+v_btw)</f>
        <v>326700.0</v>
      </c>
      <c r="X41" s="50">
        <f>X37*(1+v_btw)</f>
        <v>490050.0</v>
      </c>
      <c r="Y41" s="50">
        <f>Y37*(1+v_btw)</f>
        <v>544500.0</v>
      </c>
      <c r="Z41" s="50">
        <f>Z37*(1+v_btw)</f>
        <v>571725.0</v>
      </c>
      <c r="AA41" s="50">
        <f>AA37*(1+v_btw)</f>
        <v>490050.0</v>
      </c>
    </row>
    <row r="42">
      <c r="B42" s="17" t="inlineStr">
        <is>
          <t>Debiteuren (DSO)</t>
        </is>
      </c>
      <c r="D42" s="50">
        <f>'02 Instellingen'!$F$23/s_dpm*D41</f>
        <v>752269.7368421054</v>
      </c>
      <c r="E42" s="50">
        <f>'02 Instellingen'!$F$23/s_dpm*E41</f>
        <v>752269.7368421054</v>
      </c>
      <c r="F42" s="50">
        <f>'02 Instellingen'!$F$23/s_dpm*F41</f>
        <v>913470.3947368423</v>
      </c>
      <c r="G42" s="50">
        <f>'02 Instellingen'!$F$23/s_dpm*G41</f>
        <v>913470.3947368423</v>
      </c>
      <c r="H42" s="50">
        <f>'02 Instellingen'!$F$23/s_dpm*H41</f>
        <v>967203.9473684211</v>
      </c>
      <c r="I42" s="50">
        <f>'02 Instellingen'!$F$23/s_dpm*I41</f>
        <v>913470.3947368423</v>
      </c>
      <c r="J42" s="50">
        <f>'02 Instellingen'!$F$23/s_dpm*J41</f>
        <v>752269.7368421054</v>
      </c>
      <c r="K42" s="50">
        <f>'02 Instellingen'!$F$23/s_dpm*K41</f>
        <v>644802.6315789474</v>
      </c>
      <c r="L42" s="50">
        <f>'02 Instellingen'!$F$23/s_dpm*L41</f>
        <v>967203.9473684211</v>
      </c>
      <c r="M42" s="50">
        <f>'02 Instellingen'!$F$23/s_dpm*M41</f>
        <v>1074671.052631579</v>
      </c>
      <c r="N42" s="50">
        <f>'02 Instellingen'!$F$23/s_dpm*N41</f>
        <v>1128404.605263158</v>
      </c>
      <c r="O42" s="50">
        <f>'02 Instellingen'!$F$23/s_dpm*O41</f>
        <v>967203.9473684211</v>
      </c>
      <c r="P42" s="50">
        <f>'02 Instellingen'!$F$23/s_dpm*P41</f>
        <v>752269.7368421054</v>
      </c>
      <c r="Q42" s="50">
        <f>'02 Instellingen'!$F$23/s_dpm*Q41</f>
        <v>752269.7368421054</v>
      </c>
      <c r="R42" s="50">
        <f>'02 Instellingen'!$F$23/s_dpm*R41</f>
        <v>913470.3947368423</v>
      </c>
      <c r="S42" s="50">
        <f>'02 Instellingen'!$F$23/s_dpm*S41</f>
        <v>913470.3947368423</v>
      </c>
      <c r="T42" s="50">
        <f>'02 Instellingen'!$F$23/s_dpm*T41</f>
        <v>967203.9473684211</v>
      </c>
      <c r="U42" s="50">
        <f>'02 Instellingen'!$F$23/s_dpm*U41</f>
        <v>913470.3947368423</v>
      </c>
      <c r="V42" s="50">
        <f>'02 Instellingen'!$F$23/s_dpm*V41</f>
        <v>752269.7368421054</v>
      </c>
      <c r="W42" s="50">
        <f>'02 Instellingen'!$F$23/s_dpm*W41</f>
        <v>644802.6315789474</v>
      </c>
      <c r="X42" s="50">
        <f>'02 Instellingen'!$F$23/s_dpm*X41</f>
        <v>967203.9473684211</v>
      </c>
      <c r="Y42" s="50">
        <f>'02 Instellingen'!$F$23/s_dpm*Y41</f>
        <v>1074671.052631579</v>
      </c>
      <c r="Z42" s="50">
        <f>'02 Instellingen'!$F$23/s_dpm*Z41</f>
        <v>1128404.605263158</v>
      </c>
      <c r="AA42" s="50">
        <f>'02 Instellingen'!$F$23/s_dpm*AA41</f>
        <v>967203.9473684211</v>
      </c>
    </row>
    <row r="43">
      <c r="B43" s="17" t="inlineStr">
        <is>
          <t>Crediteuren (DPO)</t>
        </is>
      </c>
      <c r="D43" s="50">
        <f>'02 Instellingen'!$F$24/s_dpm*D40</f>
        <v>82515.17594355978</v>
      </c>
      <c r="E43" s="50">
        <f>'02 Instellingen'!$F$24/s_dpm*E40</f>
        <v>282101.1513157895</v>
      </c>
      <c r="F43" s="50">
        <f>'02 Instellingen'!$F$24/s_dpm*F40</f>
        <v>491688.5198450484</v>
      </c>
      <c r="G43" s="50">
        <f>'02 Instellingen'!$F$24/s_dpm*G40</f>
        <v>342551.3980263158</v>
      </c>
      <c r="H43" s="50">
        <f>'02 Instellingen'!$F$24/s_dpm*H40</f>
        <v>412413.85420273547</v>
      </c>
      <c r="I43" s="50">
        <f>'02 Instellingen'!$F$24/s_dpm*I40</f>
        <v>292839.0240867383</v>
      </c>
      <c r="J43" s="50">
        <f>'02 Instellingen'!$F$24/s_dpm*J40</f>
        <v>132964.0294970569</v>
      </c>
      <c r="K43" s="50">
        <f>'02 Instellingen'!$F$24/s_dpm*K40</f>
        <v>142376.23896294995</v>
      </c>
      <c r="L43" s="50">
        <f>'02 Instellingen'!$F$24/s_dpm*L40</f>
        <v>660975.7239006233</v>
      </c>
      <c r="M43" s="50">
        <f>'02 Instellingen'!$F$24/s_dpm*M40</f>
        <v>502426.3926159972</v>
      </c>
      <c r="N43" s="50">
        <f>'02 Instellingen'!$F$24/s_dpm*N40</f>
        <v>472864.10091326176</v>
      </c>
      <c r="O43" s="50">
        <f>'02 Instellingen'!$F$24/s_dpm*O40</f>
        <v>213564.35844442534</v>
      </c>
      <c r="P43" s="50">
        <f>'02 Instellingen'!$F$24/s_dpm*P40</f>
        <v>83251.6555574794</v>
      </c>
      <c r="Q43" s="50">
        <f>'02 Instellingen'!$F$24/s_dpm*Q40</f>
        <v>282101.1513157895</v>
      </c>
      <c r="R43" s="50">
        <f>'02 Instellingen'!$F$24/s_dpm*R40</f>
        <v>491688.5198450484</v>
      </c>
      <c r="S43" s="50">
        <f>'02 Instellingen'!$F$24/s_dpm*S40</f>
        <v>342551.3980263158</v>
      </c>
      <c r="T43" s="50">
        <f>'02 Instellingen'!$F$24/s_dpm*T40</f>
        <v>412413.85420273547</v>
      </c>
      <c r="U43" s="50">
        <f>'02 Instellingen'!$F$24/s_dpm*U40</f>
        <v>292839.0240867383</v>
      </c>
      <c r="V43" s="50">
        <f>'02 Instellingen'!$F$24/s_dpm*V40</f>
        <v>132964.0294970569</v>
      </c>
      <c r="W43" s="50">
        <f>'02 Instellingen'!$F$24/s_dpm*W40</f>
        <v>142376.23896294995</v>
      </c>
      <c r="X43" s="50">
        <f>'02 Instellingen'!$F$24/s_dpm*X40</f>
        <v>660975.7239006233</v>
      </c>
      <c r="Y43" s="50">
        <f>'02 Instellingen'!$F$24/s_dpm*Y40</f>
        <v>502426.3926159972</v>
      </c>
      <c r="Z43" s="50">
        <f>'02 Instellingen'!$F$24/s_dpm*Z40</f>
        <v>472864.10091326176</v>
      </c>
      <c r="AA43" s="50">
        <f>'02 Instellingen'!$F$24/s_dpm*AA40</f>
        <v>213564.35844442534</v>
      </c>
    </row>
    <row r="44">
      <c r="B44" s="17" t="inlineStr">
        <is>
          <t>Ontvangsten klanten</t>
        </is>
      </c>
      <c r="D44" s="50">
        <f>h_debiteuren+D41-D42</f>
        <v>228880.2631578946</v>
      </c>
      <c r="E44" s="50">
        <f>D42+E41-E42</f>
        <v>381150.0</v>
      </c>
      <c r="F44" s="50">
        <f>E42+F41-F42</f>
        <v>301624.34210526315</v>
      </c>
      <c r="G44" s="50">
        <f>F42+G41-G42</f>
        <v>462825.0</v>
      </c>
      <c r="H44" s="50">
        <f>G42+H41-H42</f>
        <v>436316.4473684211</v>
      </c>
      <c r="I44" s="50">
        <f>H42+I41-I42</f>
        <v>516558.5526315789</v>
      </c>
      <c r="J44" s="50">
        <f>I42+J41-J42</f>
        <v>542350.6578947369</v>
      </c>
      <c r="K44" s="50">
        <f>J42+K41-K42</f>
        <v>434167.105263158</v>
      </c>
      <c r="L44" s="50">
        <f>K42+L41-L42</f>
        <v>167648.6842105263</v>
      </c>
      <c r="M44" s="50">
        <f>L42+M41-M42</f>
        <v>437032.894736842</v>
      </c>
      <c r="N44" s="50">
        <f>M42+N41-N42</f>
        <v>517991.4473684211</v>
      </c>
      <c r="O44" s="50">
        <f>N42+O41-O42</f>
        <v>651250.6578947369</v>
      </c>
      <c r="P44" s="50">
        <f>O42+P41-P42</f>
        <v>596084.2105263157</v>
      </c>
      <c r="Q44" s="50">
        <f>P42+Q41-Q42</f>
        <v>381150.0</v>
      </c>
      <c r="R44" s="50">
        <f>Q42+R41-R42</f>
        <v>301624.34210526315</v>
      </c>
      <c r="S44" s="50">
        <f>R42+S41-S42</f>
        <v>462825.0</v>
      </c>
      <c r="T44" s="50">
        <f>S42+T41-T42</f>
        <v>436316.4473684211</v>
      </c>
      <c r="U44" s="50">
        <f>T42+U41-U42</f>
        <v>516558.5526315789</v>
      </c>
      <c r="V44" s="50">
        <f>U42+V41-V42</f>
        <v>542350.6578947369</v>
      </c>
      <c r="W44" s="50">
        <f>V42+W41-W42</f>
        <v>434167.105263158</v>
      </c>
      <c r="X44" s="50">
        <f>W42+X41-X42</f>
        <v>167648.6842105263</v>
      </c>
      <c r="Y44" s="50">
        <f>X42+Y41-Y42</f>
        <v>437032.894736842</v>
      </c>
      <c r="Z44" s="50">
        <f>Y42+Z41-Z42</f>
        <v>517991.4473684211</v>
      </c>
      <c r="AA44" s="50">
        <f>Z42+AA41-AA42</f>
        <v>651250.6578947369</v>
      </c>
    </row>
    <row r="45">
      <c r="B45" s="17" t="inlineStr">
        <is>
          <t>Betalingen leveranciers</t>
        </is>
      </c>
      <c r="D45" s="50">
        <f>h_crediteuren+D40-D43</f>
        <v>501100.20234591415</v>
      </c>
      <c r="E45" s="50">
        <f>D43+E40-E43</f>
        <v>86276.5246277703</v>
      </c>
      <c r="F45" s="50">
        <f>E43+F40-F43</f>
        <v>288656.9982470568</v>
      </c>
      <c r="G45" s="50">
        <f>F43+G40-G43</f>
        <v>496255.87181873264</v>
      </c>
      <c r="H45" s="50">
        <f>G43+H40-H43</f>
        <v>348050.24941568554</v>
      </c>
      <c r="I45" s="50">
        <f>H43+I40-I43</f>
        <v>416318.374523892</v>
      </c>
      <c r="J45" s="50">
        <f>I43+J40-J43</f>
        <v>294611.8778133657</v>
      </c>
      <c r="K45" s="50">
        <f>J43+K40-K43</f>
        <v>134862.37934989622</v>
      </c>
      <c r="L45" s="50">
        <f>K43+L40-L43</f>
        <v>151189.24861495825</v>
      </c>
      <c r="M45" s="50">
        <f>L43+M40-M43</f>
        <v>667674.7424688365</v>
      </c>
      <c r="N45" s="50">
        <f>M43+N40-N43</f>
        <v>508731.24729484064</v>
      </c>
      <c r="O45" s="50">
        <f>N43+O40-O43</f>
        <v>475711.6256925207</v>
      </c>
      <c r="P45" s="50">
        <f>O43+P40-P43</f>
        <v>214674.38051852502</v>
      </c>
      <c r="Q45" s="50">
        <f>P43+Q40-Q43</f>
        <v>87013.00424168992</v>
      </c>
      <c r="R45" s="50">
        <f>Q43+R40-R43</f>
        <v>288656.9982470568</v>
      </c>
      <c r="S45" s="50">
        <f>R43+S40-S43</f>
        <v>496255.87181873264</v>
      </c>
      <c r="T45" s="50">
        <f>S43+T40-T43</f>
        <v>348050.24941568554</v>
      </c>
      <c r="U45" s="50">
        <f>T43+U40-U43</f>
        <v>416318.374523892</v>
      </c>
      <c r="V45" s="50">
        <f>U43+V40-V43</f>
        <v>294611.8778133657</v>
      </c>
      <c r="W45" s="50">
        <f>V43+W40-W43</f>
        <v>134862.37934989622</v>
      </c>
      <c r="X45" s="50">
        <f>W43+X40-X43</f>
        <v>151189.24861495825</v>
      </c>
      <c r="Y45" s="50">
        <f>X43+Y40-Y43</f>
        <v>667674.7424688365</v>
      </c>
      <c r="Z45" s="50">
        <f>Y43+Z40-Z43</f>
        <v>508731.24729484064</v>
      </c>
      <c r="AA45" s="50">
        <f>Z43+AA40-AA43</f>
        <v>475711.6256925207</v>
      </c>
    </row>
    <row r="46">
      <c r="B46" s="64" t="inlineStr">
        <is>
          <t>Overige kasstroom (uit actief model)</t>
        </is>
      </c>
      <c r="D46" s="55">
        <f>'12 Liquiditeitsprognose'!D30</f>
        <v>-103999.99999999994</v>
      </c>
      <c r="E46" s="55">
        <f>'12 Liquiditeitsprognose'!E30</f>
        <v>-103950.0</v>
      </c>
      <c r="F46" s="55">
        <f>'12 Liquiditeitsprognose'!F30</f>
        <v>-114150.0</v>
      </c>
      <c r="G46" s="55">
        <f>'12 Liquiditeitsprognose'!G30</f>
        <v>-237668.63157894742</v>
      </c>
      <c r="H46" s="55">
        <f>'12 Liquiditeitsprognose'!H30</f>
        <v>-145200.0</v>
      </c>
      <c r="I46" s="55">
        <f>'12 Liquiditeitsprognose'!I30</f>
        <v>-150000.00000000006</v>
      </c>
      <c r="J46" s="55">
        <f>'12 Liquiditeitsprognose'!J30</f>
        <v>-148766.0</v>
      </c>
      <c r="K46" s="55">
        <f>'12 Liquiditeitsprognose'!K30</f>
        <v>-102150.0</v>
      </c>
      <c r="L46" s="55">
        <f>'12 Liquiditeitsprognose'!L30</f>
        <v>-194600.0</v>
      </c>
      <c r="M46" s="55">
        <f>'12 Liquiditeitsprognose'!M30</f>
        <v>-128427.18421052629</v>
      </c>
      <c r="N46" s="55">
        <f>'12 Liquiditeitsprognose'!N30</f>
        <v>-108750.0</v>
      </c>
      <c r="O46" s="55">
        <f>'12 Liquiditeitsprognose'!O30</f>
        <v>-114450.0</v>
      </c>
      <c r="P46" s="55">
        <f>'12 Liquiditeitsprognose'!P30</f>
        <v>-167103.5</v>
      </c>
      <c r="Q46" s="55">
        <f>'12 Liquiditeitsprognose'!Q30</f>
        <v>-163350.0</v>
      </c>
      <c r="R46" s="55">
        <f>'12 Liquiditeitsprognose'!R30</f>
        <v>-113550.0</v>
      </c>
      <c r="S46" s="55">
        <f>'12 Liquiditeitsprognose'!S30</f>
        <v>-145067.3157894737</v>
      </c>
      <c r="T46" s="55">
        <f>'12 Liquiditeitsprognose'!T30</f>
        <v>-144600.0</v>
      </c>
      <c r="U46" s="55">
        <f>'12 Liquiditeitsprognose'!U30</f>
        <v>-149400.00000000006</v>
      </c>
      <c r="V46" s="55">
        <f>'12 Liquiditeitsprognose'!V30</f>
        <v>-157616.0</v>
      </c>
      <c r="W46" s="55">
        <f>'12 Liquiditeitsprognose'!W30</f>
        <v>-141550.0</v>
      </c>
      <c r="X46" s="55">
        <f>'12 Liquiditeitsprognose'!X30</f>
        <v>-114000.0</v>
      </c>
      <c r="Y46" s="55">
        <f>'12 Liquiditeitsprognose'!Y30</f>
        <v>-136227.1842105263</v>
      </c>
      <c r="Z46" s="55">
        <f>'12 Liquiditeitsprognose'!Z30</f>
        <v>-108150.0</v>
      </c>
      <c r="AA46" s="55">
        <f>'12 Liquiditeitsprognose'!AA30</f>
        <v>-113850.0</v>
      </c>
    </row>
    <row r="47">
      <c r="B47" s="38" t="inlineStr">
        <is>
          <t>Netto kasstroom</t>
        </is>
      </c>
      <c r="D47" s="39">
        <f>D44-D45+D46</f>
        <v>-376219.9391880195</v>
      </c>
      <c r="E47" s="39">
        <f>E44-E45+E46</f>
        <v>190923.4753722297</v>
      </c>
      <c r="F47" s="39">
        <f>F44-F45+F46</f>
        <v>-101182.65614179365</v>
      </c>
      <c r="G47" s="39">
        <f>G44-G45+G46</f>
        <v>-271099.50339768006</v>
      </c>
      <c r="H47" s="39">
        <f>H44-H45+H46</f>
        <v>-56933.80204726441</v>
      </c>
      <c r="I47" s="39">
        <f>I44-I45+I46</f>
        <v>-49759.82189231319</v>
      </c>
      <c r="J47" s="39">
        <f>J44-J45+J46</f>
        <v>98972.78008137114</v>
      </c>
      <c r="K47" s="39">
        <f>K44-K45+K46</f>
        <v>197154.72591326176</v>
      </c>
      <c r="L47" s="39">
        <f>L44-L45+L46</f>
        <v>-178140.56440443196</v>
      </c>
      <c r="M47" s="39">
        <f>M44-M45+M46</f>
        <v>-359069.03194252076</v>
      </c>
      <c r="N47" s="39">
        <f>N44-N45+N46</f>
        <v>-99489.79992641951</v>
      </c>
      <c r="O47" s="39">
        <f>O44-O45+O46</f>
        <v>61089.032202216156</v>
      </c>
      <c r="P47" s="39">
        <f>P44-P45+P46</f>
        <v>214306.3300077907</v>
      </c>
      <c r="Q47" s="39">
        <f>Q44-Q45+Q46</f>
        <v>130786.99575831008</v>
      </c>
      <c r="R47" s="39">
        <f>R44-R45+R46</f>
        <v>-100582.65614179365</v>
      </c>
      <c r="S47" s="39">
        <f>S44-S45+S46</f>
        <v>-178498.18760820635</v>
      </c>
      <c r="T47" s="39">
        <f>T44-T45+T46</f>
        <v>-56333.80204726441</v>
      </c>
      <c r="U47" s="39">
        <f>U44-U45+U46</f>
        <v>-49159.82189231319</v>
      </c>
      <c r="V47" s="39">
        <f>V44-V45+V46</f>
        <v>90122.78008137114</v>
      </c>
      <c r="W47" s="39">
        <f>W44-W45+W46</f>
        <v>157754.72591326176</v>
      </c>
      <c r="X47" s="39">
        <f>X44-X45+X46</f>
        <v>-97540.56440443196</v>
      </c>
      <c r="Y47" s="39">
        <f>Y44-Y45+Y46</f>
        <v>-366869.03194252076</v>
      </c>
      <c r="Z47" s="39">
        <f>Z44-Z45+Z46</f>
        <v>-98889.79992641951</v>
      </c>
      <c r="AA47" s="39">
        <f>AA44-AA45+AA46</f>
        <v>61689.032202216156</v>
      </c>
    </row>
    <row r="48">
      <c r="B48" s="52" t="inlineStr">
        <is>
          <t>EINDLIQUIDITEIT</t>
        </is>
      </c>
      <c r="D48" s="63">
        <f>s_bank0+D47</f>
        <v>-76219.93918801949</v>
      </c>
      <c r="E48" s="63">
        <f>D48+E47</f>
        <v>114703.53618421021</v>
      </c>
      <c r="F48" s="63">
        <f>E48+F47</f>
        <v>13520.880042416567</v>
      </c>
      <c r="G48" s="63">
        <f>F48+G47</f>
        <v>-257578.6233552635</v>
      </c>
      <c r="H48" s="63">
        <f>G48+H47</f>
        <v>-314512.4254025279</v>
      </c>
      <c r="I48" s="63">
        <f>H48+I47</f>
        <v>-364272.2472948411</v>
      </c>
      <c r="J48" s="63">
        <f>I48+J47</f>
        <v>-265299.46721346996</v>
      </c>
      <c r="K48" s="63">
        <f>J48+K47</f>
        <v>-68144.7413002082</v>
      </c>
      <c r="L48" s="63">
        <f>K48+L47</f>
        <v>-246285.30570464017</v>
      </c>
      <c r="M48" s="63">
        <f>L48+M47</f>
        <v>-605354.337647161</v>
      </c>
      <c r="N48" s="63">
        <f>M48+N47</f>
        <v>-704844.1375735805</v>
      </c>
      <c r="O48" s="63">
        <f>N48+O47</f>
        <v>-643755.1053713644</v>
      </c>
      <c r="P48" s="63">
        <f>O48+P47</f>
        <v>-429448.7753635737</v>
      </c>
      <c r="Q48" s="63">
        <f>P48+Q47</f>
        <v>-298661.7796052636</v>
      </c>
      <c r="R48" s="63">
        <f>Q48+R47</f>
        <v>-399244.43574705726</v>
      </c>
      <c r="S48" s="63">
        <f>R48+S47</f>
        <v>-577742.6233552636</v>
      </c>
      <c r="T48" s="63">
        <f>S48+T47</f>
        <v>-634076.425402528</v>
      </c>
      <c r="U48" s="63">
        <f>T48+U47</f>
        <v>-683236.2472948412</v>
      </c>
      <c r="V48" s="63">
        <f>U48+V47</f>
        <v>-593113.46721347</v>
      </c>
      <c r="W48" s="63">
        <f>V48+W47</f>
        <v>-435358.74130020826</v>
      </c>
      <c r="X48" s="63">
        <f>W48+X47</f>
        <v>-532899.3057046402</v>
      </c>
      <c r="Y48" s="63">
        <f>X48+Y47</f>
        <v>-899768.337647161</v>
      </c>
      <c r="Z48" s="63">
        <f>Y48+Z47</f>
        <v>-998658.1375735805</v>
      </c>
      <c r="AA48" s="63">
        <f>Z48+AA47</f>
        <v>-936969.1053713644</v>
      </c>
    </row>
    <row r="51" ht="18" customHeight="1">
      <c r="B51" s="13" t="inlineStr">
        <is>
          <t>VERGELIJKING SCENARIO'S</t>
        </is>
      </c>
    </row>
    <row r="52">
      <c r="B52" s="69" t="inlineStr">
        <is>
          <t>KPI</t>
        </is>
      </c>
      <c r="C52" s="69" t="inlineStr">
        <is>
          <t>Base</t>
        </is>
      </c>
      <c r="D52" s="69" t="inlineStr">
        <is>
          <t>Best</t>
        </is>
      </c>
      <c r="E52" s="69" t="inlineStr">
        <is>
          <t>Worst</t>
        </is>
      </c>
    </row>
    <row r="53">
      <c r="B53" s="17" t="inlineStr">
        <is>
          <t>Minimale liquiditeit</t>
        </is>
      </c>
      <c r="C53" s="70">
        <f>MIN(D20:AA20)</f>
        <v>76529.96537396125</v>
      </c>
      <c r="D53" s="70">
        <f>MIN(D34:AA34)</f>
        <v>132136.20563538786</v>
      </c>
      <c r="E53" s="70">
        <f>MIN(D48:AA48)</f>
        <v>-998658.1375735805</v>
      </c>
    </row>
    <row r="54">
      <c r="B54" s="17" t="inlineStr">
        <is>
          <t>Max. financieringsbehoefte</t>
        </is>
      </c>
      <c r="C54" s="70">
        <f>MAX(0,s_buffer-MIN(D20:AA20))</f>
        <v>23470.034626038745</v>
      </c>
      <c r="D54" s="70">
        <f>MAX(0,s_buffer-MIN(D34:AA34))</f>
        <v>0</v>
      </c>
      <c r="E54" s="70">
        <f>MAX(0,s_buffer-MIN(D48:AA48))</f>
        <v>1098658.1375735805</v>
      </c>
    </row>
    <row r="55">
      <c r="B55" s="17" t="inlineStr">
        <is>
          <t>Eindliquiditeit (maand 24)</t>
        </is>
      </c>
      <c r="C55" s="70">
        <f>AA20</f>
        <v>233935.61080332403</v>
      </c>
      <c r="D55" s="70">
        <f>AA34</f>
        <v>1092122.5724766282</v>
      </c>
      <c r="E55" s="70">
        <f>AA48</f>
        <v>-936969.1053713644</v>
      </c>
    </row>
  </sheetData>
  <mergeCells count="6">
    <mergeCell ref="B22:AA22"/>
    <mergeCell ref="B36:AA36"/>
    <mergeCell ref="B8:AA8"/>
    <mergeCell ref="B2:AA2"/>
    <mergeCell ref="B51:H51"/>
    <mergeCell ref="B3:AA3"/>
  </mergeCells>
  <conditionalFormatting sqref="D20:AA20">
    <cfRule type="cellIs" priority="1" operator="lessThan" dxfId="0">
      <formula>s_buffer</formula>
    </cfRule>
  </conditionalFormatting>
  <conditionalFormatting sqref="D34:AA34">
    <cfRule type="cellIs" priority="2" operator="lessThan" dxfId="0">
      <formula>s_buffer</formula>
    </cfRule>
  </conditionalFormatting>
  <conditionalFormatting sqref="D48:AA48">
    <cfRule type="cellIs" priority="3" operator="lessThan" dxfId="0">
      <formula>s_buffer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8080"/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4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6" customHeight="1">
      <c r="B2" s="1" t="inlineStr">
        <is>
          <t>IMPORT - EXACT ONLINE / EXCEL / CSV</t>
        </is>
      </c>
    </row>
    <row r="3" ht="15" customHeight="1">
      <c r="B3" s="2" t="inlineStr">
        <is>
          <t>14 Import   ·   Plak hier een grootboekexport · mappingtabel brengt data naar modelcategorieën</t>
        </is>
      </c>
    </row>
    <row r="5" ht="18" customHeight="1">
      <c r="B5" s="16" t="inlineStr">
        <is>
          <t>EXACT ONLINE IMPORT-TEMPLATE  (plak export vanaf rij 8)</t>
        </is>
      </c>
    </row>
    <row r="7">
      <c r="B7" s="24" t="inlineStr">
        <is>
          <t>Datum</t>
        </is>
      </c>
      <c r="C7" s="24" t="inlineStr">
        <is>
          <t>Grootboekrekening</t>
        </is>
      </c>
      <c r="D7" s="24" t="inlineStr">
        <is>
          <t>Omschrijving</t>
        </is>
      </c>
      <c r="E7" s="24" t="inlineStr">
        <is>
          <t>Bedrag</t>
        </is>
      </c>
      <c r="F7" s="24" t="inlineStr">
        <is>
          <t>Debet/Credit</t>
        </is>
      </c>
      <c r="G7" s="24" t="inlineStr">
        <is>
          <t>Categorie</t>
        </is>
      </c>
      <c r="H7" s="24" t="inlineStr">
        <is>
          <t>Periode</t>
        </is>
      </c>
    </row>
    <row r="8">
      <c r="B8" s="71" t="inlineStr">
        <is>
          <t>2026-01-05</t>
        </is>
      </c>
      <c r="C8" s="71" t="inlineStr">
        <is>
          <t>8000 Omzet handel</t>
        </is>
      </c>
      <c r="D8" s="71" t="inlineStr">
        <is>
          <t>Verkoop klant A</t>
        </is>
      </c>
      <c r="E8" s="72" t="inlineStr">
        <is>
          <t>125000</t>
        </is>
      </c>
      <c r="F8" s="72" t="inlineStr">
        <is>
          <t>C</t>
        </is>
      </c>
      <c r="G8" s="71" t="inlineStr">
        <is>
          <t>Omzet</t>
        </is>
      </c>
      <c r="H8" s="71" t="inlineStr">
        <is>
          <t>2026-01</t>
        </is>
      </c>
    </row>
    <row r="9">
      <c r="B9" s="71" t="inlineStr">
        <is>
          <t>2026-01-08</t>
        </is>
      </c>
      <c r="C9" s="71" t="inlineStr">
        <is>
          <t>7000 Inkoopwaarde</t>
        </is>
      </c>
      <c r="D9" s="71" t="inlineStr">
        <is>
          <t>Inkoop leverancier X</t>
        </is>
      </c>
      <c r="E9" s="72" t="inlineStr">
        <is>
          <t>-82000</t>
        </is>
      </c>
      <c r="F9" s="72" t="inlineStr">
        <is>
          <t>D</t>
        </is>
      </c>
      <c r="G9" s="71" t="inlineStr">
        <is>
          <t>Inkoop</t>
        </is>
      </c>
      <c r="H9" s="71" t="inlineStr">
        <is>
          <t>2026-01</t>
        </is>
      </c>
    </row>
    <row r="10">
      <c r="B10" s="71" t="inlineStr">
        <is>
          <t>2026-01-25</t>
        </is>
      </c>
      <c r="C10" s="71" t="inlineStr">
        <is>
          <t>4000 Lonen</t>
        </is>
      </c>
      <c r="D10" s="71" t="inlineStr">
        <is>
          <t>Salarissen januari</t>
        </is>
      </c>
      <c r="E10" s="72" t="inlineStr">
        <is>
          <t>-52000</t>
        </is>
      </c>
      <c r="F10" s="72" t="inlineStr">
        <is>
          <t>D</t>
        </is>
      </c>
      <c r="G10" s="71" t="inlineStr">
        <is>
          <t>Personeel</t>
        </is>
      </c>
      <c r="H10" s="71" t="inlineStr">
        <is>
          <t>2026-01</t>
        </is>
      </c>
    </row>
    <row r="13" ht="18" customHeight="1">
      <c r="B13" s="56" t="inlineStr">
        <is>
          <t>MAPPINGTABEL  (koppel grootboek/categorie -&gt; modelcategorie -&gt; kasstroom)</t>
        </is>
      </c>
    </row>
    <row r="14">
      <c r="B14" s="24" t="inlineStr">
        <is>
          <t>Bronrekening / categorie</t>
        </is>
      </c>
      <c r="C14" s="24" t="inlineStr">
        <is>
          <t>Modelcategorie</t>
        </is>
      </c>
      <c r="D14" s="24" t="inlineStr">
        <is>
          <t>Cashflowcategorie</t>
        </is>
      </c>
    </row>
    <row r="15">
      <c r="B15" s="61" t="inlineStr">
        <is>
          <t>8000 Omzet handel</t>
        </is>
      </c>
      <c r="C15" s="73" t="inlineStr">
        <is>
          <t>Omzet</t>
        </is>
      </c>
      <c r="D15" s="73" t="inlineStr">
        <is>
          <t>Ontvangsten klanten</t>
        </is>
      </c>
    </row>
    <row r="16">
      <c r="B16" s="61" t="inlineStr">
        <is>
          <t>7000 Inkoopwaarde</t>
        </is>
      </c>
      <c r="C16" s="73" t="inlineStr">
        <is>
          <t>Inkoop</t>
        </is>
      </c>
      <c r="D16" s="73" t="inlineStr">
        <is>
          <t>Betalingen leveranciers</t>
        </is>
      </c>
    </row>
    <row r="17">
      <c r="B17" s="61" t="inlineStr">
        <is>
          <t>4000 Lonen</t>
        </is>
      </c>
      <c r="C17" s="73" t="inlineStr">
        <is>
          <t>Personeel</t>
        </is>
      </c>
      <c r="D17" s="73" t="inlineStr">
        <is>
          <t>Personeel</t>
        </is>
      </c>
    </row>
    <row r="18">
      <c r="B18" s="61" t="inlineStr">
        <is>
          <t>4300 Huisvesting</t>
        </is>
      </c>
      <c r="C18" s="73" t="inlineStr">
        <is>
          <t>Huisvesting</t>
        </is>
      </c>
      <c r="D18" s="73" t="inlineStr">
        <is>
          <t>Overige kosten</t>
        </is>
      </c>
    </row>
    <row r="19">
      <c r="B19" s="61" t="inlineStr">
        <is>
          <t>4400 Transport</t>
        </is>
      </c>
      <c r="C19" s="73" t="inlineStr">
        <is>
          <t>Transport</t>
        </is>
      </c>
      <c r="D19" s="73" t="inlineStr">
        <is>
          <t>Overige kosten</t>
        </is>
      </c>
    </row>
    <row r="20">
      <c r="B20" s="61" t="inlineStr">
        <is>
          <t>4800 Overige kosten</t>
        </is>
      </c>
      <c r="C20" s="73" t="inlineStr">
        <is>
          <t>Overige kosten</t>
        </is>
      </c>
      <c r="D20" s="73" t="inlineStr">
        <is>
          <t>Overige kosten</t>
        </is>
      </c>
    </row>
    <row r="21">
      <c r="B21" s="61" t="inlineStr">
        <is>
          <t>1300 Debiteuren</t>
        </is>
      </c>
      <c r="C21" s="73" t="inlineStr">
        <is>
          <t>Debiteuren</t>
        </is>
      </c>
      <c r="D21" s="73" t="inlineStr">
        <is>
          <t>Werkkapitaal</t>
        </is>
      </c>
    </row>
    <row r="22">
      <c r="B22" s="61" t="inlineStr">
        <is>
          <t>3000 Voorraad</t>
        </is>
      </c>
      <c r="C22" s="73" t="inlineStr">
        <is>
          <t>Voorraad</t>
        </is>
      </c>
      <c r="D22" s="73" t="inlineStr">
        <is>
          <t>Werkkapitaal</t>
        </is>
      </c>
    </row>
    <row r="23">
      <c r="B23" s="61" t="inlineStr">
        <is>
          <t>1600 Crediteuren</t>
        </is>
      </c>
      <c r="C23" s="73" t="inlineStr">
        <is>
          <t>Crediteuren</t>
        </is>
      </c>
      <c r="D23" s="73" t="inlineStr">
        <is>
          <t>Werkkapitaal</t>
        </is>
      </c>
    </row>
    <row r="24">
      <c r="B24" s="61" t="inlineStr">
        <is>
          <t>1520 BTW</t>
        </is>
      </c>
      <c r="C24" s="73" t="inlineStr">
        <is>
          <t>Belastingen</t>
        </is>
      </c>
      <c r="D24" s="73" t="inlineStr">
        <is>
          <t>BTW</t>
        </is>
      </c>
    </row>
    <row r="25">
      <c r="B25" s="61" t="inlineStr">
        <is>
          <t>0700 Materiële vaste activa</t>
        </is>
      </c>
      <c r="C25" s="73" t="inlineStr">
        <is>
          <t>Investeringen</t>
        </is>
      </c>
      <c r="D25" s="73" t="inlineStr">
        <is>
          <t>Investeringen</t>
        </is>
      </c>
    </row>
    <row r="26">
      <c r="B26" s="61" t="inlineStr">
        <is>
          <t>0800 Leningen o/g</t>
        </is>
      </c>
      <c r="C26" s="73" t="inlineStr">
        <is>
          <t>Financiering</t>
        </is>
      </c>
      <c r="D26" s="73" t="inlineStr">
        <is>
          <t>Financiering</t>
        </is>
      </c>
    </row>
    <row r="29">
      <c r="B29" s="52" t="inlineStr">
        <is>
          <t>Power Query-route (aanbevolen voor herhaalde import):</t>
        </is>
      </c>
    </row>
    <row r="30">
      <c r="B30" s="17" t="inlineStr">
        <is>
          <t>1. Data &gt; Gegevens ophalen &gt; Uit bestand (CSV/Excel-export uit Exact Online).</t>
        </is>
      </c>
    </row>
    <row r="31">
      <c r="B31" s="17" t="inlineStr">
        <is>
          <t>2. Koppel de query aan deze mappingtabel (Samenvoegen op Bronrekening).</t>
        </is>
      </c>
    </row>
    <row r="32">
      <c r="B32" s="17" t="inlineStr">
        <is>
          <t>3. Groepeer per Modelcategorie en Periode; laad naar het model.</t>
        </is>
      </c>
    </row>
    <row r="33">
      <c r="B33" s="17" t="inlineStr">
        <is>
          <t>4. Vernieuwen (Ctrl+Alt+F5) actualiseert historie en startposities.</t>
        </is>
      </c>
    </row>
  </sheetData>
  <mergeCells count="4">
    <mergeCell ref="B13:H13"/>
    <mergeCell ref="B5:H5"/>
    <mergeCell ref="B3:J3"/>
    <mergeCell ref="B2:J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BF8F00"/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2" ht="26" customHeight="1">
      <c r="B2" s="1" t="inlineStr">
        <is>
          <t>CONTROLEBLAD - MODELINTEGRITEIT</t>
        </is>
      </c>
    </row>
    <row r="3" ht="15" customHeight="1">
      <c r="B3" s="2" t="inlineStr">
        <is>
          <t>15 Controle   ·   Automatische controles · status MODEL OK / ACTIE VEREIST</t>
        </is>
      </c>
    </row>
    <row r="5" ht="18" customHeight="1">
      <c r="B5" s="16" t="inlineStr">
        <is>
          <t>CONTROLES</t>
        </is>
      </c>
    </row>
    <row r="6">
      <c r="B6" s="24" t="inlineStr">
        <is>
          <t>#</t>
        </is>
      </c>
      <c r="C6" s="24" t="inlineStr">
        <is>
          <t>Controle</t>
        </is>
      </c>
      <c r="D6" s="24" t="inlineStr">
        <is>
          <t>Uitkomst</t>
        </is>
      </c>
      <c r="E6" s="24" t="inlineStr">
        <is>
          <t>Norm</t>
        </is>
      </c>
      <c r="F6" s="24" t="inlineStr">
        <is>
          <t>Status</t>
        </is>
      </c>
    </row>
    <row r="7">
      <c r="B7" s="74" t="n">
        <v>1</v>
      </c>
      <c r="C7" s="61" t="inlineStr">
        <is>
          <t>Seizoensgewicht jaar 1 = 100%</t>
        </is>
      </c>
      <c r="D7" s="75">
        <f>'04 Input prognose'!$D$13</f>
        <v>0.9999999999999999</v>
      </c>
      <c r="E7" s="76">
        <f> 100%</f>
        <v>1.0</v>
      </c>
      <c r="F7" s="77" t="str">
        <f>IF(ROUND(D7,4)=1,"OK","FOUT")</f>
        <v>OK</v>
      </c>
    </row>
    <row r="8">
      <c r="B8" s="74" t="n">
        <v>2</v>
      </c>
      <c r="C8" s="61" t="inlineStr">
        <is>
          <t>Seizoensgewicht jaar 2 = 100%</t>
        </is>
      </c>
      <c r="D8" s="75">
        <f>'04 Input prognose'!$D$14</f>
        <v>0.9999999999999999</v>
      </c>
      <c r="E8" s="76">
        <f> 100%</f>
        <v>1.0</v>
      </c>
      <c r="F8" s="77" t="str">
        <f>IF(ROUND(D8,4)=1,"OK","FOUT")</f>
        <v>OK</v>
      </c>
    </row>
    <row r="9">
      <c r="B9" s="74" t="n">
        <v>3</v>
      </c>
      <c r="C9" s="61" t="inlineStr">
        <is>
          <t>Begin + netto = eind (maand 12)</t>
        </is>
      </c>
      <c r="D9" s="78">
        <f>'12 Liquiditeitsprognose'!P8+'12 Liquiditeitsprognose'!P24-'12 Liquiditeitsprognose'!P25</f>
        <v>0.0</v>
      </c>
      <c r="E9" s="76">
        <f> 0</f>
        <v>0</v>
      </c>
      <c r="F9" s="77" t="str">
        <f>IF(ROUND(D9,0)=0,"OK","FOUT")</f>
        <v>OK</v>
      </c>
    </row>
    <row r="10">
      <c r="B10" s="74" t="n">
        <v>4</v>
      </c>
      <c r="C10" s="61" t="inlineStr">
        <is>
          <t>Geen negatieve voorraad</t>
        </is>
      </c>
      <c r="D10" s="78">
        <f>MIN('06 Werkkapitaal'!$D$10:$AA$10)</f>
        <v>390789.47368421056</v>
      </c>
      <c r="E10" s="76" t="inlineStr">
        <is>
          <t>&gt;= 0</t>
        </is>
      </c>
      <c r="F10" s="77" t="str">
        <f>IF(D10&gt;=0,"OK","LET OP")</f>
        <v>OK</v>
      </c>
    </row>
    <row r="11">
      <c r="B11" s="74" t="n">
        <v>5</v>
      </c>
      <c r="C11" s="61" t="inlineStr">
        <is>
          <t>Leningstand niet negatief</t>
        </is>
      </c>
      <c r="D11" s="78">
        <f>MIN('10 Financiering'!$D$13:$AA$13)</f>
        <v>660000.0</v>
      </c>
      <c r="E11" s="76" t="inlineStr">
        <is>
          <t>&gt;= 0</t>
        </is>
      </c>
      <c r="F11" s="77" t="str">
        <f>IF(D11&gt;=0,"OK","FOUT")</f>
        <v>OK</v>
      </c>
    </row>
    <row r="12">
      <c r="B12" s="74" t="n">
        <v>6</v>
      </c>
      <c r="C12" s="61" t="inlineStr">
        <is>
          <t>Openingssaldo bank ingevuld</t>
        </is>
      </c>
      <c r="D12" s="78">
        <f>s_bank0</f>
        <v>300000</v>
      </c>
      <c r="E12" s="76" t="inlineStr">
        <is>
          <t>&gt; 0</t>
        </is>
      </c>
      <c r="F12" s="77" t="str">
        <f>IF(D12&gt;0,"OK","LET OP")</f>
        <v>OK</v>
      </c>
    </row>
    <row r="13">
      <c r="B13" s="74" t="n">
        <v>7</v>
      </c>
      <c r="C13" s="61" t="inlineStr">
        <is>
          <t>Startdatum ingevuld</t>
        </is>
      </c>
      <c r="D13" s="79">
        <f>IF(s_start&gt;0,1,0)</f>
        <v>1</v>
      </c>
      <c r="E13" s="76" t="inlineStr">
        <is>
          <t>ingevuld</t>
        </is>
      </c>
      <c r="F13" s="77" t="str">
        <f>IF(D13=1,"OK","FOUT")</f>
        <v>OK</v>
      </c>
    </row>
    <row r="14">
      <c r="B14" s="74" t="n">
        <v>8</v>
      </c>
      <c r="C14" s="61" t="inlineStr">
        <is>
          <t>Actief scenario geldig</t>
        </is>
      </c>
      <c r="D14" s="79">
        <f>IF(OR(s_scenario="Base",s_scenario="Best",s_scenario="Worst",s_scenario="Custom"),1,0)</f>
        <v>1</v>
      </c>
      <c r="E14" s="76" t="inlineStr">
        <is>
          <t>geldig</t>
        </is>
      </c>
      <c r="F14" s="77" t="str">
        <f>IF(D14=1,"OK","FOUT")</f>
        <v>OK</v>
      </c>
    </row>
    <row r="15">
      <c r="B15" s="74" t="n">
        <v>9</v>
      </c>
      <c r="C15" s="61" t="inlineStr">
        <is>
          <t>Buffer &gt; 0</t>
        </is>
      </c>
      <c r="D15" s="78">
        <f>s_buffer</f>
        <v>100000</v>
      </c>
      <c r="E15" s="76" t="inlineStr">
        <is>
          <t>&gt; 0</t>
        </is>
      </c>
      <c r="F15" s="77" t="str">
        <f>IF(D15&gt;0,"OK","LET OP")</f>
        <v>OK</v>
      </c>
    </row>
    <row r="16">
      <c r="B16" s="74" t="n">
        <v>10</v>
      </c>
      <c r="C16" s="61" t="inlineStr">
        <is>
          <t>Alle scenario's rekenen door (min eind)</t>
        </is>
      </c>
      <c r="D16" s="78">
        <f>MIN('13 Scenarioanalyse'!$D$48:$AA$48)</f>
        <v>-998658.1375735805</v>
      </c>
      <c r="E16" s="76" t="inlineStr">
        <is>
          <t>getal</t>
        </is>
      </c>
      <c r="F16" s="77" t="str">
        <f>IF(ISNUMBER(D16),"OK","FOUT")</f>
        <v>OK</v>
      </c>
    </row>
    <row r="18" ht="24" customHeight="1">
      <c r="B18" s="80" t="str">
        <f>IF(COUNTIF(F7:F16,"FOUT")&gt;0,"⛔ ACTIE VEREIST - zie FOUT-regels",IF(COUNTIF(F7:F16,"LET OP")&gt;0,"⚠ LET OP - controleer aandachtspunten","✅ MODEL OK - alle controles geslaagd"))</f>
        <v>✅ MODEL OK - alle controles geslaagd</v>
      </c>
    </row>
  </sheetData>
  <mergeCells count="4">
    <mergeCell ref="B5:G5"/>
    <mergeCell ref="B3:H3"/>
    <mergeCell ref="B2:H2"/>
    <mergeCell ref="B18:F18"/>
  </mergeCells>
  <conditionalFormatting sqref="F7">
    <cfRule type="cellIs" priority="1" operator="equal" dxfId="2">
      <formula>"OK"</formula>
    </cfRule>
    <cfRule type="cellIs" priority="2" operator="equal" dxfId="1">
      <formula>"FOUT"</formula>
    </cfRule>
    <cfRule type="cellIs" priority="3" operator="equal" dxfId="3">
      <formula>"LET OP"</formula>
    </cfRule>
  </conditionalFormatting>
  <conditionalFormatting sqref="F8">
    <cfRule type="cellIs" priority="4" operator="equal" dxfId="2">
      <formula>"OK"</formula>
    </cfRule>
    <cfRule type="cellIs" priority="5" operator="equal" dxfId="1">
      <formula>"FOUT"</formula>
    </cfRule>
    <cfRule type="cellIs" priority="6" operator="equal" dxfId="3">
      <formula>"LET OP"</formula>
    </cfRule>
  </conditionalFormatting>
  <conditionalFormatting sqref="F9">
    <cfRule type="cellIs" priority="7" operator="equal" dxfId="2">
      <formula>"OK"</formula>
    </cfRule>
    <cfRule type="cellIs" priority="8" operator="equal" dxfId="1">
      <formula>"FOUT"</formula>
    </cfRule>
    <cfRule type="cellIs" priority="9" operator="equal" dxfId="3">
      <formula>"LET OP"</formula>
    </cfRule>
  </conditionalFormatting>
  <conditionalFormatting sqref="F10">
    <cfRule type="cellIs" priority="10" operator="equal" dxfId="2">
      <formula>"OK"</formula>
    </cfRule>
    <cfRule type="cellIs" priority="11" operator="equal" dxfId="1">
      <formula>"FOUT"</formula>
    </cfRule>
    <cfRule type="cellIs" priority="12" operator="equal" dxfId="3">
      <formula>"LET OP"</formula>
    </cfRule>
  </conditionalFormatting>
  <conditionalFormatting sqref="F11">
    <cfRule type="cellIs" priority="13" operator="equal" dxfId="2">
      <formula>"OK"</formula>
    </cfRule>
    <cfRule type="cellIs" priority="14" operator="equal" dxfId="1">
      <formula>"FOUT"</formula>
    </cfRule>
    <cfRule type="cellIs" priority="15" operator="equal" dxfId="3">
      <formula>"LET OP"</formula>
    </cfRule>
  </conditionalFormatting>
  <conditionalFormatting sqref="F12">
    <cfRule type="cellIs" priority="16" operator="equal" dxfId="2">
      <formula>"OK"</formula>
    </cfRule>
    <cfRule type="cellIs" priority="17" operator="equal" dxfId="1">
      <formula>"FOUT"</formula>
    </cfRule>
    <cfRule type="cellIs" priority="18" operator="equal" dxfId="3">
      <formula>"LET OP"</formula>
    </cfRule>
  </conditionalFormatting>
  <conditionalFormatting sqref="F13">
    <cfRule type="cellIs" priority="19" operator="equal" dxfId="2">
      <formula>"OK"</formula>
    </cfRule>
    <cfRule type="cellIs" priority="20" operator="equal" dxfId="1">
      <formula>"FOUT"</formula>
    </cfRule>
    <cfRule type="cellIs" priority="21" operator="equal" dxfId="3">
      <formula>"LET OP"</formula>
    </cfRule>
  </conditionalFormatting>
  <conditionalFormatting sqref="F14">
    <cfRule type="cellIs" priority="22" operator="equal" dxfId="2">
      <formula>"OK"</formula>
    </cfRule>
    <cfRule type="cellIs" priority="23" operator="equal" dxfId="1">
      <formula>"FOUT"</formula>
    </cfRule>
    <cfRule type="cellIs" priority="24" operator="equal" dxfId="3">
      <formula>"LET OP"</formula>
    </cfRule>
  </conditionalFormatting>
  <conditionalFormatting sqref="F15">
    <cfRule type="cellIs" priority="25" operator="equal" dxfId="2">
      <formula>"OK"</formula>
    </cfRule>
    <cfRule type="cellIs" priority="26" operator="equal" dxfId="1">
      <formula>"FOUT"</formula>
    </cfRule>
    <cfRule type="cellIs" priority="27" operator="equal" dxfId="3">
      <formula>"LET OP"</formula>
    </cfRule>
  </conditionalFormatting>
  <conditionalFormatting sqref="F16">
    <cfRule type="cellIs" priority="28" operator="equal" dxfId="2">
      <formula>"OK"</formula>
    </cfRule>
    <cfRule type="cellIs" priority="29" operator="equal" dxfId="1">
      <formula>"FOUT"</formula>
    </cfRule>
    <cfRule type="cellIs" priority="30" operator="equal" dxfId="3">
      <formula>"LET OP"</formula>
    </cfRule>
  </conditionalFormatting>
  <conditionalFormatting sqref="B18">
    <cfRule type="expression" priority="31" dxfId="4">
      <formula>COUNTIF(F7:F16,"FOUT")&gt;0</formula>
    </cfRule>
    <cfRule type="expression" priority="32" dxfId="5">
      <formula>AND(COUNTIF(F7:F16,"FOUT")=0,COUNTIF(F7:F16,"LET OP")&gt;0)</formula>
    </cfRule>
    <cfRule type="expression" priority="33" dxfId="6">
      <formula>COUNTIF(F7:F16,"FOUT")+COUNTIF(F7:F16,"LET OP")=0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120" customWidth="1" min="3" max="3"/>
  </cols>
  <sheetData>
    <row r="2" ht="26" customHeight="1">
      <c r="B2" s="1" t="inlineStr">
        <is>
          <t>TOELICHTING VOOR GEBRUIKER &amp; ACCOUNTANT</t>
        </is>
      </c>
    </row>
    <row r="3" ht="15" customHeight="1">
      <c r="B3" s="2" t="inlineStr">
        <is>
          <t>16 Toelichting   ·   Werking, aannames, methodiek en leeswijzer</t>
        </is>
      </c>
    </row>
    <row r="6">
      <c r="C6" s="81" t="inlineStr">
        <is>
          <t>KLEURCODERING</t>
        </is>
      </c>
    </row>
    <row r="7">
      <c r="C7" s="82" t="inlineStr">
        <is>
          <t>• Geel = invoercel (handmatig). • Blauw getal = invoer. • Groen getal = link naar ander tabblad. • Zwart = berekening. • Donkergroen = belangrijke output.</t>
        </is>
      </c>
    </row>
    <row r="8">
      <c r="C8" s="82" t="inlineStr"/>
    </row>
    <row r="9">
      <c r="C9" s="81" t="inlineStr">
        <is>
          <t>LAAGSTRUCTUUR (geen black box)</t>
        </is>
      </c>
    </row>
    <row r="10">
      <c r="C10" s="82" t="inlineStr">
        <is>
          <t>INPUT (02 Instellingen, 03 Historie, 04 Input, 07-11 aannames) -&gt; BEREKENING (05 Omzet, 06 Werkkapitaal, 12 Liquiditeit) -&gt; OUTPUT (01 Dashboard, 13 Scenario).</t>
        </is>
      </c>
    </row>
    <row r="11">
      <c r="C11" s="82" t="inlineStr">
        <is>
          <t>Elke prognose is herleidbaar: elk bedrag verwijst via zichtbare formules naar een invoercel of aanname. Er is geen verborgen logica of VBA.</t>
        </is>
      </c>
    </row>
    <row r="12">
      <c r="C12" s="82" t="inlineStr"/>
    </row>
    <row r="13">
      <c r="C13" s="81" t="inlineStr">
        <is>
          <t>METHODIEK WERKKAPITAAL (kern)</t>
        </is>
      </c>
    </row>
    <row r="14">
      <c r="C14" s="82" t="inlineStr">
        <is>
          <t>Voorraad, debiteuren en crediteuren worden gemodelleerd als STREEFSALDI op basis van dagen (DSO/DPO/DIO):</t>
        </is>
      </c>
    </row>
    <row r="15">
      <c r="C15" s="82" t="inlineStr">
        <is>
          <t xml:space="preserve">   Voorraad(maand)   = DIO / 30,4 × inkoopwaarde omzet van die maand</t>
        </is>
      </c>
    </row>
    <row r="16">
      <c r="C16" s="82" t="inlineStr">
        <is>
          <t xml:space="preserve">   Debiteuren(maand) = DSO / 30,4 × omzet incl. BTW van die maand</t>
        </is>
      </c>
    </row>
    <row r="17">
      <c r="C17" s="82" t="inlineStr">
        <is>
          <t xml:space="preserve">   Crediteuren(maand)= DPO / 30,4 × inkopen incl. BTW van die maand</t>
        </is>
      </c>
    </row>
    <row r="18">
      <c r="C18" s="82" t="inlineStr">
        <is>
          <t>Ontvangsten = beginstand debiteuren + facturatie − eindstand debiteuren. Betalingen leveranciers analoog. Zo vertaalt een langere DSO zich direct in een lagere kasontvangst en hogere financieringsbehoefte.</t>
        </is>
      </c>
    </row>
    <row r="19">
      <c r="C19" s="82" t="inlineStr">
        <is>
          <t>Inkopen = inkoopwaarde omzet + toename voorraad (voorraadopbouw kost dus extra cash).</t>
        </is>
      </c>
    </row>
    <row r="20">
      <c r="C20" s="82" t="inlineStr">
        <is>
          <t>30,4 = 365/12 (dagen per maand), instelbaar op 02 Instellingen.</t>
        </is>
      </c>
    </row>
    <row r="21">
      <c r="C21" s="82" t="inlineStr"/>
    </row>
    <row r="22">
      <c r="C22" s="81" t="inlineStr">
        <is>
          <t>SCENARIO'S</t>
        </is>
      </c>
    </row>
    <row r="23">
      <c r="C23" s="82" t="inlineStr">
        <is>
          <t>De scenariomatrix (02 Instellingen) kent Base/Best/Worst/Custom. 'Actief scenario' stuurt het hele model aan via INDEX/MATCH. Tab 13 toont Base/Best/Worst naast elkaar; de niet-omzetgebonden kaslijnen worden daarbij op het actieve model gehouden (transparant vermeld).</t>
        </is>
      </c>
    </row>
    <row r="24">
      <c r="C24" s="82" t="inlineStr"/>
    </row>
    <row r="25">
      <c r="C25" s="81" t="inlineStr">
        <is>
          <t>BTW &amp; BELASTINGEN</t>
        </is>
      </c>
    </row>
    <row r="26">
      <c r="C26" s="82" t="inlineStr">
        <is>
          <t>BTW-afdracht op aangiftebasis (kwartaal of maand, instelbaar). Loonheffing en VPB vereenvoudigd voor liquiditeitsplanning — dit is GEEN fiscale aangifteberekening.</t>
        </is>
      </c>
    </row>
    <row r="27">
      <c r="C27" s="82" t="inlineStr"/>
    </row>
    <row r="28">
      <c r="C28" s="81" t="inlineStr">
        <is>
          <t>BELANGRIJKSTE AANNAMES (fictief handelsbedrijf)</t>
        </is>
      </c>
    </row>
    <row r="29">
      <c r="C29" s="82" t="inlineStr">
        <is>
          <t>Jaaromzet € 5 mln · brutomarge 28% · voorraad € 750k · debiteuren € 600k · crediteuren € 500k · personeelskosten ± € 700k · banklening € 900k · RC-limiet € 500k · openingssaldo bank € 300k.</t>
        </is>
      </c>
    </row>
    <row r="30">
      <c r="C30" s="82" t="inlineStr"/>
    </row>
    <row r="31">
      <c r="C31" s="81" t="inlineStr">
        <is>
          <t>GEBRUIK MET KLANTDATA</t>
        </is>
      </c>
    </row>
    <row r="32">
      <c r="C32" s="82" t="inlineStr">
        <is>
          <t>Vervang de gele invoercellen en de startposities (03 Historie) door klantcijfers, of gebruik tab 14 Import (Exact Online-export + mapping / Power Query). Het model rekent maximaal 24 maanden vooruit.</t>
        </is>
      </c>
    </row>
    <row r="33">
      <c r="C33" s="82" t="inlineStr"/>
    </row>
    <row r="34">
      <c r="C34" s="81" t="inlineStr">
        <is>
          <t>DISCLAIMER</t>
        </is>
      </c>
    </row>
    <row r="35">
      <c r="C35" s="82" t="inlineStr">
        <is>
          <t>Prognosemodel op basis van aannames; werkelijke uitkomsten wijken af. Bedoeld als adviesinstrument voor het klantgesprek, niet als jaarrekening of fiscale aangifte.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6" customWidth="1" min="3" max="3"/>
    <col width="110" customWidth="1" min="4" max="4"/>
  </cols>
  <sheetData>
    <row r="2" ht="26" customHeight="1">
      <c r="B2" s="1" t="inlineStr">
        <is>
          <t>COPILOT IN EXCEL - KANT-EN-KLARE PROMPTS</t>
        </is>
      </c>
    </row>
    <row r="3" ht="15" customHeight="1">
      <c r="B3" s="2" t="inlineStr">
        <is>
          <t>17 Copilot Prompts   ·   Kopieer een prompt naar Copilot voor directe analyse van het model</t>
        </is>
      </c>
    </row>
    <row r="5" ht="18" customHeight="1">
      <c r="C5" s="16" t="inlineStr">
        <is>
          <t>PROMPTS</t>
        </is>
      </c>
    </row>
    <row r="6" ht="28" customHeight="1">
      <c r="C6" s="83" t="n">
        <v>1</v>
      </c>
      <c r="D6" s="82" t="inlineStr">
        <is>
          <t>Analyseer de liquiditeitsprognose en benoem de drie belangrijkste oorzaken van de verwachte financieringsbehoefte.</t>
        </is>
      </c>
    </row>
    <row r="7" ht="28" customHeight="1">
      <c r="C7" s="83" t="n">
        <v>2</v>
      </c>
      <c r="D7" s="82" t="inlineStr">
        <is>
          <t>Welke maanden hebben een eindliquiditeit onder de minimale buffer? Zet ze op een rij met het tekort.</t>
        </is>
      </c>
    </row>
    <row r="8" ht="28" customHeight="1">
      <c r="C8" s="83" t="n">
        <v>3</v>
      </c>
      <c r="D8" s="82" t="inlineStr">
        <is>
          <t>Wat gebeurt er met de liquiditeit als de debiteurentermijn (DSO) met 15 dagen toeneemt?</t>
        </is>
      </c>
    </row>
    <row r="9" ht="28" customHeight="1">
      <c r="C9" s="83" t="n">
        <v>4</v>
      </c>
      <c r="D9" s="82" t="inlineStr">
        <is>
          <t>Analyseer de ontwikkeling van brutomarge en omzet over de 24 maanden.</t>
        </is>
      </c>
    </row>
    <row r="10" ht="28" customHeight="1">
      <c r="C10" s="83" t="n">
        <v>5</v>
      </c>
      <c r="D10" s="82" t="inlineStr">
        <is>
          <t>Welke kostencategorieën groeien sneller dan de omzet?</t>
        </is>
      </c>
    </row>
    <row r="11" ht="28" customHeight="1">
      <c r="C11" s="83" t="n">
        <v>6</v>
      </c>
      <c r="D11" s="82" t="inlineStr">
        <is>
          <t>Welke maatregelen hebben waarschijnlijk de grootste positieve invloed op de liquiditeit?</t>
        </is>
      </c>
    </row>
    <row r="12" ht="28" customHeight="1">
      <c r="C12" s="83" t="n">
        <v>7</v>
      </c>
      <c r="D12" s="82" t="inlineStr">
        <is>
          <t>Vergelijk Base Case met Worst Case en beschrijf het verschil in minimale liquiditeit.</t>
        </is>
      </c>
    </row>
    <row r="13" ht="28" customHeight="1">
      <c r="C13" s="83" t="n">
        <v>8</v>
      </c>
      <c r="D13" s="82" t="inlineStr">
        <is>
          <t>Bereken hoeveel extra liquiditeit nodig is bij een daling van de omzet met 10%.</t>
        </is>
      </c>
    </row>
    <row r="14" ht="28" customHeight="1">
      <c r="C14" s="83" t="n">
        <v>9</v>
      </c>
      <c r="D14" s="82" t="inlineStr">
        <is>
          <t>Hoeveel cash zit er vast in werkkapitaal (voorraad + debiteuren − crediteuren) per maand?</t>
        </is>
      </c>
    </row>
    <row r="15" ht="28" customHeight="1">
      <c r="C15" s="83" t="n">
        <v>10</v>
      </c>
      <c r="D15" s="82" t="inlineStr">
        <is>
          <t>Maak een managementsamenvatting van de liquiditeitsprognose in vijf bullets.</t>
        </is>
      </c>
    </row>
    <row r="16" ht="28" customHeight="1">
      <c r="C16" s="83" t="n">
        <v>11</v>
      </c>
      <c r="D16" s="82" t="inlineStr">
        <is>
          <t>Wat is het effect op de eindliquiditeit als de voorraad met € 250.000 toeneemt?</t>
        </is>
      </c>
    </row>
    <row r="17" ht="28" customHeight="1">
      <c r="C17" s="83" t="n">
        <v>12</v>
      </c>
      <c r="D17" s="82" t="inlineStr">
        <is>
          <t>Bereken de Cash Conversion Cycle per maand en beschrijf de trend.</t>
        </is>
      </c>
    </row>
    <row r="19">
      <c r="B19" s="54" t="n"/>
    </row>
  </sheetData>
  <mergeCells count="3">
    <mergeCell ref="C5:J5"/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2026-09-01T13:26:49Z</dcterms:created>
  <dcterms:modified xmlns:dcterms="http://purl.org/dc/terms/" xmlns:xsi="http://www.w3.org/2001/XMLSchema-instance" xsi:type="dcterms:W3CDTF">2026-09-01T13:26:49Z</dcterms:modified>
</cp:coreProperties>
</file>