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worksheets/sheet11.xml" ContentType="application/vnd.openxmlformats-officedocument.spreadsheetml.worksheet+xml"/>
  <Override PartName="/xl/drawings/drawing5.xml" ContentType="application/vnd.openxmlformats-officedocument.drawing+xml"/>
  <Override PartName="/xl/worksheets/sheet12.xml" ContentType="application/vnd.openxmlformats-officedocument.spreadsheetml.worksheet+xml"/>
  <Override PartName="/xl/drawings/drawing6.xml" ContentType="application/vnd.openxmlformats-officedocument.drawing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Instellingen" sheetId="2" state="visible" r:id="rId2"/>
    <sheet name="Brondata" sheetId="3" state="visible" r:id="rId3"/>
    <sheet name="Mapping" sheetId="4" state="visible" r:id="rId4"/>
    <sheet name="Dashboard" sheetId="5" state="visible" r:id="rId5"/>
    <sheet name="Resultatenrekening" sheetId="6" state="visible" r:id="rId6"/>
    <sheet name="Balans" sheetId="7" state="visible" r:id="rId7"/>
    <sheet name="Ratios" sheetId="8" state="visible" r:id="rId8"/>
    <sheet name="Debiteuren" sheetId="9" state="visible" r:id="rId9"/>
    <sheet name="Crediteuren" sheetId="10" state="visible" r:id="rId10"/>
    <sheet name="Voorraad" sheetId="11" state="visible" r:id="rId11"/>
    <sheet name="Trendanalyse" sheetId="12" state="visible" r:id="rId12"/>
    <sheet name="Signalering" sheetId="13" state="visible" r:id="rId13"/>
    <sheet name="Samenvatting" sheetId="14" state="visible" r:id="rId14"/>
    <sheet name="Calc" sheetId="15" state="hidden" r:id="rId15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yyyy-mm-dd"/>
    <numFmt numFmtId="165" formatCode="dd-mm-yyyy"/>
    <numFmt numFmtId="166" formatCode="€ #,##0"/>
    <numFmt numFmtId="167" formatCode="0.0%;[Red]-0.0%"/>
    <numFmt numFmtId="168" formatCode="#,##0.0"/>
    <numFmt numFmtId="169" formatCode="€ #,##0;[Red]-€ #,##0;&quot;-&quot;"/>
    <numFmt numFmtId="170" formatCode="[Green]+0.0%;[Red]-0.0%;0.0%"/>
    <numFmt numFmtId="171" formatCode="0.00&quot;x&quot;"/>
    <numFmt numFmtId="172" formatCode="#,##0 &quot;dgn&quot;"/>
  </numFmts>
  <fonts count="27">
    <font>
      <name val="Calibri"/>
      <family val="2"/>
      <color theme="1"/>
      <sz val="11"/>
      <scheme val="minor"/>
    </font>
    <font>
      <name val="Aptos"/>
      <b val="1"/>
      <color rgb="00FFFFFF"/>
      <sz val="14"/>
    </font>
    <font>
      <name val="Aptos"/>
      <b val="1"/>
      <i val="1"/>
      <color rgb="0017332A"/>
      <sz val="9"/>
    </font>
    <font>
      <name val="Aptos"/>
      <b val="1"/>
      <color rgb="00FFFFFF"/>
      <sz val="9"/>
    </font>
    <font>
      <name val="Aptos"/>
      <color rgb="0017332A"/>
      <sz val="9"/>
    </font>
    <font>
      <name val="Aptos"/>
      <color rgb="0012965A"/>
      <sz val="9"/>
    </font>
    <font>
      <name val="Aptos"/>
      <b val="1"/>
      <color rgb="0012965A"/>
      <sz val="9"/>
    </font>
    <font>
      <name val="Aptos"/>
      <b val="1"/>
      <color rgb="00FFFFFF"/>
      <sz val="16"/>
    </font>
    <font>
      <name val="Aptos"/>
      <b val="1"/>
      <color rgb="00FFFFFF"/>
      <sz val="8"/>
    </font>
    <font>
      <name val="Aptos"/>
      <b val="1"/>
      <color rgb="00FFFFFF"/>
      <sz val="10"/>
    </font>
    <font>
      <name val="Aptos"/>
      <color rgb="0017332A"/>
      <sz val="10"/>
    </font>
    <font>
      <name val="Aptos"/>
      <b val="1"/>
      <color rgb="0017332A"/>
      <sz val="10"/>
    </font>
    <font>
      <name val="Aptos"/>
      <b val="1"/>
      <color rgb="0012965A"/>
      <sz val="10"/>
    </font>
    <font>
      <name val="Aptos"/>
      <b val="1"/>
      <color rgb="0017332A"/>
      <sz val="9"/>
    </font>
    <font>
      <name val="Aptos"/>
      <b val="1"/>
      <i val="1"/>
      <color rgb="0017332A"/>
      <sz val="8"/>
    </font>
    <font>
      <name val="Aptos"/>
      <b val="1"/>
      <color rgb="0017332A"/>
      <sz val="8"/>
    </font>
    <font>
      <name val="Aptos"/>
      <b val="1"/>
      <color rgb="000C5F42"/>
      <sz val="10"/>
    </font>
    <font>
      <name val="Aptos"/>
      <b val="1"/>
      <color rgb="006B7A73"/>
      <sz val="8"/>
    </font>
    <font>
      <name val="Aptos"/>
      <b val="1"/>
      <color rgb="000C5F42"/>
      <sz val="18"/>
    </font>
    <font>
      <name val="Aptos"/>
      <b val="1"/>
      <color rgb="000C5F42"/>
      <sz val="15"/>
    </font>
    <font>
      <name val="Aptos"/>
      <b val="1"/>
      <color rgb="000C5F42"/>
      <sz val="11"/>
    </font>
    <font>
      <name val="Aptos"/>
      <b val="1"/>
      <color rgb="000C5F42"/>
      <sz val="24"/>
    </font>
    <font>
      <name val="Aptos"/>
      <color rgb="0012965A"/>
      <sz val="13"/>
    </font>
    <font>
      <name val="Aptos"/>
      <b val="1"/>
      <color rgb="006B7A73"/>
      <sz val="14"/>
    </font>
    <font>
      <name val="Aptos"/>
      <b val="1"/>
      <color rgb="006B7A73"/>
      <sz val="10"/>
    </font>
    <font>
      <name val="Aptos"/>
      <b val="1"/>
      <color rgb="0017332A"/>
      <sz val="11"/>
    </font>
    <font>
      <name val="Aptos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0C5F42"/>
      </patternFill>
    </fill>
    <fill>
      <patternFill patternType="solid">
        <fgColor rgb="0009402D"/>
      </patternFill>
    </fill>
    <fill>
      <patternFill patternType="solid">
        <fgColor rgb="00FFFFFF"/>
      </patternFill>
    </fill>
    <fill>
      <patternFill patternType="solid">
        <fgColor rgb="00E3F4EC"/>
      </patternFill>
    </fill>
    <fill>
      <patternFill patternType="solid">
        <fgColor rgb="00DAF3E4"/>
      </patternFill>
    </fill>
    <fill>
      <patternFill patternType="solid">
        <fgColor rgb="00F2F5F3"/>
      </patternFill>
    </fill>
  </fills>
  <borders count="11">
    <border>
      <left/>
      <right/>
      <top/>
      <bottom/>
      <diagonal/>
    </border>
    <border>
      <left style="thin">
        <color rgb="00D8E4DD"/>
      </left>
      <right style="thin">
        <color rgb="00D8E4DD"/>
      </right>
      <top style="thin">
        <color rgb="00D8E4DD"/>
      </top>
      <bottom style="thin">
        <color rgb="00D8E4DD"/>
      </bottom>
    </border>
    <border>
      <right style="thin">
        <color rgb="00FFFFFF"/>
      </right>
    </border>
    <border>
      <left style="thin">
        <color rgb="00D8E4DD"/>
      </left>
      <right style="thin">
        <color rgb="00D8E4DD"/>
      </right>
      <top style="thin">
        <color rgb="00D8E4DD"/>
      </top>
    </border>
    <border>
      <left style="thin">
        <color rgb="00D8E4DD"/>
      </left>
      <right style="thin">
        <color rgb="00D8E4DD"/>
      </right>
    </border>
    <border>
      <left style="thin">
        <color rgb="00D8E4DD"/>
      </left>
      <right style="thin">
        <color rgb="00D8E4DD"/>
      </right>
      <bottom style="thin">
        <color rgb="00D8E4DD"/>
      </bottom>
    </border>
    <border>
      <left style="thin">
        <color rgb="00D8E4DD"/>
      </left>
      <top style="medium">
        <color rgb="001CE175"/>
      </top>
    </border>
    <border>
      <top style="medium">
        <color rgb="001CE175"/>
      </top>
    </border>
    <border>
      <right style="thin">
        <color rgb="00D8E4DD"/>
      </right>
      <top style="medium">
        <color rgb="001CE175"/>
      </top>
    </border>
    <border>
      <bottom style="thin">
        <color rgb="00D8E4DD"/>
      </bottom>
    </border>
    <border>
      <top style="thin">
        <color rgb="000C5F42"/>
      </top>
      <bottom style="thin">
        <color rgb="00D8E4DD"/>
      </bottom>
    </border>
  </borders>
  <cellStyleXfs count="1">
    <xf numFmtId="0" fontId="0" fillId="0" borderId="0"/>
  </cellStyleXfs>
  <cellXfs count="105">
    <xf numFmtId="0" fontId="0" fillId="0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23" fillId="7" borderId="1" applyAlignment="1" pivotButton="0" quotePrefix="0" xfId="0">
      <alignment horizontal="center" vertical="center"/>
    </xf>
    <xf numFmtId="0" fontId="0" fillId="0" borderId="1" pivotButton="0" quotePrefix="0" xfId="0"/>
    <xf numFmtId="0" fontId="24" fillId="0" borderId="0" applyAlignment="1" pivotButton="0" quotePrefix="0" xfId="0">
      <alignment horizontal="left" vertical="center"/>
    </xf>
    <xf numFmtId="0" fontId="25" fillId="0" borderId="0" pivotButton="0" quotePrefix="0" xfId="0"/>
    <xf numFmtId="3" fontId="25" fillId="0" borderId="0" pivotButton="0" quotePrefix="0" xfId="0"/>
    <xf numFmtId="165" fontId="25" fillId="0" borderId="0" pivotButton="0" quotePrefix="0" xfId="0"/>
    <xf numFmtId="0" fontId="25" fillId="6" borderId="1" pivotButton="0" quotePrefix="0" xfId="0"/>
    <xf numFmtId="0" fontId="9" fillId="2" borderId="0" applyAlignment="1" pivotButton="0" quotePrefix="0" xfId="0">
      <alignment horizontal="left" vertical="center"/>
    </xf>
    <xf numFmtId="0" fontId="26" fillId="2" borderId="0" applyAlignment="1" pivotButton="0" quotePrefix="0" xfId="0">
      <alignment horizontal="left" vertical="center"/>
    </xf>
    <xf numFmtId="0" fontId="14" fillId="0" borderId="0" pivotButton="0" quotePrefix="0" xfId="0"/>
    <xf numFmtId="0" fontId="2" fillId="0" borderId="0" pivotButton="0" quotePrefix="0" xfId="0"/>
    <xf numFmtId="0" fontId="7" fillId="2" borderId="0" applyAlignment="1" pivotButton="0" quotePrefix="0" xfId="0">
      <alignment horizontal="left" vertical="center"/>
    </xf>
    <xf numFmtId="0" fontId="8" fillId="3" borderId="2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1" fillId="6" borderId="1" applyAlignment="1" pivotButton="0" quotePrefix="0" xfId="0">
      <alignment horizontal="left" vertical="center"/>
    </xf>
    <xf numFmtId="3" fontId="11" fillId="6" borderId="1" applyAlignment="1" pivotButton="0" quotePrefix="0" xfId="0">
      <alignment horizontal="left" vertical="center"/>
    </xf>
    <xf numFmtId="165" fontId="11" fillId="6" borderId="1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12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11" fillId="6" borderId="1" applyAlignment="1" pivotButton="0" quotePrefix="0" xfId="0">
      <alignment horizontal="left" vertical="center"/>
    </xf>
    <xf numFmtId="168" fontId="11" fillId="6" borderId="1" applyAlignment="1" pivotButton="0" quotePrefix="0" xfId="0">
      <alignment horizontal="left" vertical="center"/>
    </xf>
    <xf numFmtId="169" fontId="11" fillId="6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165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166" fontId="4" fillId="0" borderId="0" applyAlignment="1" pivotButton="0" quotePrefix="0" xfId="0">
      <alignment horizontal="left" vertical="center"/>
    </xf>
    <xf numFmtId="0" fontId="5" fillId="0" borderId="0" pivotButton="0" quotePrefix="0" xfId="0"/>
    <xf numFmtId="166" fontId="4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16" fillId="0" borderId="0" pivotButton="0" quotePrefix="0" xfId="0"/>
    <xf numFmtId="0" fontId="17" fillId="4" borderId="6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8" pivotButton="0" quotePrefix="0" xfId="0"/>
    <xf numFmtId="166" fontId="18" fillId="4" borderId="4" applyAlignment="1" pivotButton="0" quotePrefix="0" xfId="0">
      <alignment horizontal="left" vertical="center"/>
    </xf>
    <xf numFmtId="0" fontId="0" fillId="0" borderId="4" pivotButton="0" quotePrefix="0" xfId="0"/>
    <xf numFmtId="167" fontId="18" fillId="4" borderId="4" applyAlignment="1" pivotButton="0" quotePrefix="0" xfId="0">
      <alignment horizontal="left" vertical="center"/>
    </xf>
    <xf numFmtId="170" fontId="13" fillId="4" borderId="5" applyAlignment="1" pivotButton="0" quotePrefix="0" xfId="0">
      <alignment horizontal="left" vertical="center"/>
    </xf>
    <xf numFmtId="0" fontId="0" fillId="0" borderId="5" pivotButton="0" quotePrefix="0" xfId="0"/>
    <xf numFmtId="171" fontId="18" fillId="4" borderId="4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11" fillId="5" borderId="9" applyAlignment="1" pivotButton="0" quotePrefix="0" xfId="0">
      <alignment horizontal="left" vertical="center"/>
    </xf>
    <xf numFmtId="169" fontId="11" fillId="5" borderId="9" pivotButton="0" quotePrefix="0" xfId="0"/>
    <xf numFmtId="170" fontId="11" fillId="5" borderId="9" pivotButton="0" quotePrefix="0" xfId="0"/>
    <xf numFmtId="167" fontId="13" fillId="5" borderId="9" pivotButton="0" quotePrefix="0" xfId="0"/>
    <xf numFmtId="0" fontId="10" fillId="0" borderId="9" applyAlignment="1" pivotButton="0" quotePrefix="0" xfId="0">
      <alignment horizontal="left" vertical="center"/>
    </xf>
    <xf numFmtId="169" fontId="10" fillId="0" borderId="9" pivotButton="0" quotePrefix="0" xfId="0"/>
    <xf numFmtId="170" fontId="10" fillId="0" borderId="9" pivotButton="0" quotePrefix="0" xfId="0"/>
    <xf numFmtId="167" fontId="13" fillId="0" borderId="9" pivotButton="0" quotePrefix="0" xfId="0"/>
    <xf numFmtId="0" fontId="11" fillId="5" borderId="10" applyAlignment="1" pivotButton="0" quotePrefix="0" xfId="0">
      <alignment horizontal="left" vertical="center"/>
    </xf>
    <xf numFmtId="169" fontId="11" fillId="5" borderId="10" pivotButton="0" quotePrefix="0" xfId="0"/>
    <xf numFmtId="170" fontId="11" fillId="5" borderId="10" pivotButton="0" quotePrefix="0" xfId="0"/>
    <xf numFmtId="167" fontId="13" fillId="5" borderId="10" pivotButton="0" quotePrefix="0" xfId="0"/>
    <xf numFmtId="167" fontId="10" fillId="0" borderId="9" pivotButton="0" quotePrefix="0" xfId="0"/>
    <xf numFmtId="168" fontId="15" fillId="0" borderId="0" pivotButton="0" quotePrefix="0" xfId="0"/>
    <xf numFmtId="168" fontId="16" fillId="0" borderId="9" applyAlignment="1" pivotButton="0" quotePrefix="0" xfId="0">
      <alignment horizontal="center" vertical="center"/>
    </xf>
    <xf numFmtId="168" fontId="11" fillId="0" borderId="9" applyAlignment="1" pivotButton="0" quotePrefix="0" xfId="0">
      <alignment horizontal="center" vertical="center"/>
    </xf>
    <xf numFmtId="0" fontId="11" fillId="0" borderId="9" applyAlignment="1" pivotButton="0" quotePrefix="0" xfId="0">
      <alignment horizontal="center" vertical="center"/>
    </xf>
    <xf numFmtId="0" fontId="13" fillId="0" borderId="9" applyAlignment="1" pivotButton="0" quotePrefix="0" xfId="0">
      <alignment horizontal="left" vertical="center"/>
    </xf>
    <xf numFmtId="167" fontId="16" fillId="0" borderId="9" applyAlignment="1" pivotButton="0" quotePrefix="0" xfId="0">
      <alignment horizontal="center" vertical="center"/>
    </xf>
    <xf numFmtId="167" fontId="11" fillId="0" borderId="9" applyAlignment="1" pivotButton="0" quotePrefix="0" xfId="0">
      <alignment horizontal="center" vertical="center"/>
    </xf>
    <xf numFmtId="172" fontId="16" fillId="0" borderId="9" applyAlignment="1" pivotButton="0" quotePrefix="0" xfId="0">
      <alignment horizontal="center" vertical="center"/>
    </xf>
    <xf numFmtId="172" fontId="11" fillId="0" borderId="9" applyAlignment="1" pivotButton="0" quotePrefix="0" xfId="0">
      <alignment horizontal="center" vertical="center"/>
    </xf>
    <xf numFmtId="169" fontId="16" fillId="0" borderId="9" applyAlignment="1" pivotButton="0" quotePrefix="0" xfId="0">
      <alignment horizontal="center" vertical="center"/>
    </xf>
    <xf numFmtId="169" fontId="11" fillId="0" borderId="9" applyAlignment="1" pivotButton="0" quotePrefix="0" xfId="0">
      <alignment horizontal="center" vertical="center"/>
    </xf>
    <xf numFmtId="0" fontId="17" fillId="0" borderId="0" pivotButton="0" quotePrefix="0" xfId="0"/>
    <xf numFmtId="169" fontId="19" fillId="0" borderId="0" pivotButton="0" quotePrefix="0" xfId="0"/>
    <xf numFmtId="172" fontId="19" fillId="0" borderId="0" pivotButton="0" quotePrefix="0" xfId="0"/>
    <xf numFmtId="3" fontId="19" fillId="0" borderId="0" pivotButton="0" quotePrefix="0" xfId="0"/>
    <xf numFmtId="167" fontId="19" fillId="0" borderId="0" pivotButton="0" quotePrefix="0" xfId="0"/>
    <xf numFmtId="0" fontId="4" fillId="0" borderId="9" pivotButton="0" quotePrefix="0" xfId="0"/>
    <xf numFmtId="165" fontId="4" fillId="0" borderId="9" pivotButton="0" quotePrefix="0" xfId="0"/>
    <xf numFmtId="169" fontId="4" fillId="6" borderId="9" pivotButton="0" quotePrefix="0" xfId="0"/>
    <xf numFmtId="3" fontId="4" fillId="0" borderId="9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20" fillId="0" borderId="0" pivotButton="0" quotePrefix="0" xfId="0"/>
    <xf numFmtId="0" fontId="4" fillId="0" borderId="0" pivotButton="0" quotePrefix="0" xfId="0"/>
    <xf numFmtId="169" fontId="13" fillId="0" borderId="0" pivotButton="0" quotePrefix="0" xfId="0"/>
    <xf numFmtId="168" fontId="19" fillId="0" borderId="0" pivotButton="0" quotePrefix="0" xfId="0"/>
    <xf numFmtId="0" fontId="10" fillId="0" borderId="0" pivotButton="0" quotePrefix="0" xfId="0"/>
    <xf numFmtId="167" fontId="11" fillId="0" borderId="0" pivotButton="0" quotePrefix="0" xfId="0"/>
    <xf numFmtId="0" fontId="11" fillId="0" borderId="0" applyAlignment="1" pivotButton="0" quotePrefix="0" xfId="0">
      <alignment horizontal="center" vertical="center"/>
    </xf>
    <xf numFmtId="168" fontId="11" fillId="0" borderId="0" pivotButton="0" quotePrefix="0" xfId="0"/>
    <xf numFmtId="3" fontId="3" fillId="3" borderId="0" pivotButton="0" quotePrefix="0" xfId="0"/>
    <xf numFmtId="0" fontId="10" fillId="0" borderId="9" pivotButton="0" quotePrefix="0" xfId="0"/>
    <xf numFmtId="169" fontId="11" fillId="0" borderId="9" pivotButton="0" quotePrefix="0" xfId="0"/>
    <xf numFmtId="170" fontId="11" fillId="0" borderId="9" pivotButton="0" quotePrefix="0" xfId="0"/>
    <xf numFmtId="0" fontId="13" fillId="0" borderId="9" pivotButton="0" quotePrefix="0" xfId="0"/>
    <xf numFmtId="0" fontId="10" fillId="0" borderId="0" applyAlignment="1" pivotButton="0" quotePrefix="0" xfId="0">
      <alignment horizontal="left" vertical="top" wrapText="1"/>
    </xf>
    <xf numFmtId="0" fontId="15" fillId="0" borderId="0" pivotButton="0" quotePrefix="0" xfId="0"/>
  </cellXfs>
  <cellStyles count="1">
    <cellStyle name="Normal" xfId="0" builtinId="0" hidden="0"/>
  </cellStyles>
  <dxfs count="3">
    <dxf>
      <font>
        <name val="Aptos"/>
        <b val="1"/>
        <color rgb="001E8E4E"/>
      </font>
      <fill>
        <patternFill patternType="solid">
          <fgColor rgb="00D9F2E3"/>
        </patternFill>
      </fill>
    </dxf>
    <dxf>
      <font>
        <name val="Aptos"/>
        <b val="1"/>
        <color rgb="00C77C0E"/>
      </font>
      <fill>
        <patternFill patternType="solid">
          <fgColor rgb="00FBEBCF"/>
        </patternFill>
      </fill>
    </dxf>
    <dxf>
      <font>
        <name val="Aptos"/>
        <b val="1"/>
        <color rgb="00C0392B"/>
      </font>
      <fill>
        <patternFill patternType="solid">
          <fgColor rgb="00F6DA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Omzetontwikkeling (dit jaar vs vorig jaar)</a:t>
            </a:r>
          </a:p>
        </rich>
      </tx>
    </title>
    <plotArea>
      <lineChart>
        <grouping val="standard"/>
        <ser>
          <idx val="0"/>
          <order val="0"/>
          <tx>
            <strRef>
              <f>'Calc'!B28</f>
            </strRef>
          </tx>
          <spPr>
            <a:ln w="30480">
              <a:solidFill>
                <a:srgbClr val="0C5F4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'Calc'!$A$29:$A$40</f>
            </numRef>
          </cat>
          <val>
            <numRef>
              <f>'Calc'!$B$29:$B$40</f>
            </numRef>
          </val>
          <smooth val="0"/>
        </ser>
        <ser>
          <idx val="1"/>
          <order val="1"/>
          <tx>
            <strRef>
              <f>'Calc'!C28</f>
            </strRef>
          </tx>
          <spPr>
            <a:ln w="30480">
              <a:solidFill>
                <a:srgbClr val="9AD9BE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'Calc'!$A$29:$A$40</f>
            </numRef>
          </cat>
          <val>
            <numRef>
              <f>'Calc'!$C$29:$C$40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Resultaatontwikkeling per maand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'Calc'!F28</f>
            </strRef>
          </tx>
          <spPr>
            <a:solidFill>
              <a:srgbClr val="0C5F42"/>
            </a:solidFill>
            <a:ln>
              <a:solidFill>
                <a:srgbClr val="0C5F42"/>
              </a:solidFill>
              <a:prstDash val="solid"/>
            </a:ln>
          </spPr>
          <cat>
            <numRef>
              <f>'Calc'!$A$29:$A$40</f>
            </numRef>
          </cat>
          <val>
            <numRef>
              <f>'Calc'!$F$29:$F$40</f>
            </numRef>
          </val>
        </ser>
        <ser>
          <idx val="1"/>
          <order val="1"/>
          <tx>
            <strRef>
              <f>'Calc'!G28</f>
            </strRef>
          </tx>
          <spPr>
            <a:solidFill>
              <a:srgbClr val="9AD9BE"/>
            </a:solidFill>
            <a:ln>
              <a:solidFill>
                <a:srgbClr val="9AD9BE"/>
              </a:solidFill>
              <a:prstDash val="solid"/>
            </a:ln>
          </spPr>
          <cat>
            <numRef>
              <f>'Calc'!$A$29:$A$40</f>
            </numRef>
          </cat>
          <val>
            <numRef>
              <f>'Calc'!$G$29:$G$40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Kostenverdeling</a:t>
            </a:r>
          </a:p>
        </rich>
      </tx>
    </title>
    <plotArea>
      <pieChart>
        <varyColors val="1"/>
        <ser>
          <idx val="0"/>
          <order val="0"/>
          <tx>
            <strRef>
              <f>'Calc'!B43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C5F42"/>
              </a:solidFill>
              <a:ln>
                <a:prstDash val="solid"/>
              </a:ln>
            </spPr>
          </dPt>
          <dPt>
            <idx val="1"/>
            <spPr>
              <a:solidFill>
                <a:srgbClr val="12965A"/>
              </a:solidFill>
              <a:ln>
                <a:prstDash val="solid"/>
              </a:ln>
            </spPr>
          </dPt>
          <dPt>
            <idx val="2"/>
            <spPr>
              <a:solidFill>
                <a:srgbClr val="1CE175"/>
              </a:solidFill>
              <a:ln>
                <a:prstDash val="solid"/>
              </a:ln>
            </spPr>
          </dPt>
          <dPt>
            <idx val="3"/>
            <spPr>
              <a:solidFill>
                <a:srgbClr val="5FCB94"/>
              </a:solidFill>
              <a:ln>
                <a:prstDash val="solid"/>
              </a:ln>
            </spPr>
          </dPt>
          <dPt>
            <idx val="4"/>
            <spPr>
              <a:solidFill>
                <a:srgbClr val="9AD9BE"/>
              </a:solidFill>
              <a:ln>
                <a:prstDash val="solid"/>
              </a:ln>
            </spPr>
          </dPt>
          <dPt>
            <idx val="5"/>
            <spPr>
              <a:solidFill>
                <a:srgbClr val="C9ECDA"/>
              </a:solidFill>
              <a:ln>
                <a:prstDash val="solid"/>
              </a:ln>
            </spPr>
          </dPt>
          <dPt>
            <idx val="6"/>
            <spPr>
              <a:solidFill>
                <a:srgbClr val="3C7A63"/>
              </a:solidFill>
              <a:ln>
                <a:prstDash val="solid"/>
              </a:ln>
            </spPr>
          </dPt>
          <dPt>
            <idx val="7"/>
            <spPr>
              <a:solidFill>
                <a:srgbClr val="7FB79C"/>
              </a:solidFill>
              <a:ln>
                <a:prstDash val="solid"/>
              </a:ln>
            </spPr>
          </dPt>
          <cat>
            <numRef>
              <f>'Calc'!$A$44:$A$51</f>
            </numRef>
          </cat>
          <val>
            <numRef>
              <f>'Calc'!$B$44:$B$51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Balansverdeling activa</a:t>
            </a:r>
          </a:p>
        </rich>
      </tx>
    </title>
    <plotArea>
      <doughnutChart>
        <varyColors val="1"/>
        <ser>
          <idx val="0"/>
          <order val="0"/>
          <tx>
            <strRef>
              <f>'Calc'!B54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C5F42"/>
              </a:solidFill>
              <a:ln>
                <a:prstDash val="solid"/>
              </a:ln>
            </spPr>
          </dPt>
          <dPt>
            <idx val="1"/>
            <spPr>
              <a:solidFill>
                <a:srgbClr val="12965A"/>
              </a:solidFill>
              <a:ln>
                <a:prstDash val="solid"/>
              </a:ln>
            </spPr>
          </dPt>
          <dPt>
            <idx val="2"/>
            <spPr>
              <a:solidFill>
                <a:srgbClr val="1CE175"/>
              </a:solidFill>
              <a:ln>
                <a:prstDash val="solid"/>
              </a:ln>
            </spPr>
          </dPt>
          <dPt>
            <idx val="3"/>
            <spPr>
              <a:solidFill>
                <a:srgbClr val="5FCB94"/>
              </a:solidFill>
              <a:ln>
                <a:prstDash val="solid"/>
              </a:ln>
            </spPr>
          </dPt>
          <dPt>
            <idx val="4"/>
            <spPr>
              <a:solidFill>
                <a:srgbClr val="9AD9BE"/>
              </a:solidFill>
              <a:ln>
                <a:prstDash val="solid"/>
              </a:ln>
            </spPr>
          </dPt>
          <dPt>
            <idx val="5"/>
            <spPr>
              <a:solidFill>
                <a:srgbClr val="C9ECDA"/>
              </a:solidFill>
              <a:ln>
                <a:prstDash val="solid"/>
              </a:ln>
            </spPr>
          </dPt>
          <cat>
            <numRef>
              <f>'Calc'!$A$55:$A$60</f>
            </numRef>
          </cat>
          <val>
            <numRef>
              <f>'Calc'!$B$55:$B$60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Liquiditeitsontwikkeling</a:t>
            </a:r>
          </a:p>
        </rich>
      </tx>
    </title>
    <plotArea>
      <lineChart>
        <grouping val="standard"/>
        <ser>
          <idx val="0"/>
          <order val="0"/>
          <tx>
            <strRef>
              <f>'Calc'!H28</f>
            </strRef>
          </tx>
          <spPr>
            <a:ln w="30480">
              <a:solidFill>
                <a:srgbClr val="0C5F4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'Calc'!$A$29:$A$40</f>
            </numRef>
          </cat>
          <val>
            <numRef>
              <f>'Calc'!$H$29:$H$40</f>
            </numRef>
          </val>
          <smooth val="0"/>
        </ser>
        <ser>
          <idx val="1"/>
          <order val="1"/>
          <tx>
            <strRef>
              <f>'Calc'!I28</f>
            </strRef>
          </tx>
          <spPr>
            <a:ln w="30480">
              <a:solidFill>
                <a:srgbClr val="1CE17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'Calc'!$A$29:$A$40</f>
            </numRef>
          </cat>
          <val>
            <numRef>
              <f>'Calc'!$I$29:$I$40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kosten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'Calc'!B43</f>
            </strRef>
          </tx>
          <spPr>
            <a:solidFill>
              <a:srgbClr val="12965A"/>
            </a:solidFill>
            <a:ln>
              <a:solidFill>
                <a:srgbClr val="12965A"/>
              </a:solidFill>
              <a:prstDash val="solid"/>
            </a:ln>
          </spPr>
          <cat>
            <numRef>
              <f>'Calc'!$A$44:$A$51</f>
            </numRef>
          </cat>
          <val>
            <numRef>
              <f>'Calc'!$B$44:$B$51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Verdeling activa</a:t>
            </a:r>
          </a:p>
        </rich>
      </tx>
    </title>
    <plotArea>
      <doughnutChart>
        <varyColors val="1"/>
        <ser>
          <idx val="0"/>
          <order val="0"/>
          <tx>
            <strRef>
              <f>'Calc'!B54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C5F42"/>
              </a:solidFill>
              <a:ln>
                <a:prstDash val="solid"/>
              </a:ln>
            </spPr>
          </dPt>
          <dPt>
            <idx val="1"/>
            <spPr>
              <a:solidFill>
                <a:srgbClr val="12965A"/>
              </a:solidFill>
              <a:ln>
                <a:prstDash val="solid"/>
              </a:ln>
            </spPr>
          </dPt>
          <dPt>
            <idx val="2"/>
            <spPr>
              <a:solidFill>
                <a:srgbClr val="1CE175"/>
              </a:solidFill>
              <a:ln>
                <a:prstDash val="solid"/>
              </a:ln>
            </spPr>
          </dPt>
          <dPt>
            <idx val="3"/>
            <spPr>
              <a:solidFill>
                <a:srgbClr val="5FCB94"/>
              </a:solidFill>
              <a:ln>
                <a:prstDash val="solid"/>
              </a:ln>
            </spPr>
          </dPt>
          <dPt>
            <idx val="4"/>
            <spPr>
              <a:solidFill>
                <a:srgbClr val="9AD9BE"/>
              </a:solidFill>
              <a:ln>
                <a:prstDash val="solid"/>
              </a:ln>
            </spPr>
          </dPt>
          <dPt>
            <idx val="5"/>
            <spPr>
              <a:solidFill>
                <a:srgbClr val="C9ECDA"/>
              </a:solidFill>
              <a:ln>
                <a:prstDash val="solid"/>
              </a:ln>
            </spPr>
          </dPt>
          <cat>
            <numRef>
              <f>'Calc'!$A$55:$A$60</f>
            </numRef>
          </cat>
          <val>
            <numRef>
              <f>'Calc'!$B$55:$B$60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Ouderdomsverdeling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'Debiteuren'!C25</f>
            </strRef>
          </tx>
          <spPr>
            <a:solidFill>
              <a:srgbClr val="12965A"/>
            </a:solidFill>
            <a:ln>
              <a:solidFill>
                <a:srgbClr val="12965A"/>
              </a:solidFill>
              <a:prstDash val="solid"/>
            </a:ln>
          </spPr>
          <cat>
            <numRef>
              <f>'Debiteuren'!$B$26:$B$30</f>
            </numRef>
          </cat>
          <val>
            <numRef>
              <f>'Debiteuren'!$C$26:$C$30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debiteuren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'Debiteuren'!G25</f>
            </strRef>
          </tx>
          <spPr>
            <a:solidFill>
              <a:srgbClr val="0C5F42"/>
            </a:solidFill>
            <a:ln>
              <a:solidFill>
                <a:srgbClr val="0C5F42"/>
              </a:solidFill>
              <a:prstDash val="solid"/>
            </a:ln>
          </spPr>
          <cat>
            <numRef>
              <f>'Debiteuren'!$F$26:$F$31</f>
            </numRef>
          </cat>
          <val>
            <numRef>
              <f>'Debiteuren'!$G$26:$G$31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Debiteurendagen (DSO) per maand</a:t>
            </a:r>
          </a:p>
        </rich>
      </tx>
    </title>
    <plotArea>
      <lineChart>
        <grouping val="standard"/>
        <ser>
          <idx val="0"/>
          <order val="0"/>
          <tx>
            <strRef>
              <f>'Calc'!AA1</f>
            </strRef>
          </tx>
          <spPr>
            <a:ln w="30480">
              <a:solidFill>
                <a:srgbClr val="0C5F4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'Calc'!$A$2:$A$25</f>
            </numRef>
          </cat>
          <val>
            <numRef>
              <f>'Calc'!$AA$2:$AA$25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crediteuren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'Crediteuren'!G20</f>
            </strRef>
          </tx>
          <spPr>
            <a:solidFill>
              <a:srgbClr val="0C5F42"/>
            </a:solidFill>
            <a:ln>
              <a:solidFill>
                <a:srgbClr val="0C5F42"/>
              </a:solidFill>
              <a:prstDash val="solid"/>
            </a:ln>
          </spPr>
          <cat>
            <numRef>
              <f>'Crediteuren'!$F$21:$F$25</f>
            </numRef>
          </cat>
          <val>
            <numRef>
              <f>'Crediteuren'!$G$21:$G$25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Crediteurendagen (DPO) per maand</a:t>
            </a:r>
          </a:p>
        </rich>
      </tx>
    </title>
    <plotArea>
      <lineChart>
        <grouping val="standard"/>
        <ser>
          <idx val="0"/>
          <order val="0"/>
          <tx>
            <strRef>
              <f>'Calc'!AB1</f>
            </strRef>
          </tx>
          <spPr>
            <a:ln w="30480">
              <a:solidFill>
                <a:srgbClr val="12965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'Calc'!$A$2:$A$25</f>
            </numRef>
          </cat>
          <val>
            <numRef>
              <f>'Calc'!$AB$2:$AB$25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Voorraadontwikkeling (dit jaar vs vorig jaar)</a:t>
            </a:r>
          </a:p>
        </rich>
      </tx>
    </title>
    <plotArea>
      <lineChart>
        <grouping val="standard"/>
        <ser>
          <idx val="0"/>
          <order val="0"/>
          <tx>
            <strRef>
              <f>'Calc'!J28</f>
            </strRef>
          </tx>
          <spPr>
            <a:ln w="30480">
              <a:solidFill>
                <a:srgbClr val="0C5F4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'Calc'!$A$29:$A$40</f>
            </numRef>
          </cat>
          <val>
            <numRef>
              <f>'Calc'!$J$29:$J$40</f>
            </numRef>
          </val>
          <smooth val="0"/>
        </ser>
        <ser>
          <idx val="1"/>
          <order val="1"/>
          <tx>
            <strRef>
              <f>'Calc'!K28</f>
            </strRef>
          </tx>
          <spPr>
            <a:ln w="30480">
              <a:solidFill>
                <a:srgbClr val="9AD9BE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'Calc'!$A$29:$A$40</f>
            </numRef>
          </cat>
          <val>
            <numRef>
              <f>'Calc'!$K$29:$K$40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Omzet &amp; brutowinst per maand</a:t>
            </a:r>
          </a:p>
        </rich>
      </tx>
    </title>
    <plotArea>
      <lineChart>
        <grouping val="standard"/>
        <ser>
          <idx val="0"/>
          <order val="0"/>
          <tx>
            <strRef>
              <f>'Calc'!D1</f>
            </strRef>
          </tx>
          <spPr>
            <a:ln w="30480">
              <a:solidFill>
                <a:srgbClr val="0C5F4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'Calc'!$A$2:$A$25</f>
            </numRef>
          </cat>
          <val>
            <numRef>
              <f>'Calc'!$D$2:$D$25</f>
            </numRef>
          </val>
          <smooth val="0"/>
        </ser>
        <ser>
          <idx val="1"/>
          <order val="1"/>
          <tx>
            <strRef>
              <f>'Calc'!F1</f>
            </strRef>
          </tx>
          <spPr>
            <a:ln w="30480">
              <a:solidFill>
                <a:srgbClr val="1CE17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'Calc'!$A$2:$A$25</f>
            </numRef>
          </cat>
          <val>
            <numRef>
              <f>'Calc'!$F$2:$F$25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Operationele kosten &amp; resultaat</a:t>
            </a:r>
          </a:p>
        </rich>
      </tx>
    </title>
    <plotArea>
      <lineChart>
        <grouping val="standard"/>
        <ser>
          <idx val="0"/>
          <order val="0"/>
          <tx>
            <strRef>
              <f>'Calc'!N1</f>
            </strRef>
          </tx>
          <spPr>
            <a:ln w="30480">
              <a:solidFill>
                <a:srgbClr val="C77C0E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'Calc'!$A$2:$A$25</f>
            </numRef>
          </cat>
          <val>
            <numRef>
              <f>'Calc'!$N$2:$N$25</f>
            </numRef>
          </val>
          <smooth val="0"/>
        </ser>
        <ser>
          <idx val="1"/>
          <order val="1"/>
          <tx>
            <strRef>
              <f>'Calc'!Q1</f>
            </strRef>
          </tx>
          <spPr>
            <a:ln w="30480">
              <a:solidFill>
                <a:srgbClr val="0C5F4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'Calc'!$A$2:$A$25</f>
            </numRef>
          </cat>
          <val>
            <numRef>
              <f>'Calc'!$Q$2:$Q$25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Liquide middelen per maand</a:t>
            </a:r>
          </a:p>
        </rich>
      </tx>
    </title>
    <plotArea>
      <lineChart>
        <grouping val="standard"/>
        <ser>
          <idx val="0"/>
          <order val="0"/>
          <tx>
            <strRef>
              <f>'Calc'!R1</f>
            </strRef>
          </tx>
          <spPr>
            <a:ln w="30480">
              <a:solidFill>
                <a:srgbClr val="12965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'Calc'!$A$2:$A$25</f>
            </numRef>
          </cat>
          <val>
            <numRef>
              <f>'Calc'!$R$2:$R$25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Eigen vermogen per maand</a:t>
            </a:r>
          </a:p>
        </rich>
      </tx>
    </title>
    <plotArea>
      <lineChart>
        <grouping val="standard"/>
        <ser>
          <idx val="0"/>
          <order val="0"/>
          <tx>
            <strRef>
              <f>'Calc'!V1</f>
            </strRef>
          </tx>
          <spPr>
            <a:ln w="30480">
              <a:solidFill>
                <a:srgbClr val="0C5F4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'Calc'!$A$2:$A$25</f>
            </numRef>
          </cat>
          <val>
            <numRef>
              <f>'Calc'!$V$2:$V$25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Template</author>
  </authors>
  <commentList>
    <comment ref="I4" authorId="0" shapeId="0">
      <text>
        <t>Automatisch: Debet - Credit.</t>
      </text>
    </comment>
    <comment ref="O4" authorId="0" shapeId="0">
      <text>
        <t>Automatisch via Mapping (INDEX/MATCH op grootboek).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8.xml" Id="rId1" /><Relationship Type="http://schemas.openxmlformats.org/officeDocument/2006/relationships/chart" Target="/xl/charts/chart9.xml" Id="rId2" /><Relationship Type="http://schemas.openxmlformats.org/officeDocument/2006/relationships/chart" Target="/xl/charts/chart10.xml" Id="rId3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11.xml" Id="rId1" /><Relationship Type="http://schemas.openxmlformats.org/officeDocument/2006/relationships/chart" Target="/xl/charts/chart12.xml" Id="rId2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13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14.xml" Id="rId1" /><Relationship Type="http://schemas.openxmlformats.org/officeDocument/2006/relationships/chart" Target="/xl/charts/chart15.xml" Id="rId2" /><Relationship Type="http://schemas.openxmlformats.org/officeDocument/2006/relationships/chart" Target="/xl/charts/chart16.xml" Id="rId3" /><Relationship Type="http://schemas.openxmlformats.org/officeDocument/2006/relationships/chart" Target="/xl/charts/chart17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20</row>
      <rowOff>0</rowOff>
    </from>
    <ext cx="4500000" cy="2376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20</row>
      <rowOff>0</rowOff>
    </from>
    <ext cx="4500000" cy="2376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34</row>
      <rowOff>0</rowOff>
    </from>
    <ext cx="3060000" cy="2376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5</col>
      <colOff>0</colOff>
      <row>34</row>
      <rowOff>0</rowOff>
    </from>
    <ext cx="3060000" cy="2376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7</col>
      <colOff>0</colOff>
      <row>34</row>
      <rowOff>0</rowOff>
    </from>
    <ext cx="4500000" cy="2376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</col>
      <colOff>0</colOff>
      <row>48</row>
      <rowOff>0</rowOff>
    </from>
    <ext cx="4500000" cy="2376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6</row>
      <rowOff>0</rowOff>
    </from>
    <ext cx="3060000" cy="2376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32</row>
      <rowOff>0</rowOff>
    </from>
    <ext cx="3960000" cy="2376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32</row>
      <rowOff>0</rowOff>
    </from>
    <ext cx="3960000" cy="2376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46</row>
      <rowOff>0</rowOff>
    </from>
    <ext cx="4680000" cy="2448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19</row>
      <rowOff>0</rowOff>
    </from>
    <ext cx="3960000" cy="2376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27</row>
      <rowOff>0</rowOff>
    </from>
    <ext cx="4680000" cy="2448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8</row>
      <rowOff>0</rowOff>
    </from>
    <ext cx="4500000" cy="2376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4</row>
      <rowOff>0</rowOff>
    </from>
    <ext cx="4680000" cy="2448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4</row>
      <rowOff>0</rowOff>
    </from>
    <ext cx="4680000" cy="2448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19</row>
      <rowOff>0</rowOff>
    </from>
    <ext cx="4680000" cy="2448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9</col>
      <colOff>0</colOff>
      <row>19</row>
      <rowOff>0</rowOff>
    </from>
    <ext cx="4680000" cy="2448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tabColor rgb="000C5F42"/>
    <outlinePr summaryBelow="1" summaryRight="1"/>
    <pageSetUpPr/>
  </sheetPr>
  <dimension ref="B2:M3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4" customWidth="1" min="3" max="3"/>
    <col width="14" customWidth="1" min="4" max="4"/>
    <col width="3" customWidth="1" min="5" max="5"/>
    <col width="14" customWidth="1" min="6" max="6"/>
    <col width="14" customWidth="1" min="7" max="7"/>
    <col width="22" customWidth="1" min="8" max="8"/>
    <col width="3" customWidth="1" min="9" max="9"/>
    <col width="14" customWidth="1" min="10" max="10"/>
    <col width="14" customWidth="1" min="11" max="11"/>
    <col width="14" customWidth="1" min="12" max="12"/>
    <col width="6" customWidth="1" min="13" max="13"/>
  </cols>
  <sheetData>
    <row r="2">
      <c r="B2" s="1" t="inlineStr">
        <is>
          <t>FINANCIEEL ANALYSE-DASHBOARD</t>
        </is>
      </c>
    </row>
    <row r="3">
      <c r="B3" s="2" t="inlineStr">
        <is>
          <t>Managementrapportage handelsonderneming</t>
        </is>
      </c>
    </row>
    <row r="5">
      <c r="B5" s="3" t="inlineStr">
        <is>
          <t>LOGO</t>
        </is>
      </c>
      <c r="C5" s="4" t="n"/>
      <c r="D5" s="4" t="n"/>
      <c r="F5" s="5" t="inlineStr">
        <is>
          <t>Bedrijfsnaam</t>
        </is>
      </c>
      <c r="H5" s="6">
        <f>'Instellingen'!$D$6</f>
        <v/>
      </c>
    </row>
    <row r="6">
      <c r="B6" s="4" t="n"/>
      <c r="C6" s="4" t="n"/>
      <c r="D6" s="4" t="n"/>
      <c r="F6" s="5" t="inlineStr">
        <is>
          <t>KvK-nummer</t>
        </is>
      </c>
      <c r="H6" s="6">
        <f>'Instellingen'!$D$7</f>
        <v/>
      </c>
    </row>
    <row r="7">
      <c r="B7" s="4" t="n"/>
      <c r="C7" s="4" t="n"/>
      <c r="D7" s="4" t="n"/>
      <c r="F7" s="5" t="inlineStr">
        <is>
          <t>Boekjaar</t>
        </is>
      </c>
      <c r="H7" s="7">
        <f>'Instellingen'!$D$8</f>
        <v/>
      </c>
    </row>
    <row r="8">
      <c r="B8" s="4" t="n"/>
      <c r="C8" s="4" t="n"/>
      <c r="D8" s="4" t="n"/>
      <c r="F8" s="5" t="inlineStr">
        <is>
          <t>Periode</t>
        </is>
      </c>
      <c r="H8" s="6">
        <f>'Instellingen'!$D$17</f>
        <v/>
      </c>
    </row>
    <row r="9">
      <c r="F9" s="5" t="inlineStr">
        <is>
          <t>Rapportagedatum</t>
        </is>
      </c>
      <c r="H9" s="8">
        <f>'Instellingen'!$D$9</f>
        <v/>
      </c>
    </row>
    <row r="10">
      <c r="F10" s="5" t="inlineStr">
        <is>
          <t>Versie</t>
        </is>
      </c>
      <c r="H10" s="9" t="inlineStr">
        <is>
          <t>1.0</t>
        </is>
      </c>
    </row>
    <row r="11">
      <c r="F11" s="5" t="inlineStr">
        <is>
          <t>Accountant</t>
        </is>
      </c>
      <c r="H11" s="9" t="inlineStr">
        <is>
          <t>Naam accountant / kantoor</t>
        </is>
      </c>
    </row>
    <row r="14" ht="20" customHeight="1">
      <c r="B14" s="10" t="inlineStr">
        <is>
          <t>Navigatie</t>
        </is>
      </c>
    </row>
    <row r="16">
      <c r="B16" s="11" t="inlineStr">
        <is>
          <t>►  Dashboard</t>
        </is>
      </c>
      <c r="F16" s="11" t="inlineStr">
        <is>
          <t>►  Resultatenrekening</t>
        </is>
      </c>
      <c r="J16" s="11" t="inlineStr">
        <is>
          <t>►  Balans</t>
        </is>
      </c>
    </row>
    <row r="17">
      <c r="B17" s="12" t="inlineStr">
        <is>
          <t>Managementoverzicht met KPI's</t>
        </is>
      </c>
      <c r="F17" s="12" t="inlineStr">
        <is>
          <t>Winst &amp; verlies met vergelijking</t>
        </is>
      </c>
      <c r="J17" s="12" t="inlineStr">
        <is>
          <t>Activa en passiva</t>
        </is>
      </c>
    </row>
    <row r="19">
      <c r="B19" s="11" t="inlineStr">
        <is>
          <t>►  Financiële ratio's</t>
        </is>
      </c>
      <c r="F19" s="11" t="inlineStr">
        <is>
          <t>►  Debiteuren</t>
        </is>
      </c>
      <c r="J19" s="11" t="inlineStr">
        <is>
          <t>►  Crediteuren</t>
        </is>
      </c>
    </row>
    <row r="20">
      <c r="B20" s="12" t="inlineStr">
        <is>
          <t>Kengetallen met normering</t>
        </is>
      </c>
      <c r="F20" s="12" t="inlineStr">
        <is>
          <t>Ouderdom en top-debiteuren</t>
        </is>
      </c>
      <c r="J20" s="12" t="inlineStr">
        <is>
          <t>Betaaltermijn en top-crediteuren</t>
        </is>
      </c>
    </row>
    <row r="22">
      <c r="B22" s="11" t="inlineStr">
        <is>
          <t>►  Voorraad</t>
        </is>
      </c>
      <c r="F22" s="11" t="inlineStr">
        <is>
          <t>►  Trendanalyse</t>
        </is>
      </c>
      <c r="J22" s="11" t="inlineStr">
        <is>
          <t>►  Signalering</t>
        </is>
      </c>
    </row>
    <row r="23">
      <c r="B23" s="12" t="inlineStr">
        <is>
          <t>Rotatie en signalering</t>
        </is>
      </c>
      <c r="F23" s="12" t="inlineStr">
        <is>
          <t>24-maands ontwikkeling</t>
        </is>
      </c>
      <c r="J23" s="12" t="inlineStr">
        <is>
          <t>Automatische waarschuwingen</t>
        </is>
      </c>
    </row>
    <row r="25">
      <c r="B25" s="11" t="inlineStr">
        <is>
          <t>►  Samenvatting</t>
        </is>
      </c>
      <c r="F25" s="11" t="inlineStr">
        <is>
          <t>►  Instellingen</t>
        </is>
      </c>
      <c r="J25" s="11" t="inlineStr">
        <is>
          <t>►  Brondata</t>
        </is>
      </c>
    </row>
    <row r="26">
      <c r="B26" s="12" t="inlineStr">
        <is>
          <t>Management­samenvatting</t>
        </is>
      </c>
      <c r="F26" s="12" t="inlineStr">
        <is>
          <t>Algemene gegevens &amp; normen</t>
        </is>
      </c>
      <c r="J26" s="12" t="inlineStr">
        <is>
          <t>Grootboekexport plakken</t>
        </is>
      </c>
    </row>
    <row r="29">
      <c r="B29" s="13" t="inlineStr">
        <is>
          <t>Werkwijze:  1) vul Instellingen in   ·   2) plak de grootboekexport in Brondata   ·   3) controleer de Mapping. De rest rekent automatisch door.</t>
        </is>
      </c>
    </row>
    <row r="30">
      <c r="B30" s="12" t="inlineStr">
        <is>
          <t>Model rekent met SUMIFS/INDEX/MATCH (geen macro's, geen VBA). Open in Excel voor de volledige, dynamische werking.</t>
        </is>
      </c>
    </row>
  </sheetData>
  <mergeCells count="29">
    <mergeCell ref="F20:H20"/>
    <mergeCell ref="B2:M2"/>
    <mergeCell ref="B23:D23"/>
    <mergeCell ref="B5:D8"/>
    <mergeCell ref="B17:D17"/>
    <mergeCell ref="B14:M14"/>
    <mergeCell ref="F26:H26"/>
    <mergeCell ref="F17:H17"/>
    <mergeCell ref="J20:L20"/>
    <mergeCell ref="J26:L26"/>
    <mergeCell ref="F23:H23"/>
    <mergeCell ref="J25:L25"/>
    <mergeCell ref="J16:L16"/>
    <mergeCell ref="B19:D19"/>
    <mergeCell ref="F22:H22"/>
    <mergeCell ref="J22:L22"/>
    <mergeCell ref="F5:G5"/>
    <mergeCell ref="B20:D20"/>
    <mergeCell ref="J23:L23"/>
    <mergeCell ref="B26:D26"/>
    <mergeCell ref="J17:L17"/>
    <mergeCell ref="B25:D25"/>
    <mergeCell ref="B16:D16"/>
    <mergeCell ref="F25:H25"/>
    <mergeCell ref="F16:H16"/>
    <mergeCell ref="F19:H19"/>
    <mergeCell ref="B3:M3"/>
    <mergeCell ref="J19:L19"/>
    <mergeCell ref="B22:D22"/>
  </mergeCells>
  <hyperlinks>
    <hyperlink ref="B16" location="'Dashboard'!A1" display="Dashboard"/>
    <hyperlink ref="F16" location="'Resultatenrekening'!A1" display="Resultatenrekening"/>
    <hyperlink ref="J16" location="'Balans'!A1" display="Balans"/>
    <hyperlink ref="B19" location="'Ratios'!A1" display="Financiële ratio's"/>
    <hyperlink ref="F19" location="'Debiteuren'!A1" display="Debiteuren"/>
    <hyperlink ref="J19" location="'Crediteuren'!A1" display="Crediteuren"/>
    <hyperlink ref="B22" location="'Voorraad'!A1" display="Voorraad"/>
    <hyperlink ref="F22" location="'Trendanalyse'!A1" display="Trendanalyse"/>
    <hyperlink ref="J22" location="'Signalering'!A1" display="Signalering"/>
    <hyperlink ref="B25" location="'Samenvatting'!A1" display="Samenvatting"/>
    <hyperlink ref="F25" location="'Instellingen'!A1" display="Instellingen"/>
    <hyperlink ref="J25" location="'Brondata'!A1" display="Brondata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C5F42"/>
    <outlinePr summaryBelow="1" summaryRight="1"/>
    <pageSetUpPr/>
  </sheetPr>
  <dimension ref="A1:V3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3" customWidth="1" min="3" max="3"/>
    <col width="22" customWidth="1" min="4" max="4"/>
    <col width="14" customWidth="1" min="5" max="5"/>
    <col width="10" customWidth="1" min="6" max="6"/>
    <col width="12" customWidth="1" min="7" max="7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</cols>
  <sheetData>
    <row r="1" ht="30" customHeight="1">
      <c r="A1" s="14" t="inlineStr">
        <is>
          <t>INSTELLINGEN</t>
        </is>
      </c>
    </row>
    <row r="2" ht="18" customHeight="1">
      <c r="A2" s="15" t="inlineStr">
        <is>
          <t>Start</t>
        </is>
      </c>
      <c r="C2" s="15" t="inlineStr">
        <is>
          <t>Dashboard</t>
        </is>
      </c>
      <c r="E2" s="15" t="inlineStr">
        <is>
          <t>Resultaat</t>
        </is>
      </c>
      <c r="G2" s="15" t="inlineStr">
        <is>
          <t>Balans</t>
        </is>
      </c>
      <c r="I2" s="15" t="inlineStr">
        <is>
          <t>Ratio's</t>
        </is>
      </c>
      <c r="K2" s="15" t="inlineStr">
        <is>
          <t>Debiteuren</t>
        </is>
      </c>
      <c r="M2" s="15" t="inlineStr">
        <is>
          <t>Crediteuren</t>
        </is>
      </c>
      <c r="O2" s="15" t="inlineStr">
        <is>
          <t>Voorraad</t>
        </is>
      </c>
      <c r="Q2" s="15" t="inlineStr">
        <is>
          <t>Trend</t>
        </is>
      </c>
      <c r="S2" s="15" t="inlineStr">
        <is>
          <t>Signalering</t>
        </is>
      </c>
      <c r="U2" s="15" t="inlineStr">
        <is>
          <t>Samenvatting</t>
        </is>
      </c>
    </row>
    <row r="3">
      <c r="A3" s="16" t="inlineStr">
        <is>
          <t>Pas hier de algemene gegevens, selecties, weergave en normeringen aan. Invulvelden zijn lichtgroen.</t>
        </is>
      </c>
    </row>
    <row r="5" ht="20" customHeight="1">
      <c r="B5" s="10" t="inlineStr">
        <is>
          <t>Algemene gegevens</t>
        </is>
      </c>
      <c r="M5" t="inlineStr">
        <is>
          <t>Januari</t>
        </is>
      </c>
      <c r="N5" t="n">
        <v>1</v>
      </c>
      <c r="P5" t="inlineStr">
        <is>
          <t>Euro's</t>
        </is>
      </c>
      <c r="Q5" t="n">
        <v>1</v>
      </c>
      <c r="R5" t="inlineStr">
        <is>
          <t>€</t>
        </is>
      </c>
    </row>
    <row r="6">
      <c r="B6" s="17" t="inlineStr">
        <is>
          <t>Bedrijfsnaam</t>
        </is>
      </c>
      <c r="D6" s="18" t="inlineStr">
        <is>
          <t>Handelsonderneming Voorbeeld B.V.</t>
        </is>
      </c>
      <c r="M6" t="inlineStr">
        <is>
          <t>Februari</t>
        </is>
      </c>
      <c r="N6" t="n">
        <v>2</v>
      </c>
      <c r="P6" t="inlineStr">
        <is>
          <t>Duizenden</t>
        </is>
      </c>
      <c r="Q6" t="n">
        <v>1000</v>
      </c>
      <c r="R6" t="inlineStr">
        <is>
          <t>€ (x1.000)</t>
        </is>
      </c>
    </row>
    <row r="7">
      <c r="B7" s="17" t="inlineStr">
        <is>
          <t>KvK-nummer</t>
        </is>
      </c>
      <c r="D7" s="18" t="inlineStr">
        <is>
          <t>12345678</t>
        </is>
      </c>
      <c r="M7" t="inlineStr">
        <is>
          <t>Maart</t>
        </is>
      </c>
      <c r="N7" t="n">
        <v>3</v>
      </c>
      <c r="P7" t="inlineStr">
        <is>
          <t>Miljoenen</t>
        </is>
      </c>
      <c r="Q7" t="n">
        <v>1000000</v>
      </c>
      <c r="R7" t="inlineStr">
        <is>
          <t>€ (mln)</t>
        </is>
      </c>
    </row>
    <row r="8">
      <c r="B8" s="17" t="inlineStr">
        <is>
          <t>Boekjaar</t>
        </is>
      </c>
      <c r="D8" s="19" t="n">
        <v>2025</v>
      </c>
      <c r="M8" t="inlineStr">
        <is>
          <t>April</t>
        </is>
      </c>
      <c r="N8" t="n">
        <v>4</v>
      </c>
    </row>
    <row r="9">
      <c r="B9" s="17" t="inlineStr">
        <is>
          <t>Rapportagedatum</t>
        </is>
      </c>
      <c r="D9" s="20" t="n">
        <v>46022</v>
      </c>
      <c r="M9" t="inlineStr">
        <is>
          <t>Mei</t>
        </is>
      </c>
      <c r="N9" t="n">
        <v>5</v>
      </c>
    </row>
    <row r="10">
      <c r="B10" s="17" t="inlineStr">
        <is>
          <t>Begindatum</t>
        </is>
      </c>
      <c r="D10" s="20" t="n">
        <v>45658</v>
      </c>
      <c r="M10" t="inlineStr">
        <is>
          <t>Juni</t>
        </is>
      </c>
      <c r="N10" t="n">
        <v>6</v>
      </c>
    </row>
    <row r="11">
      <c r="B11" s="17" t="inlineStr">
        <is>
          <t>Einddatum</t>
        </is>
      </c>
      <c r="D11" s="20" t="n">
        <v>46022</v>
      </c>
      <c r="M11" t="inlineStr">
        <is>
          <t>Juli</t>
        </is>
      </c>
      <c r="N11" t="n">
        <v>7</v>
      </c>
    </row>
    <row r="12">
      <c r="B12" s="17" t="inlineStr">
        <is>
          <t>Vergelijkingsjaar</t>
        </is>
      </c>
      <c r="D12" s="19" t="n">
        <v>2024</v>
      </c>
      <c r="M12" t="inlineStr">
        <is>
          <t>Augustus</t>
        </is>
      </c>
      <c r="N12" t="n">
        <v>8</v>
      </c>
    </row>
    <row r="13">
      <c r="B13" s="17" t="inlineStr">
        <is>
          <t>BTW-periode</t>
        </is>
      </c>
      <c r="D13" s="18" t="inlineStr">
        <is>
          <t>Per kwartaal</t>
        </is>
      </c>
      <c r="M13" t="inlineStr">
        <is>
          <t>September</t>
        </is>
      </c>
      <c r="N13" t="n">
        <v>9</v>
      </c>
    </row>
    <row r="14">
      <c r="B14" s="17" t="inlineStr">
        <is>
          <t>Valuta</t>
        </is>
      </c>
      <c r="D14" s="18" t="inlineStr">
        <is>
          <t>EUR (€)</t>
        </is>
      </c>
      <c r="M14" t="inlineStr">
        <is>
          <t>Oktober</t>
        </is>
      </c>
      <c r="N14" t="n">
        <v>10</v>
      </c>
    </row>
    <row r="15">
      <c r="M15" t="inlineStr">
        <is>
          <t>November</t>
        </is>
      </c>
      <c r="N15" t="n">
        <v>11</v>
      </c>
    </row>
    <row r="16" ht="20" customHeight="1">
      <c r="B16" s="10" t="inlineStr">
        <is>
          <t>Selecties</t>
        </is>
      </c>
      <c r="M16" t="inlineStr">
        <is>
          <t>December</t>
        </is>
      </c>
      <c r="N16" t="n">
        <v>12</v>
      </c>
    </row>
    <row r="17">
      <c r="B17" s="17" t="inlineStr">
        <is>
          <t>Periode (t/m)</t>
        </is>
      </c>
      <c r="D17" s="18" t="inlineStr">
        <is>
          <t>Heel jaar</t>
        </is>
      </c>
      <c r="E17" s="21" t="inlineStr">
        <is>
          <t>→ t/m maand:</t>
        </is>
      </c>
      <c r="F17" s="22">
        <f>IFERROR(INDEX($N$5:$N$23,MATCH($D$17,$M$5:$M$23,0)),12)</f>
        <v/>
      </c>
      <c r="M17" t="inlineStr">
        <is>
          <t>Kwartaal 1</t>
        </is>
      </c>
      <c r="N17" t="n">
        <v>3</v>
      </c>
    </row>
    <row r="18">
      <c r="B18" s="17" t="inlineStr">
        <is>
          <t>Vergelijking</t>
        </is>
      </c>
      <c r="D18" s="18" t="inlineStr">
        <is>
          <t>Vorig jaar</t>
        </is>
      </c>
      <c r="M18" t="inlineStr">
        <is>
          <t>Kwartaal 2</t>
        </is>
      </c>
      <c r="N18" t="n">
        <v>6</v>
      </c>
    </row>
    <row r="19">
      <c r="M19" t="inlineStr">
        <is>
          <t>Kwartaal 3</t>
        </is>
      </c>
      <c r="N19" t="n">
        <v>9</v>
      </c>
    </row>
    <row r="20" ht="20" customHeight="1">
      <c r="B20" s="10" t="inlineStr">
        <is>
          <t>Weergave-instellingen</t>
        </is>
      </c>
      <c r="M20" t="inlineStr">
        <is>
          <t>Kwartaal 4</t>
        </is>
      </c>
      <c r="N20" t="n">
        <v>12</v>
      </c>
    </row>
    <row r="21">
      <c r="B21" s="17" t="inlineStr">
        <is>
          <t>BTW-weergave</t>
        </is>
      </c>
      <c r="D21" s="18" t="inlineStr">
        <is>
          <t>Exclusief BTW</t>
        </is>
      </c>
      <c r="M21" t="inlineStr">
        <is>
          <t>Halfjaar 1</t>
        </is>
      </c>
      <c r="N21" t="n">
        <v>6</v>
      </c>
    </row>
    <row r="22">
      <c r="B22" s="17" t="inlineStr">
        <is>
          <t>Afronding</t>
        </is>
      </c>
      <c r="D22" s="18" t="inlineStr">
        <is>
          <t>Euro's</t>
        </is>
      </c>
      <c r="F22" s="23">
        <f>IFERROR(INDEX($Q$5:$Q$7,MATCH($D$22,$P$5:$P$7,0)),1)</f>
        <v/>
      </c>
      <c r="G22" s="23">
        <f>IFERROR(INDEX($R$5:$R$7,MATCH($D$22,$P$5:$P$7,0)),"€")</f>
        <v/>
      </c>
      <c r="M22" t="inlineStr">
        <is>
          <t>Halfjaar 2</t>
        </is>
      </c>
      <c r="N22" t="n">
        <v>12</v>
      </c>
    </row>
    <row r="23">
      <c r="B23" s="17" t="inlineStr">
        <is>
          <t>Negatieve bedragen rood</t>
        </is>
      </c>
      <c r="D23" s="18" t="inlineStr">
        <is>
          <t>Ja</t>
        </is>
      </c>
      <c r="M23" t="inlineStr">
        <is>
          <t>Heel jaar</t>
        </is>
      </c>
      <c r="N23" t="n">
        <v>12</v>
      </c>
    </row>
    <row r="25" ht="20" customHeight="1">
      <c r="B25" s="10" t="inlineStr">
        <is>
          <t>Normeringen (signaleringen)</t>
        </is>
      </c>
    </row>
    <row r="26">
      <c r="B26" s="24" t="inlineStr">
        <is>
          <t>Kengetal</t>
        </is>
      </c>
      <c r="C26" s="25" t="inlineStr"/>
      <c r="D26" s="24" t="inlineStr">
        <is>
          <t>Norm</t>
        </is>
      </c>
    </row>
    <row r="27">
      <c r="B27" s="17" t="inlineStr">
        <is>
          <t>Brutomarge %</t>
        </is>
      </c>
      <c r="D27" s="26" t="n">
        <v>0.28</v>
      </c>
    </row>
    <row r="28">
      <c r="B28" s="17" t="inlineStr">
        <is>
          <t>Nettomarge %</t>
        </is>
      </c>
      <c r="D28" s="26" t="n">
        <v>0.04</v>
      </c>
    </row>
    <row r="29">
      <c r="B29" s="17" t="inlineStr">
        <is>
          <t>Current ratio</t>
        </is>
      </c>
      <c r="D29" s="27" t="n">
        <v>1.5</v>
      </c>
    </row>
    <row r="30">
      <c r="B30" s="17" t="inlineStr">
        <is>
          <t>Quick ratio</t>
        </is>
      </c>
      <c r="D30" s="27" t="n">
        <v>1</v>
      </c>
    </row>
    <row r="31">
      <c r="B31" s="17" t="inlineStr">
        <is>
          <t>Solvabiliteit %</t>
        </is>
      </c>
      <c r="D31" s="26" t="n">
        <v>0.3</v>
      </c>
    </row>
    <row r="32">
      <c r="B32" s="17" t="inlineStr">
        <is>
          <t>Rentabiliteit EV %</t>
        </is>
      </c>
      <c r="D32" s="26" t="n">
        <v>0.1</v>
      </c>
    </row>
    <row r="33">
      <c r="B33" s="17" t="inlineStr">
        <is>
          <t>Omloopsnelheid voorraad</t>
        </is>
      </c>
      <c r="D33" s="27" t="n">
        <v>5</v>
      </c>
    </row>
    <row r="34">
      <c r="B34" s="17" t="inlineStr">
        <is>
          <t>DSO (dagen)</t>
        </is>
      </c>
      <c r="D34" s="19" t="n">
        <v>45</v>
      </c>
    </row>
    <row r="35">
      <c r="B35" s="17" t="inlineStr">
        <is>
          <t>DPO (dagen)</t>
        </is>
      </c>
      <c r="D35" s="19" t="n">
        <v>45</v>
      </c>
    </row>
    <row r="36">
      <c r="B36" s="17" t="inlineStr">
        <is>
          <t>Werkkapitaal (€)</t>
        </is>
      </c>
      <c r="D36" s="28" t="n">
        <v>250000</v>
      </c>
    </row>
    <row r="38">
      <c r="B38" s="12" t="inlineStr">
        <is>
          <t>Let op: gebruik XLOOKUP/FILTER niet nodig — model rekent met SUMIFS/INDEX/MATCH; plak data in Brondata.</t>
        </is>
      </c>
    </row>
  </sheetData>
  <mergeCells count="17">
    <mergeCell ref="O2:P2"/>
    <mergeCell ref="M2:N2"/>
    <mergeCell ref="A2:B2"/>
    <mergeCell ref="Q2:R2"/>
    <mergeCell ref="S2:T2"/>
    <mergeCell ref="C2:D2"/>
    <mergeCell ref="U2:V2"/>
    <mergeCell ref="G2:H2"/>
    <mergeCell ref="E2:F2"/>
    <mergeCell ref="A1:V1"/>
    <mergeCell ref="I2:J2"/>
    <mergeCell ref="K2:L2"/>
    <mergeCell ref="A3:V3"/>
    <mergeCell ref="B25:D25"/>
    <mergeCell ref="B5:D5"/>
    <mergeCell ref="B16:D16"/>
    <mergeCell ref="B20:D20"/>
  </mergeCells>
  <dataValidations count="7">
    <dataValidation sqref="D17" showDropDown="0" showInputMessage="0" showErrorMessage="0" allowBlank="1" type="list">
      <formula1>=$M$5:$M$23</formula1>
    </dataValidation>
    <dataValidation sqref="D18" showDropDown="0" showInputMessage="0" showErrorMessage="0" allowBlank="1" type="list">
      <formula1>"Vorig jaar,Zelfde periode vorig jaar,Vorige maand,Begroting"</formula1>
    </dataValidation>
    <dataValidation sqref="D13" showDropDown="0" showInputMessage="0" showErrorMessage="0" allowBlank="1" type="list">
      <formula1>"Maandelijks,Per kwartaal,Jaarlijks"</formula1>
    </dataValidation>
    <dataValidation sqref="D14" showDropDown="0" showInputMessage="0" showErrorMessage="0" allowBlank="1" type="list">
      <formula1>"EUR (€)"</formula1>
    </dataValidation>
    <dataValidation sqref="D21" showDropDown="0" showInputMessage="0" showErrorMessage="0" allowBlank="1" type="list">
      <formula1>"Exclusief BTW,Inclusief BTW"</formula1>
    </dataValidation>
    <dataValidation sqref="D22" showDropDown="0" showInputMessage="0" showErrorMessage="0" allowBlank="1" type="list">
      <formula1>=$P$5:$P$7</formula1>
    </dataValidation>
    <dataValidation sqref="D23" showDropDown="0" showInputMessage="0" showErrorMessage="0" allowBlank="1" type="list">
      <formula1>"Ja,Nee"</formula1>
    </dataValidation>
  </dataValidations>
  <hyperlinks>
    <hyperlink ref="A2" location="'Start'!A1" display="Start"/>
    <hyperlink ref="C2" location="'Dashboard'!A1" display="Dashboard"/>
    <hyperlink ref="E2" location="'Resultatenrekening'!A1" display="Resultaat"/>
    <hyperlink ref="G2" location="'Balans'!A1" display="Balans"/>
    <hyperlink ref="I2" location="'Ratios'!A1" display="Ratio's"/>
    <hyperlink ref="K2" location="'Debiteuren'!A1" display="Debiteuren"/>
    <hyperlink ref="M2" location="'Crediteuren'!A1" display="Crediteuren"/>
    <hyperlink ref="O2" location="'Voorraad'!A1" display="Voorraad"/>
    <hyperlink ref="Q2" location="'Trendanalyse'!A1" display="Trend"/>
    <hyperlink ref="S2" location="'Signalering'!A1" display="Signalering"/>
    <hyperlink ref="U2" location="'Samenvatting'!A1" display="Samenvatting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C5F42"/>
    <outlinePr summaryBelow="1" summaryRight="1"/>
    <pageSetUpPr/>
  </sheetPr>
  <dimension ref="A1:O15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30" customWidth="1" min="3" max="3"/>
    <col width="12" customWidth="1" min="4" max="4"/>
    <col width="12" customWidth="1" min="5" max="5"/>
    <col width="15" customWidth="1" min="6" max="6"/>
    <col width="12" customWidth="1" min="7" max="7"/>
    <col width="12" customWidth="1" min="8" max="8"/>
    <col width="12" customWidth="1" min="9" max="9"/>
    <col width="9" customWidth="1" min="10" max="10"/>
    <col width="8" customWidth="1" min="11" max="11"/>
    <col width="22" customWidth="1" min="12" max="12"/>
    <col width="18" customWidth="1" min="13" max="13"/>
    <col width="18" customWidth="1" min="14" max="14"/>
    <col width="20" customWidth="1" min="15" max="15"/>
  </cols>
  <sheetData>
    <row r="1" ht="26" customHeight="1">
      <c r="A1" s="29" t="inlineStr">
        <is>
          <t>BRONDATA</t>
        </is>
      </c>
    </row>
    <row r="2" ht="16" customHeight="1">
      <c r="A2" s="30" t="inlineStr">
        <is>
          <t>Plak hier de grootboekexport (kolommen A t/m H en J t/m N). Saldo en Dashboardcategorie worden automatisch berekend — niet overschrijven.</t>
        </is>
      </c>
    </row>
    <row r="4" ht="26" customHeight="1">
      <c r="A4" s="31" t="inlineStr">
        <is>
          <t>Datum</t>
        </is>
      </c>
      <c r="B4" s="31" t="inlineStr">
        <is>
          <t>Grootboek</t>
        </is>
      </c>
      <c r="C4" s="31" t="inlineStr">
        <is>
          <t>Omschrijving</t>
        </is>
      </c>
      <c r="D4" s="31" t="inlineStr">
        <is>
          <t>Kostenplaats</t>
        </is>
      </c>
      <c r="E4" s="31" t="inlineStr">
        <is>
          <t>Kostendrager</t>
        </is>
      </c>
      <c r="F4" s="31" t="inlineStr">
        <is>
          <t>Relatie</t>
        </is>
      </c>
      <c r="G4" s="31" t="inlineStr">
        <is>
          <t>Debet</t>
        </is>
      </c>
      <c r="H4" s="31" t="inlineStr">
        <is>
          <t>Credit</t>
        </is>
      </c>
      <c r="I4" s="31" t="inlineStr">
        <is>
          <t>Saldo</t>
        </is>
      </c>
      <c r="J4" s="31" t="inlineStr">
        <is>
          <t>Boekjaar</t>
        </is>
      </c>
      <c r="K4" s="31" t="inlineStr">
        <is>
          <t>Periode</t>
        </is>
      </c>
      <c r="L4" s="31" t="inlineStr">
        <is>
          <t>Categorie</t>
        </is>
      </c>
      <c r="M4" s="31" t="inlineStr">
        <is>
          <t>Rubriek</t>
        </is>
      </c>
      <c r="N4" s="31" t="inlineStr">
        <is>
          <t>Subrubriek</t>
        </is>
      </c>
      <c r="O4" s="31" t="inlineStr">
        <is>
          <t>Dashboardcategorie</t>
        </is>
      </c>
    </row>
    <row r="5">
      <c r="A5" s="32" t="n">
        <v>45292</v>
      </c>
      <c r="B5" s="33" t="n">
        <v>8000</v>
      </c>
      <c r="C5" s="34" t="inlineStr">
        <is>
          <t>Omzet handelsgoederen hoog</t>
        </is>
      </c>
      <c r="D5" s="34" t="inlineStr">
        <is>
          <t>Verkoop</t>
        </is>
      </c>
      <c r="E5" s="34" t="inlineStr">
        <is>
          <t>Algemeen</t>
        </is>
      </c>
      <c r="F5" s="34" t="inlineStr"/>
      <c r="G5" s="35" t="n">
        <v>0</v>
      </c>
      <c r="H5" s="35" t="n">
        <v>171500</v>
      </c>
      <c r="I5" s="35">
        <f>G5-H5</f>
        <v/>
      </c>
      <c r="J5" s="33" t="n">
        <v>2024</v>
      </c>
      <c r="K5" s="33" t="n">
        <v>1</v>
      </c>
      <c r="L5" s="34" t="inlineStr">
        <is>
          <t>Winst- en verliesrekening</t>
        </is>
      </c>
      <c r="M5" s="34" t="inlineStr">
        <is>
          <t>Netto-omzet</t>
        </is>
      </c>
      <c r="N5" s="34" t="inlineStr">
        <is>
          <t>Handel hoog tarief</t>
        </is>
      </c>
      <c r="O5" s="36">
        <f>IFERROR(INDEX('Mapping'!$F$2:$F$60,MATCH(B5,'Mapping'!$A$2:$A$60,0)),"")</f>
        <v/>
      </c>
    </row>
    <row r="6">
      <c r="A6" s="32" t="n">
        <v>45323</v>
      </c>
      <c r="B6" s="33" t="n">
        <v>8000</v>
      </c>
      <c r="C6" s="34" t="inlineStr">
        <is>
          <t>Omzet handelsgoederen hoog</t>
        </is>
      </c>
      <c r="D6" s="34" t="inlineStr">
        <is>
          <t>Verkoop</t>
        </is>
      </c>
      <c r="E6" s="34" t="inlineStr">
        <is>
          <t>Algemeen</t>
        </is>
      </c>
      <c r="F6" s="34" t="inlineStr"/>
      <c r="G6" s="35" t="n">
        <v>0</v>
      </c>
      <c r="H6" s="35" t="n">
        <v>171500</v>
      </c>
      <c r="I6" s="35">
        <f>G6-H6</f>
        <v/>
      </c>
      <c r="J6" s="33" t="n">
        <v>2024</v>
      </c>
      <c r="K6" s="33" t="n">
        <v>2</v>
      </c>
      <c r="L6" s="34" t="inlineStr">
        <is>
          <t>Winst- en verliesrekening</t>
        </is>
      </c>
      <c r="M6" s="34" t="inlineStr">
        <is>
          <t>Netto-omzet</t>
        </is>
      </c>
      <c r="N6" s="34" t="inlineStr">
        <is>
          <t>Handel hoog tarief</t>
        </is>
      </c>
      <c r="O6" s="36">
        <f>IFERROR(INDEX('Mapping'!$F$2:$F$60,MATCH(B6,'Mapping'!$A$2:$A$60,0)),"")</f>
        <v/>
      </c>
    </row>
    <row r="7">
      <c r="A7" s="32" t="n">
        <v>45352</v>
      </c>
      <c r="B7" s="33" t="n">
        <v>8000</v>
      </c>
      <c r="C7" s="34" t="inlineStr">
        <is>
          <t>Omzet handelsgoederen hoog</t>
        </is>
      </c>
      <c r="D7" s="34" t="inlineStr">
        <is>
          <t>Verkoop</t>
        </is>
      </c>
      <c r="E7" s="34" t="inlineStr">
        <is>
          <t>Algemeen</t>
        </is>
      </c>
      <c r="F7" s="34" t="inlineStr"/>
      <c r="G7" s="35" t="n">
        <v>0</v>
      </c>
      <c r="H7" s="35" t="n">
        <v>215600</v>
      </c>
      <c r="I7" s="35">
        <f>G7-H7</f>
        <v/>
      </c>
      <c r="J7" s="33" t="n">
        <v>2024</v>
      </c>
      <c r="K7" s="33" t="n">
        <v>3</v>
      </c>
      <c r="L7" s="34" t="inlineStr">
        <is>
          <t>Winst- en verliesrekening</t>
        </is>
      </c>
      <c r="M7" s="34" t="inlineStr">
        <is>
          <t>Netto-omzet</t>
        </is>
      </c>
      <c r="N7" s="34" t="inlineStr">
        <is>
          <t>Handel hoog tarief</t>
        </is>
      </c>
      <c r="O7" s="36">
        <f>IFERROR(INDEX('Mapping'!$F$2:$F$60,MATCH(B7,'Mapping'!$A$2:$A$60,0)),"")</f>
        <v/>
      </c>
    </row>
    <row r="8">
      <c r="A8" s="32" t="n">
        <v>45383</v>
      </c>
      <c r="B8" s="33" t="n">
        <v>8000</v>
      </c>
      <c r="C8" s="34" t="inlineStr">
        <is>
          <t>Omzet handelsgoederen hoog</t>
        </is>
      </c>
      <c r="D8" s="34" t="inlineStr">
        <is>
          <t>Verkoop</t>
        </is>
      </c>
      <c r="E8" s="34" t="inlineStr">
        <is>
          <t>Algemeen</t>
        </is>
      </c>
      <c r="F8" s="34" t="inlineStr"/>
      <c r="G8" s="35" t="n">
        <v>0</v>
      </c>
      <c r="H8" s="35" t="n">
        <v>200900</v>
      </c>
      <c r="I8" s="35">
        <f>G8-H8</f>
        <v/>
      </c>
      <c r="J8" s="33" t="n">
        <v>2024</v>
      </c>
      <c r="K8" s="33" t="n">
        <v>4</v>
      </c>
      <c r="L8" s="34" t="inlineStr">
        <is>
          <t>Winst- en verliesrekening</t>
        </is>
      </c>
      <c r="M8" s="34" t="inlineStr">
        <is>
          <t>Netto-omzet</t>
        </is>
      </c>
      <c r="N8" s="34" t="inlineStr">
        <is>
          <t>Handel hoog tarief</t>
        </is>
      </c>
      <c r="O8" s="36">
        <f>IFERROR(INDEX('Mapping'!$F$2:$F$60,MATCH(B8,'Mapping'!$A$2:$A$60,0)),"")</f>
        <v/>
      </c>
    </row>
    <row r="9">
      <c r="A9" s="32" t="n">
        <v>45413</v>
      </c>
      <c r="B9" s="33" t="n">
        <v>8000</v>
      </c>
      <c r="C9" s="34" t="inlineStr">
        <is>
          <t>Omzet handelsgoederen hoog</t>
        </is>
      </c>
      <c r="D9" s="34" t="inlineStr">
        <is>
          <t>Verkoop</t>
        </is>
      </c>
      <c r="E9" s="34" t="inlineStr">
        <is>
          <t>Algemeen</t>
        </is>
      </c>
      <c r="F9" s="34" t="inlineStr"/>
      <c r="G9" s="35" t="n">
        <v>0</v>
      </c>
      <c r="H9" s="35" t="n">
        <v>210700</v>
      </c>
      <c r="I9" s="35">
        <f>G9-H9</f>
        <v/>
      </c>
      <c r="J9" s="33" t="n">
        <v>2024</v>
      </c>
      <c r="K9" s="33" t="n">
        <v>5</v>
      </c>
      <c r="L9" s="34" t="inlineStr">
        <is>
          <t>Winst- en verliesrekening</t>
        </is>
      </c>
      <c r="M9" s="34" t="inlineStr">
        <is>
          <t>Netto-omzet</t>
        </is>
      </c>
      <c r="N9" s="34" t="inlineStr">
        <is>
          <t>Handel hoog tarief</t>
        </is>
      </c>
      <c r="O9" s="36">
        <f>IFERROR(INDEX('Mapping'!$F$2:$F$60,MATCH(B9,'Mapping'!$A$2:$A$60,0)),"")</f>
        <v/>
      </c>
    </row>
    <row r="10">
      <c r="A10" s="32" t="n">
        <v>45444</v>
      </c>
      <c r="B10" s="33" t="n">
        <v>8000</v>
      </c>
      <c r="C10" s="34" t="inlineStr">
        <is>
          <t>Omzet handelsgoederen hoog</t>
        </is>
      </c>
      <c r="D10" s="34" t="inlineStr">
        <is>
          <t>Verkoop</t>
        </is>
      </c>
      <c r="E10" s="34" t="inlineStr">
        <is>
          <t>Algemeen</t>
        </is>
      </c>
      <c r="F10" s="34" t="inlineStr"/>
      <c r="G10" s="35" t="n">
        <v>0</v>
      </c>
      <c r="H10" s="35" t="n">
        <v>220500</v>
      </c>
      <c r="I10" s="35">
        <f>G10-H10</f>
        <v/>
      </c>
      <c r="J10" s="33" t="n">
        <v>2024</v>
      </c>
      <c r="K10" s="33" t="n">
        <v>6</v>
      </c>
      <c r="L10" s="34" t="inlineStr">
        <is>
          <t>Winst- en verliesrekening</t>
        </is>
      </c>
      <c r="M10" s="34" t="inlineStr">
        <is>
          <t>Netto-omzet</t>
        </is>
      </c>
      <c r="N10" s="34" t="inlineStr">
        <is>
          <t>Handel hoog tarief</t>
        </is>
      </c>
      <c r="O10" s="36">
        <f>IFERROR(INDEX('Mapping'!$F$2:$F$60,MATCH(B10,'Mapping'!$A$2:$A$60,0)),"")</f>
        <v/>
      </c>
    </row>
    <row r="11">
      <c r="A11" s="32" t="n">
        <v>45474</v>
      </c>
      <c r="B11" s="33" t="n">
        <v>8000</v>
      </c>
      <c r="C11" s="34" t="inlineStr">
        <is>
          <t>Omzet handelsgoederen hoog</t>
        </is>
      </c>
      <c r="D11" s="34" t="inlineStr">
        <is>
          <t>Verkoop</t>
        </is>
      </c>
      <c r="E11" s="34" t="inlineStr">
        <is>
          <t>Algemeen</t>
        </is>
      </c>
      <c r="F11" s="34" t="inlineStr"/>
      <c r="G11" s="35" t="n">
        <v>0</v>
      </c>
      <c r="H11" s="35" t="n">
        <v>186200</v>
      </c>
      <c r="I11" s="35">
        <f>G11-H11</f>
        <v/>
      </c>
      <c r="J11" s="33" t="n">
        <v>2024</v>
      </c>
      <c r="K11" s="33" t="n">
        <v>7</v>
      </c>
      <c r="L11" s="34" t="inlineStr">
        <is>
          <t>Winst- en verliesrekening</t>
        </is>
      </c>
      <c r="M11" s="34" t="inlineStr">
        <is>
          <t>Netto-omzet</t>
        </is>
      </c>
      <c r="N11" s="34" t="inlineStr">
        <is>
          <t>Handel hoog tarief</t>
        </is>
      </c>
      <c r="O11" s="36">
        <f>IFERROR(INDEX('Mapping'!$F$2:$F$60,MATCH(B11,'Mapping'!$A$2:$A$60,0)),"")</f>
        <v/>
      </c>
    </row>
    <row r="12">
      <c r="A12" s="32" t="n">
        <v>45505</v>
      </c>
      <c r="B12" s="33" t="n">
        <v>8000</v>
      </c>
      <c r="C12" s="34" t="inlineStr">
        <is>
          <t>Omzet handelsgoederen hoog</t>
        </is>
      </c>
      <c r="D12" s="34" t="inlineStr">
        <is>
          <t>Verkoop</t>
        </is>
      </c>
      <c r="E12" s="34" t="inlineStr">
        <is>
          <t>Algemeen</t>
        </is>
      </c>
      <c r="F12" s="34" t="inlineStr"/>
      <c r="G12" s="35" t="n">
        <v>0</v>
      </c>
      <c r="H12" s="35" t="n">
        <v>171500</v>
      </c>
      <c r="I12" s="35">
        <f>G12-H12</f>
        <v/>
      </c>
      <c r="J12" s="33" t="n">
        <v>2024</v>
      </c>
      <c r="K12" s="33" t="n">
        <v>8</v>
      </c>
      <c r="L12" s="34" t="inlineStr">
        <is>
          <t>Winst- en verliesrekening</t>
        </is>
      </c>
      <c r="M12" s="34" t="inlineStr">
        <is>
          <t>Netto-omzet</t>
        </is>
      </c>
      <c r="N12" s="34" t="inlineStr">
        <is>
          <t>Handel hoog tarief</t>
        </is>
      </c>
      <c r="O12" s="36">
        <f>IFERROR(INDEX('Mapping'!$F$2:$F$60,MATCH(B12,'Mapping'!$A$2:$A$60,0)),"")</f>
        <v/>
      </c>
    </row>
    <row r="13">
      <c r="A13" s="32" t="n">
        <v>45536</v>
      </c>
      <c r="B13" s="33" t="n">
        <v>8000</v>
      </c>
      <c r="C13" s="34" t="inlineStr">
        <is>
          <t>Omzet handelsgoederen hoog</t>
        </is>
      </c>
      <c r="D13" s="34" t="inlineStr">
        <is>
          <t>Verkoop</t>
        </is>
      </c>
      <c r="E13" s="34" t="inlineStr">
        <is>
          <t>Algemeen</t>
        </is>
      </c>
      <c r="F13" s="34" t="inlineStr"/>
      <c r="G13" s="35" t="n">
        <v>0</v>
      </c>
      <c r="H13" s="35" t="n">
        <v>215600</v>
      </c>
      <c r="I13" s="35">
        <f>G13-H13</f>
        <v/>
      </c>
      <c r="J13" s="33" t="n">
        <v>2024</v>
      </c>
      <c r="K13" s="33" t="n">
        <v>9</v>
      </c>
      <c r="L13" s="34" t="inlineStr">
        <is>
          <t>Winst- en verliesrekening</t>
        </is>
      </c>
      <c r="M13" s="34" t="inlineStr">
        <is>
          <t>Netto-omzet</t>
        </is>
      </c>
      <c r="N13" s="34" t="inlineStr">
        <is>
          <t>Handel hoog tarief</t>
        </is>
      </c>
      <c r="O13" s="36">
        <f>IFERROR(INDEX('Mapping'!$F$2:$F$60,MATCH(B13,'Mapping'!$A$2:$A$60,0)),"")</f>
        <v/>
      </c>
    </row>
    <row r="14">
      <c r="A14" s="32" t="n">
        <v>45566</v>
      </c>
      <c r="B14" s="33" t="n">
        <v>8000</v>
      </c>
      <c r="C14" s="34" t="inlineStr">
        <is>
          <t>Omzet handelsgoederen hoog</t>
        </is>
      </c>
      <c r="D14" s="34" t="inlineStr">
        <is>
          <t>Verkoop</t>
        </is>
      </c>
      <c r="E14" s="34" t="inlineStr">
        <is>
          <t>Algemeen</t>
        </is>
      </c>
      <c r="F14" s="34" t="inlineStr"/>
      <c r="G14" s="35" t="n">
        <v>0</v>
      </c>
      <c r="H14" s="35" t="n">
        <v>220500</v>
      </c>
      <c r="I14" s="35">
        <f>G14-H14</f>
        <v/>
      </c>
      <c r="J14" s="33" t="n">
        <v>2024</v>
      </c>
      <c r="K14" s="33" t="n">
        <v>10</v>
      </c>
      <c r="L14" s="34" t="inlineStr">
        <is>
          <t>Winst- en verliesrekening</t>
        </is>
      </c>
      <c r="M14" s="34" t="inlineStr">
        <is>
          <t>Netto-omzet</t>
        </is>
      </c>
      <c r="N14" s="34" t="inlineStr">
        <is>
          <t>Handel hoog tarief</t>
        </is>
      </c>
      <c r="O14" s="36">
        <f>IFERROR(INDEX('Mapping'!$F$2:$F$60,MATCH(B14,'Mapping'!$A$2:$A$60,0)),"")</f>
        <v/>
      </c>
    </row>
    <row r="15">
      <c r="A15" s="32" t="n">
        <v>45597</v>
      </c>
      <c r="B15" s="33" t="n">
        <v>8000</v>
      </c>
      <c r="C15" s="34" t="inlineStr">
        <is>
          <t>Omzet handelsgoederen hoog</t>
        </is>
      </c>
      <c r="D15" s="34" t="inlineStr">
        <is>
          <t>Verkoop</t>
        </is>
      </c>
      <c r="E15" s="34" t="inlineStr">
        <is>
          <t>Algemeen</t>
        </is>
      </c>
      <c r="F15" s="34" t="inlineStr"/>
      <c r="G15" s="35" t="n">
        <v>0</v>
      </c>
      <c r="H15" s="35" t="n">
        <v>210700</v>
      </c>
      <c r="I15" s="35">
        <f>G15-H15</f>
        <v/>
      </c>
      <c r="J15" s="33" t="n">
        <v>2024</v>
      </c>
      <c r="K15" s="33" t="n">
        <v>11</v>
      </c>
      <c r="L15" s="34" t="inlineStr">
        <is>
          <t>Winst- en verliesrekening</t>
        </is>
      </c>
      <c r="M15" s="34" t="inlineStr">
        <is>
          <t>Netto-omzet</t>
        </is>
      </c>
      <c r="N15" s="34" t="inlineStr">
        <is>
          <t>Handel hoog tarief</t>
        </is>
      </c>
      <c r="O15" s="36">
        <f>IFERROR(INDEX('Mapping'!$F$2:$F$60,MATCH(B15,'Mapping'!$A$2:$A$60,0)),"")</f>
        <v/>
      </c>
    </row>
    <row r="16">
      <c r="A16" s="32" t="n">
        <v>45627</v>
      </c>
      <c r="B16" s="33" t="n">
        <v>8000</v>
      </c>
      <c r="C16" s="34" t="inlineStr">
        <is>
          <t>Omzet handelsgoederen hoog</t>
        </is>
      </c>
      <c r="D16" s="34" t="inlineStr">
        <is>
          <t>Verkoop</t>
        </is>
      </c>
      <c r="E16" s="34" t="inlineStr">
        <is>
          <t>Algemeen</t>
        </is>
      </c>
      <c r="F16" s="34" t="inlineStr"/>
      <c r="G16" s="35" t="n">
        <v>0</v>
      </c>
      <c r="H16" s="35" t="n">
        <v>254800</v>
      </c>
      <c r="I16" s="35">
        <f>G16-H16</f>
        <v/>
      </c>
      <c r="J16" s="33" t="n">
        <v>2024</v>
      </c>
      <c r="K16" s="33" t="n">
        <v>12</v>
      </c>
      <c r="L16" s="34" t="inlineStr">
        <is>
          <t>Winst- en verliesrekening</t>
        </is>
      </c>
      <c r="M16" s="34" t="inlineStr">
        <is>
          <t>Netto-omzet</t>
        </is>
      </c>
      <c r="N16" s="34" t="inlineStr">
        <is>
          <t>Handel hoog tarief</t>
        </is>
      </c>
      <c r="O16" s="36">
        <f>IFERROR(INDEX('Mapping'!$F$2:$F$60,MATCH(B16,'Mapping'!$A$2:$A$60,0)),"")</f>
        <v/>
      </c>
    </row>
    <row r="17">
      <c r="A17" s="32" t="n">
        <v>45658</v>
      </c>
      <c r="B17" s="33" t="n">
        <v>8000</v>
      </c>
      <c r="C17" s="34" t="inlineStr">
        <is>
          <t>Omzet handelsgoederen hoog</t>
        </is>
      </c>
      <c r="D17" s="34" t="inlineStr">
        <is>
          <t>Verkoop</t>
        </is>
      </c>
      <c r="E17" s="34" t="inlineStr">
        <is>
          <t>Algemeen</t>
        </is>
      </c>
      <c r="F17" s="34" t="inlineStr"/>
      <c r="G17" s="35" t="n">
        <v>0</v>
      </c>
      <c r="H17" s="35" t="n">
        <v>185500</v>
      </c>
      <c r="I17" s="35">
        <f>G17-H17</f>
        <v/>
      </c>
      <c r="J17" s="33" t="n">
        <v>2025</v>
      </c>
      <c r="K17" s="33" t="n">
        <v>1</v>
      </c>
      <c r="L17" s="34" t="inlineStr">
        <is>
          <t>Winst- en verliesrekening</t>
        </is>
      </c>
      <c r="M17" s="34" t="inlineStr">
        <is>
          <t>Netto-omzet</t>
        </is>
      </c>
      <c r="N17" s="34" t="inlineStr">
        <is>
          <t>Handel hoog tarief</t>
        </is>
      </c>
      <c r="O17" s="36">
        <f>IFERROR(INDEX('Mapping'!$F$2:$F$60,MATCH(B17,'Mapping'!$A$2:$A$60,0)),"")</f>
        <v/>
      </c>
    </row>
    <row r="18">
      <c r="A18" s="32" t="n">
        <v>45689</v>
      </c>
      <c r="B18" s="33" t="n">
        <v>8000</v>
      </c>
      <c r="C18" s="34" t="inlineStr">
        <is>
          <t>Omzet handelsgoederen hoog</t>
        </is>
      </c>
      <c r="D18" s="34" t="inlineStr">
        <is>
          <t>Verkoop</t>
        </is>
      </c>
      <c r="E18" s="34" t="inlineStr">
        <is>
          <t>Algemeen</t>
        </is>
      </c>
      <c r="F18" s="34" t="inlineStr"/>
      <c r="G18" s="35" t="n">
        <v>0</v>
      </c>
      <c r="H18" s="35" t="n">
        <v>185500</v>
      </c>
      <c r="I18" s="35">
        <f>G18-H18</f>
        <v/>
      </c>
      <c r="J18" s="33" t="n">
        <v>2025</v>
      </c>
      <c r="K18" s="33" t="n">
        <v>2</v>
      </c>
      <c r="L18" s="34" t="inlineStr">
        <is>
          <t>Winst- en verliesrekening</t>
        </is>
      </c>
      <c r="M18" s="34" t="inlineStr">
        <is>
          <t>Netto-omzet</t>
        </is>
      </c>
      <c r="N18" s="34" t="inlineStr">
        <is>
          <t>Handel hoog tarief</t>
        </is>
      </c>
      <c r="O18" s="36">
        <f>IFERROR(INDEX('Mapping'!$F$2:$F$60,MATCH(B18,'Mapping'!$A$2:$A$60,0)),"")</f>
        <v/>
      </c>
    </row>
    <row r="19">
      <c r="A19" s="32" t="n">
        <v>45717</v>
      </c>
      <c r="B19" s="33" t="n">
        <v>8000</v>
      </c>
      <c r="C19" s="34" t="inlineStr">
        <is>
          <t>Omzet handelsgoederen hoog</t>
        </is>
      </c>
      <c r="D19" s="34" t="inlineStr">
        <is>
          <t>Verkoop</t>
        </is>
      </c>
      <c r="E19" s="34" t="inlineStr">
        <is>
          <t>Algemeen</t>
        </is>
      </c>
      <c r="F19" s="34" t="inlineStr"/>
      <c r="G19" s="35" t="n">
        <v>0</v>
      </c>
      <c r="H19" s="35" t="n">
        <v>233200</v>
      </c>
      <c r="I19" s="35">
        <f>G19-H19</f>
        <v/>
      </c>
      <c r="J19" s="33" t="n">
        <v>2025</v>
      </c>
      <c r="K19" s="33" t="n">
        <v>3</v>
      </c>
      <c r="L19" s="34" t="inlineStr">
        <is>
          <t>Winst- en verliesrekening</t>
        </is>
      </c>
      <c r="M19" s="34" t="inlineStr">
        <is>
          <t>Netto-omzet</t>
        </is>
      </c>
      <c r="N19" s="34" t="inlineStr">
        <is>
          <t>Handel hoog tarief</t>
        </is>
      </c>
      <c r="O19" s="36">
        <f>IFERROR(INDEX('Mapping'!$F$2:$F$60,MATCH(B19,'Mapping'!$A$2:$A$60,0)),"")</f>
        <v/>
      </c>
    </row>
    <row r="20">
      <c r="A20" s="32" t="n">
        <v>45748</v>
      </c>
      <c r="B20" s="33" t="n">
        <v>8000</v>
      </c>
      <c r="C20" s="34" t="inlineStr">
        <is>
          <t>Omzet handelsgoederen hoog</t>
        </is>
      </c>
      <c r="D20" s="34" t="inlineStr">
        <is>
          <t>Verkoop</t>
        </is>
      </c>
      <c r="E20" s="34" t="inlineStr">
        <is>
          <t>Algemeen</t>
        </is>
      </c>
      <c r="F20" s="34" t="inlineStr"/>
      <c r="G20" s="35" t="n">
        <v>0</v>
      </c>
      <c r="H20" s="35" t="n">
        <v>217300</v>
      </c>
      <c r="I20" s="35">
        <f>G20-H20</f>
        <v/>
      </c>
      <c r="J20" s="33" t="n">
        <v>2025</v>
      </c>
      <c r="K20" s="33" t="n">
        <v>4</v>
      </c>
      <c r="L20" s="34" t="inlineStr">
        <is>
          <t>Winst- en verliesrekening</t>
        </is>
      </c>
      <c r="M20" s="34" t="inlineStr">
        <is>
          <t>Netto-omzet</t>
        </is>
      </c>
      <c r="N20" s="34" t="inlineStr">
        <is>
          <t>Handel hoog tarief</t>
        </is>
      </c>
      <c r="O20" s="36">
        <f>IFERROR(INDEX('Mapping'!$F$2:$F$60,MATCH(B20,'Mapping'!$A$2:$A$60,0)),"")</f>
        <v/>
      </c>
    </row>
    <row r="21">
      <c r="A21" s="32" t="n">
        <v>45778</v>
      </c>
      <c r="B21" s="33" t="n">
        <v>8000</v>
      </c>
      <c r="C21" s="34" t="inlineStr">
        <is>
          <t>Omzet handelsgoederen hoog</t>
        </is>
      </c>
      <c r="D21" s="34" t="inlineStr">
        <is>
          <t>Verkoop</t>
        </is>
      </c>
      <c r="E21" s="34" t="inlineStr">
        <is>
          <t>Algemeen</t>
        </is>
      </c>
      <c r="F21" s="34" t="inlineStr"/>
      <c r="G21" s="35" t="n">
        <v>0</v>
      </c>
      <c r="H21" s="35" t="n">
        <v>227900</v>
      </c>
      <c r="I21" s="35">
        <f>G21-H21</f>
        <v/>
      </c>
      <c r="J21" s="33" t="n">
        <v>2025</v>
      </c>
      <c r="K21" s="33" t="n">
        <v>5</v>
      </c>
      <c r="L21" s="34" t="inlineStr">
        <is>
          <t>Winst- en verliesrekening</t>
        </is>
      </c>
      <c r="M21" s="34" t="inlineStr">
        <is>
          <t>Netto-omzet</t>
        </is>
      </c>
      <c r="N21" s="34" t="inlineStr">
        <is>
          <t>Handel hoog tarief</t>
        </is>
      </c>
      <c r="O21" s="36">
        <f>IFERROR(INDEX('Mapping'!$F$2:$F$60,MATCH(B21,'Mapping'!$A$2:$A$60,0)),"")</f>
        <v/>
      </c>
    </row>
    <row r="22">
      <c r="A22" s="32" t="n">
        <v>45809</v>
      </c>
      <c r="B22" s="33" t="n">
        <v>8000</v>
      </c>
      <c r="C22" s="34" t="inlineStr">
        <is>
          <t>Omzet handelsgoederen hoog</t>
        </is>
      </c>
      <c r="D22" s="34" t="inlineStr">
        <is>
          <t>Verkoop</t>
        </is>
      </c>
      <c r="E22" s="34" t="inlineStr">
        <is>
          <t>Algemeen</t>
        </is>
      </c>
      <c r="F22" s="34" t="inlineStr"/>
      <c r="G22" s="35" t="n">
        <v>0</v>
      </c>
      <c r="H22" s="35" t="n">
        <v>238500</v>
      </c>
      <c r="I22" s="35">
        <f>G22-H22</f>
        <v/>
      </c>
      <c r="J22" s="33" t="n">
        <v>2025</v>
      </c>
      <c r="K22" s="33" t="n">
        <v>6</v>
      </c>
      <c r="L22" s="34" t="inlineStr">
        <is>
          <t>Winst- en verliesrekening</t>
        </is>
      </c>
      <c r="M22" s="34" t="inlineStr">
        <is>
          <t>Netto-omzet</t>
        </is>
      </c>
      <c r="N22" s="34" t="inlineStr">
        <is>
          <t>Handel hoog tarief</t>
        </is>
      </c>
      <c r="O22" s="36">
        <f>IFERROR(INDEX('Mapping'!$F$2:$F$60,MATCH(B22,'Mapping'!$A$2:$A$60,0)),"")</f>
        <v/>
      </c>
    </row>
    <row r="23">
      <c r="A23" s="32" t="n">
        <v>45839</v>
      </c>
      <c r="B23" s="33" t="n">
        <v>8000</v>
      </c>
      <c r="C23" s="34" t="inlineStr">
        <is>
          <t>Omzet handelsgoederen hoog</t>
        </is>
      </c>
      <c r="D23" s="34" t="inlineStr">
        <is>
          <t>Verkoop</t>
        </is>
      </c>
      <c r="E23" s="34" t="inlineStr">
        <is>
          <t>Algemeen</t>
        </is>
      </c>
      <c r="F23" s="34" t="inlineStr"/>
      <c r="G23" s="35" t="n">
        <v>0</v>
      </c>
      <c r="H23" s="35" t="n">
        <v>201400</v>
      </c>
      <c r="I23" s="35">
        <f>G23-H23</f>
        <v/>
      </c>
      <c r="J23" s="33" t="n">
        <v>2025</v>
      </c>
      <c r="K23" s="33" t="n">
        <v>7</v>
      </c>
      <c r="L23" s="34" t="inlineStr">
        <is>
          <t>Winst- en verliesrekening</t>
        </is>
      </c>
      <c r="M23" s="34" t="inlineStr">
        <is>
          <t>Netto-omzet</t>
        </is>
      </c>
      <c r="N23" s="34" t="inlineStr">
        <is>
          <t>Handel hoog tarief</t>
        </is>
      </c>
      <c r="O23" s="36">
        <f>IFERROR(INDEX('Mapping'!$F$2:$F$60,MATCH(B23,'Mapping'!$A$2:$A$60,0)),"")</f>
        <v/>
      </c>
    </row>
    <row r="24">
      <c r="A24" s="32" t="n">
        <v>45870</v>
      </c>
      <c r="B24" s="33" t="n">
        <v>8000</v>
      </c>
      <c r="C24" s="34" t="inlineStr">
        <is>
          <t>Omzet handelsgoederen hoog</t>
        </is>
      </c>
      <c r="D24" s="34" t="inlineStr">
        <is>
          <t>Verkoop</t>
        </is>
      </c>
      <c r="E24" s="34" t="inlineStr">
        <is>
          <t>Algemeen</t>
        </is>
      </c>
      <c r="F24" s="34" t="inlineStr"/>
      <c r="G24" s="35" t="n">
        <v>0</v>
      </c>
      <c r="H24" s="35" t="n">
        <v>185500</v>
      </c>
      <c r="I24" s="35">
        <f>G24-H24</f>
        <v/>
      </c>
      <c r="J24" s="33" t="n">
        <v>2025</v>
      </c>
      <c r="K24" s="33" t="n">
        <v>8</v>
      </c>
      <c r="L24" s="34" t="inlineStr">
        <is>
          <t>Winst- en verliesrekening</t>
        </is>
      </c>
      <c r="M24" s="34" t="inlineStr">
        <is>
          <t>Netto-omzet</t>
        </is>
      </c>
      <c r="N24" s="34" t="inlineStr">
        <is>
          <t>Handel hoog tarief</t>
        </is>
      </c>
      <c r="O24" s="36">
        <f>IFERROR(INDEX('Mapping'!$F$2:$F$60,MATCH(B24,'Mapping'!$A$2:$A$60,0)),"")</f>
        <v/>
      </c>
    </row>
    <row r="25">
      <c r="A25" s="32" t="n">
        <v>45901</v>
      </c>
      <c r="B25" s="33" t="n">
        <v>8000</v>
      </c>
      <c r="C25" s="34" t="inlineStr">
        <is>
          <t>Omzet handelsgoederen hoog</t>
        </is>
      </c>
      <c r="D25" s="34" t="inlineStr">
        <is>
          <t>Verkoop</t>
        </is>
      </c>
      <c r="E25" s="34" t="inlineStr">
        <is>
          <t>Algemeen</t>
        </is>
      </c>
      <c r="F25" s="34" t="inlineStr"/>
      <c r="G25" s="35" t="n">
        <v>0</v>
      </c>
      <c r="H25" s="35" t="n">
        <v>233200</v>
      </c>
      <c r="I25" s="35">
        <f>G25-H25</f>
        <v/>
      </c>
      <c r="J25" s="33" t="n">
        <v>2025</v>
      </c>
      <c r="K25" s="33" t="n">
        <v>9</v>
      </c>
      <c r="L25" s="34" t="inlineStr">
        <is>
          <t>Winst- en verliesrekening</t>
        </is>
      </c>
      <c r="M25" s="34" t="inlineStr">
        <is>
          <t>Netto-omzet</t>
        </is>
      </c>
      <c r="N25" s="34" t="inlineStr">
        <is>
          <t>Handel hoog tarief</t>
        </is>
      </c>
      <c r="O25" s="36">
        <f>IFERROR(INDEX('Mapping'!$F$2:$F$60,MATCH(B25,'Mapping'!$A$2:$A$60,0)),"")</f>
        <v/>
      </c>
    </row>
    <row r="26">
      <c r="A26" s="32" t="n">
        <v>45931</v>
      </c>
      <c r="B26" s="33" t="n">
        <v>8000</v>
      </c>
      <c r="C26" s="34" t="inlineStr">
        <is>
          <t>Omzet handelsgoederen hoog</t>
        </is>
      </c>
      <c r="D26" s="34" t="inlineStr">
        <is>
          <t>Verkoop</t>
        </is>
      </c>
      <c r="E26" s="34" t="inlineStr">
        <is>
          <t>Algemeen</t>
        </is>
      </c>
      <c r="F26" s="34" t="inlineStr"/>
      <c r="G26" s="35" t="n">
        <v>0</v>
      </c>
      <c r="H26" s="35" t="n">
        <v>238500</v>
      </c>
      <c r="I26" s="35">
        <f>G26-H26</f>
        <v/>
      </c>
      <c r="J26" s="33" t="n">
        <v>2025</v>
      </c>
      <c r="K26" s="33" t="n">
        <v>10</v>
      </c>
      <c r="L26" s="34" t="inlineStr">
        <is>
          <t>Winst- en verliesrekening</t>
        </is>
      </c>
      <c r="M26" s="34" t="inlineStr">
        <is>
          <t>Netto-omzet</t>
        </is>
      </c>
      <c r="N26" s="34" t="inlineStr">
        <is>
          <t>Handel hoog tarief</t>
        </is>
      </c>
      <c r="O26" s="36">
        <f>IFERROR(INDEX('Mapping'!$F$2:$F$60,MATCH(B26,'Mapping'!$A$2:$A$60,0)),"")</f>
        <v/>
      </c>
    </row>
    <row r="27">
      <c r="A27" s="32" t="n">
        <v>45962</v>
      </c>
      <c r="B27" s="33" t="n">
        <v>8000</v>
      </c>
      <c r="C27" s="34" t="inlineStr">
        <is>
          <t>Omzet handelsgoederen hoog</t>
        </is>
      </c>
      <c r="D27" s="34" t="inlineStr">
        <is>
          <t>Verkoop</t>
        </is>
      </c>
      <c r="E27" s="34" t="inlineStr">
        <is>
          <t>Algemeen</t>
        </is>
      </c>
      <c r="F27" s="34" t="inlineStr"/>
      <c r="G27" s="35" t="n">
        <v>0</v>
      </c>
      <c r="H27" s="35" t="n">
        <v>227900</v>
      </c>
      <c r="I27" s="35">
        <f>G27-H27</f>
        <v/>
      </c>
      <c r="J27" s="33" t="n">
        <v>2025</v>
      </c>
      <c r="K27" s="33" t="n">
        <v>11</v>
      </c>
      <c r="L27" s="34" t="inlineStr">
        <is>
          <t>Winst- en verliesrekening</t>
        </is>
      </c>
      <c r="M27" s="34" t="inlineStr">
        <is>
          <t>Netto-omzet</t>
        </is>
      </c>
      <c r="N27" s="34" t="inlineStr">
        <is>
          <t>Handel hoog tarief</t>
        </is>
      </c>
      <c r="O27" s="36">
        <f>IFERROR(INDEX('Mapping'!$F$2:$F$60,MATCH(B27,'Mapping'!$A$2:$A$60,0)),"")</f>
        <v/>
      </c>
    </row>
    <row r="28">
      <c r="A28" s="32" t="n">
        <v>45992</v>
      </c>
      <c r="B28" s="33" t="n">
        <v>8000</v>
      </c>
      <c r="C28" s="34" t="inlineStr">
        <is>
          <t>Omzet handelsgoederen hoog</t>
        </is>
      </c>
      <c r="D28" s="34" t="inlineStr">
        <is>
          <t>Verkoop</t>
        </is>
      </c>
      <c r="E28" s="34" t="inlineStr">
        <is>
          <t>Algemeen</t>
        </is>
      </c>
      <c r="F28" s="34" t="inlineStr"/>
      <c r="G28" s="35" t="n">
        <v>0</v>
      </c>
      <c r="H28" s="35" t="n">
        <v>275600</v>
      </c>
      <c r="I28" s="35">
        <f>G28-H28</f>
        <v/>
      </c>
      <c r="J28" s="33" t="n">
        <v>2025</v>
      </c>
      <c r="K28" s="33" t="n">
        <v>12</v>
      </c>
      <c r="L28" s="34" t="inlineStr">
        <is>
          <t>Winst- en verliesrekening</t>
        </is>
      </c>
      <c r="M28" s="34" t="inlineStr">
        <is>
          <t>Netto-omzet</t>
        </is>
      </c>
      <c r="N28" s="34" t="inlineStr">
        <is>
          <t>Handel hoog tarief</t>
        </is>
      </c>
      <c r="O28" s="36">
        <f>IFERROR(INDEX('Mapping'!$F$2:$F$60,MATCH(B28,'Mapping'!$A$2:$A$60,0)),"")</f>
        <v/>
      </c>
    </row>
    <row r="29">
      <c r="A29" s="32" t="n">
        <v>45292</v>
      </c>
      <c r="B29" s="33" t="n">
        <v>8010</v>
      </c>
      <c r="C29" s="34" t="inlineStr">
        <is>
          <t>Omzet handelsgoederen laag</t>
        </is>
      </c>
      <c r="D29" s="34" t="inlineStr">
        <is>
          <t>Verkoop</t>
        </is>
      </c>
      <c r="E29" s="34" t="inlineStr">
        <is>
          <t>Algemeen</t>
        </is>
      </c>
      <c r="F29" s="34" t="inlineStr"/>
      <c r="G29" s="35" t="n">
        <v>0</v>
      </c>
      <c r="H29" s="35" t="n">
        <v>63000</v>
      </c>
      <c r="I29" s="35">
        <f>G29-H29</f>
        <v/>
      </c>
      <c r="J29" s="33" t="n">
        <v>2024</v>
      </c>
      <c r="K29" s="33" t="n">
        <v>1</v>
      </c>
      <c r="L29" s="34" t="inlineStr">
        <is>
          <t>Winst- en verliesrekening</t>
        </is>
      </c>
      <c r="M29" s="34" t="inlineStr">
        <is>
          <t>Netto-omzet</t>
        </is>
      </c>
      <c r="N29" s="34" t="inlineStr">
        <is>
          <t>Handel laag tarief</t>
        </is>
      </c>
      <c r="O29" s="36">
        <f>IFERROR(INDEX('Mapping'!$F$2:$F$60,MATCH(B29,'Mapping'!$A$2:$A$60,0)),"")</f>
        <v/>
      </c>
    </row>
    <row r="30">
      <c r="A30" s="32" t="n">
        <v>45323</v>
      </c>
      <c r="B30" s="33" t="n">
        <v>8010</v>
      </c>
      <c r="C30" s="34" t="inlineStr">
        <is>
          <t>Omzet handelsgoederen laag</t>
        </is>
      </c>
      <c r="D30" s="34" t="inlineStr">
        <is>
          <t>Verkoop</t>
        </is>
      </c>
      <c r="E30" s="34" t="inlineStr">
        <is>
          <t>Algemeen</t>
        </is>
      </c>
      <c r="F30" s="34" t="inlineStr"/>
      <c r="G30" s="35" t="n">
        <v>0</v>
      </c>
      <c r="H30" s="35" t="n">
        <v>63000</v>
      </c>
      <c r="I30" s="35">
        <f>G30-H30</f>
        <v/>
      </c>
      <c r="J30" s="33" t="n">
        <v>2024</v>
      </c>
      <c r="K30" s="33" t="n">
        <v>2</v>
      </c>
      <c r="L30" s="34" t="inlineStr">
        <is>
          <t>Winst- en verliesrekening</t>
        </is>
      </c>
      <c r="M30" s="34" t="inlineStr">
        <is>
          <t>Netto-omzet</t>
        </is>
      </c>
      <c r="N30" s="34" t="inlineStr">
        <is>
          <t>Handel laag tarief</t>
        </is>
      </c>
      <c r="O30" s="36">
        <f>IFERROR(INDEX('Mapping'!$F$2:$F$60,MATCH(B30,'Mapping'!$A$2:$A$60,0)),"")</f>
        <v/>
      </c>
    </row>
    <row r="31">
      <c r="A31" s="32" t="n">
        <v>45352</v>
      </c>
      <c r="B31" s="33" t="n">
        <v>8010</v>
      </c>
      <c r="C31" s="34" t="inlineStr">
        <is>
          <t>Omzet handelsgoederen laag</t>
        </is>
      </c>
      <c r="D31" s="34" t="inlineStr">
        <is>
          <t>Verkoop</t>
        </is>
      </c>
      <c r="E31" s="34" t="inlineStr">
        <is>
          <t>Algemeen</t>
        </is>
      </c>
      <c r="F31" s="34" t="inlineStr"/>
      <c r="G31" s="35" t="n">
        <v>0</v>
      </c>
      <c r="H31" s="35" t="n">
        <v>79200</v>
      </c>
      <c r="I31" s="35">
        <f>G31-H31</f>
        <v/>
      </c>
      <c r="J31" s="33" t="n">
        <v>2024</v>
      </c>
      <c r="K31" s="33" t="n">
        <v>3</v>
      </c>
      <c r="L31" s="34" t="inlineStr">
        <is>
          <t>Winst- en verliesrekening</t>
        </is>
      </c>
      <c r="M31" s="34" t="inlineStr">
        <is>
          <t>Netto-omzet</t>
        </is>
      </c>
      <c r="N31" s="34" t="inlineStr">
        <is>
          <t>Handel laag tarief</t>
        </is>
      </c>
      <c r="O31" s="36">
        <f>IFERROR(INDEX('Mapping'!$F$2:$F$60,MATCH(B31,'Mapping'!$A$2:$A$60,0)),"")</f>
        <v/>
      </c>
    </row>
    <row r="32">
      <c r="A32" s="32" t="n">
        <v>45383</v>
      </c>
      <c r="B32" s="33" t="n">
        <v>8010</v>
      </c>
      <c r="C32" s="34" t="inlineStr">
        <is>
          <t>Omzet handelsgoederen laag</t>
        </is>
      </c>
      <c r="D32" s="34" t="inlineStr">
        <is>
          <t>Verkoop</t>
        </is>
      </c>
      <c r="E32" s="34" t="inlineStr">
        <is>
          <t>Algemeen</t>
        </is>
      </c>
      <c r="F32" s="34" t="inlineStr"/>
      <c r="G32" s="35" t="n">
        <v>0</v>
      </c>
      <c r="H32" s="35" t="n">
        <v>73800</v>
      </c>
      <c r="I32" s="35">
        <f>G32-H32</f>
        <v/>
      </c>
      <c r="J32" s="33" t="n">
        <v>2024</v>
      </c>
      <c r="K32" s="33" t="n">
        <v>4</v>
      </c>
      <c r="L32" s="34" t="inlineStr">
        <is>
          <t>Winst- en verliesrekening</t>
        </is>
      </c>
      <c r="M32" s="34" t="inlineStr">
        <is>
          <t>Netto-omzet</t>
        </is>
      </c>
      <c r="N32" s="34" t="inlineStr">
        <is>
          <t>Handel laag tarief</t>
        </is>
      </c>
      <c r="O32" s="36">
        <f>IFERROR(INDEX('Mapping'!$F$2:$F$60,MATCH(B32,'Mapping'!$A$2:$A$60,0)),"")</f>
        <v/>
      </c>
    </row>
    <row r="33">
      <c r="A33" s="32" t="n">
        <v>45413</v>
      </c>
      <c r="B33" s="33" t="n">
        <v>8010</v>
      </c>
      <c r="C33" s="34" t="inlineStr">
        <is>
          <t>Omzet handelsgoederen laag</t>
        </is>
      </c>
      <c r="D33" s="34" t="inlineStr">
        <is>
          <t>Verkoop</t>
        </is>
      </c>
      <c r="E33" s="34" t="inlineStr">
        <is>
          <t>Algemeen</t>
        </is>
      </c>
      <c r="F33" s="34" t="inlineStr"/>
      <c r="G33" s="35" t="n">
        <v>0</v>
      </c>
      <c r="H33" s="35" t="n">
        <v>77400</v>
      </c>
      <c r="I33" s="35">
        <f>G33-H33</f>
        <v/>
      </c>
      <c r="J33" s="33" t="n">
        <v>2024</v>
      </c>
      <c r="K33" s="33" t="n">
        <v>5</v>
      </c>
      <c r="L33" s="34" t="inlineStr">
        <is>
          <t>Winst- en verliesrekening</t>
        </is>
      </c>
      <c r="M33" s="34" t="inlineStr">
        <is>
          <t>Netto-omzet</t>
        </is>
      </c>
      <c r="N33" s="34" t="inlineStr">
        <is>
          <t>Handel laag tarief</t>
        </is>
      </c>
      <c r="O33" s="36">
        <f>IFERROR(INDEX('Mapping'!$F$2:$F$60,MATCH(B33,'Mapping'!$A$2:$A$60,0)),"")</f>
        <v/>
      </c>
    </row>
    <row r="34">
      <c r="A34" s="32" t="n">
        <v>45444</v>
      </c>
      <c r="B34" s="33" t="n">
        <v>8010</v>
      </c>
      <c r="C34" s="34" t="inlineStr">
        <is>
          <t>Omzet handelsgoederen laag</t>
        </is>
      </c>
      <c r="D34" s="34" t="inlineStr">
        <is>
          <t>Verkoop</t>
        </is>
      </c>
      <c r="E34" s="34" t="inlineStr">
        <is>
          <t>Algemeen</t>
        </is>
      </c>
      <c r="F34" s="34" t="inlineStr"/>
      <c r="G34" s="35" t="n">
        <v>0</v>
      </c>
      <c r="H34" s="35" t="n">
        <v>81000</v>
      </c>
      <c r="I34" s="35">
        <f>G34-H34</f>
        <v/>
      </c>
      <c r="J34" s="33" t="n">
        <v>2024</v>
      </c>
      <c r="K34" s="33" t="n">
        <v>6</v>
      </c>
      <c r="L34" s="34" t="inlineStr">
        <is>
          <t>Winst- en verliesrekening</t>
        </is>
      </c>
      <c r="M34" s="34" t="inlineStr">
        <is>
          <t>Netto-omzet</t>
        </is>
      </c>
      <c r="N34" s="34" t="inlineStr">
        <is>
          <t>Handel laag tarief</t>
        </is>
      </c>
      <c r="O34" s="36">
        <f>IFERROR(INDEX('Mapping'!$F$2:$F$60,MATCH(B34,'Mapping'!$A$2:$A$60,0)),"")</f>
        <v/>
      </c>
    </row>
    <row r="35">
      <c r="A35" s="32" t="n">
        <v>45474</v>
      </c>
      <c r="B35" s="33" t="n">
        <v>8010</v>
      </c>
      <c r="C35" s="34" t="inlineStr">
        <is>
          <t>Omzet handelsgoederen laag</t>
        </is>
      </c>
      <c r="D35" s="34" t="inlineStr">
        <is>
          <t>Verkoop</t>
        </is>
      </c>
      <c r="E35" s="34" t="inlineStr">
        <is>
          <t>Algemeen</t>
        </is>
      </c>
      <c r="F35" s="34" t="inlineStr"/>
      <c r="G35" s="35" t="n">
        <v>0</v>
      </c>
      <c r="H35" s="35" t="n">
        <v>68400</v>
      </c>
      <c r="I35" s="35">
        <f>G35-H35</f>
        <v/>
      </c>
      <c r="J35" s="33" t="n">
        <v>2024</v>
      </c>
      <c r="K35" s="33" t="n">
        <v>7</v>
      </c>
      <c r="L35" s="34" t="inlineStr">
        <is>
          <t>Winst- en verliesrekening</t>
        </is>
      </c>
      <c r="M35" s="34" t="inlineStr">
        <is>
          <t>Netto-omzet</t>
        </is>
      </c>
      <c r="N35" s="34" t="inlineStr">
        <is>
          <t>Handel laag tarief</t>
        </is>
      </c>
      <c r="O35" s="36">
        <f>IFERROR(INDEX('Mapping'!$F$2:$F$60,MATCH(B35,'Mapping'!$A$2:$A$60,0)),"")</f>
        <v/>
      </c>
    </row>
    <row r="36">
      <c r="A36" s="32" t="n">
        <v>45505</v>
      </c>
      <c r="B36" s="33" t="n">
        <v>8010</v>
      </c>
      <c r="C36" s="34" t="inlineStr">
        <is>
          <t>Omzet handelsgoederen laag</t>
        </is>
      </c>
      <c r="D36" s="34" t="inlineStr">
        <is>
          <t>Verkoop</t>
        </is>
      </c>
      <c r="E36" s="34" t="inlineStr">
        <is>
          <t>Algemeen</t>
        </is>
      </c>
      <c r="F36" s="34" t="inlineStr"/>
      <c r="G36" s="35" t="n">
        <v>0</v>
      </c>
      <c r="H36" s="35" t="n">
        <v>63000</v>
      </c>
      <c r="I36" s="35">
        <f>G36-H36</f>
        <v/>
      </c>
      <c r="J36" s="33" t="n">
        <v>2024</v>
      </c>
      <c r="K36" s="33" t="n">
        <v>8</v>
      </c>
      <c r="L36" s="34" t="inlineStr">
        <is>
          <t>Winst- en verliesrekening</t>
        </is>
      </c>
      <c r="M36" s="34" t="inlineStr">
        <is>
          <t>Netto-omzet</t>
        </is>
      </c>
      <c r="N36" s="34" t="inlineStr">
        <is>
          <t>Handel laag tarief</t>
        </is>
      </c>
      <c r="O36" s="36">
        <f>IFERROR(INDEX('Mapping'!$F$2:$F$60,MATCH(B36,'Mapping'!$A$2:$A$60,0)),"")</f>
        <v/>
      </c>
    </row>
    <row r="37">
      <c r="A37" s="32" t="n">
        <v>45536</v>
      </c>
      <c r="B37" s="33" t="n">
        <v>8010</v>
      </c>
      <c r="C37" s="34" t="inlineStr">
        <is>
          <t>Omzet handelsgoederen laag</t>
        </is>
      </c>
      <c r="D37" s="34" t="inlineStr">
        <is>
          <t>Verkoop</t>
        </is>
      </c>
      <c r="E37" s="34" t="inlineStr">
        <is>
          <t>Algemeen</t>
        </is>
      </c>
      <c r="F37" s="34" t="inlineStr"/>
      <c r="G37" s="35" t="n">
        <v>0</v>
      </c>
      <c r="H37" s="35" t="n">
        <v>79200</v>
      </c>
      <c r="I37" s="35">
        <f>G37-H37</f>
        <v/>
      </c>
      <c r="J37" s="33" t="n">
        <v>2024</v>
      </c>
      <c r="K37" s="33" t="n">
        <v>9</v>
      </c>
      <c r="L37" s="34" t="inlineStr">
        <is>
          <t>Winst- en verliesrekening</t>
        </is>
      </c>
      <c r="M37" s="34" t="inlineStr">
        <is>
          <t>Netto-omzet</t>
        </is>
      </c>
      <c r="N37" s="34" t="inlineStr">
        <is>
          <t>Handel laag tarief</t>
        </is>
      </c>
      <c r="O37" s="36">
        <f>IFERROR(INDEX('Mapping'!$F$2:$F$60,MATCH(B37,'Mapping'!$A$2:$A$60,0)),"")</f>
        <v/>
      </c>
    </row>
    <row r="38">
      <c r="A38" s="32" t="n">
        <v>45566</v>
      </c>
      <c r="B38" s="33" t="n">
        <v>8010</v>
      </c>
      <c r="C38" s="34" t="inlineStr">
        <is>
          <t>Omzet handelsgoederen laag</t>
        </is>
      </c>
      <c r="D38" s="34" t="inlineStr">
        <is>
          <t>Verkoop</t>
        </is>
      </c>
      <c r="E38" s="34" t="inlineStr">
        <is>
          <t>Algemeen</t>
        </is>
      </c>
      <c r="F38" s="34" t="inlineStr"/>
      <c r="G38" s="35" t="n">
        <v>0</v>
      </c>
      <c r="H38" s="35" t="n">
        <v>81000</v>
      </c>
      <c r="I38" s="35">
        <f>G38-H38</f>
        <v/>
      </c>
      <c r="J38" s="33" t="n">
        <v>2024</v>
      </c>
      <c r="K38" s="33" t="n">
        <v>10</v>
      </c>
      <c r="L38" s="34" t="inlineStr">
        <is>
          <t>Winst- en verliesrekening</t>
        </is>
      </c>
      <c r="M38" s="34" t="inlineStr">
        <is>
          <t>Netto-omzet</t>
        </is>
      </c>
      <c r="N38" s="34" t="inlineStr">
        <is>
          <t>Handel laag tarief</t>
        </is>
      </c>
      <c r="O38" s="36">
        <f>IFERROR(INDEX('Mapping'!$F$2:$F$60,MATCH(B38,'Mapping'!$A$2:$A$60,0)),"")</f>
        <v/>
      </c>
    </row>
    <row r="39">
      <c r="A39" s="32" t="n">
        <v>45597</v>
      </c>
      <c r="B39" s="33" t="n">
        <v>8010</v>
      </c>
      <c r="C39" s="34" t="inlineStr">
        <is>
          <t>Omzet handelsgoederen laag</t>
        </is>
      </c>
      <c r="D39" s="34" t="inlineStr">
        <is>
          <t>Verkoop</t>
        </is>
      </c>
      <c r="E39" s="34" t="inlineStr">
        <is>
          <t>Algemeen</t>
        </is>
      </c>
      <c r="F39" s="34" t="inlineStr"/>
      <c r="G39" s="35" t="n">
        <v>0</v>
      </c>
      <c r="H39" s="35" t="n">
        <v>77400</v>
      </c>
      <c r="I39" s="35">
        <f>G39-H39</f>
        <v/>
      </c>
      <c r="J39" s="33" t="n">
        <v>2024</v>
      </c>
      <c r="K39" s="33" t="n">
        <v>11</v>
      </c>
      <c r="L39" s="34" t="inlineStr">
        <is>
          <t>Winst- en verliesrekening</t>
        </is>
      </c>
      <c r="M39" s="34" t="inlineStr">
        <is>
          <t>Netto-omzet</t>
        </is>
      </c>
      <c r="N39" s="34" t="inlineStr">
        <is>
          <t>Handel laag tarief</t>
        </is>
      </c>
      <c r="O39" s="36">
        <f>IFERROR(INDEX('Mapping'!$F$2:$F$60,MATCH(B39,'Mapping'!$A$2:$A$60,0)),"")</f>
        <v/>
      </c>
    </row>
    <row r="40">
      <c r="A40" s="32" t="n">
        <v>45627</v>
      </c>
      <c r="B40" s="33" t="n">
        <v>8010</v>
      </c>
      <c r="C40" s="34" t="inlineStr">
        <is>
          <t>Omzet handelsgoederen laag</t>
        </is>
      </c>
      <c r="D40" s="34" t="inlineStr">
        <is>
          <t>Verkoop</t>
        </is>
      </c>
      <c r="E40" s="34" t="inlineStr">
        <is>
          <t>Algemeen</t>
        </is>
      </c>
      <c r="F40" s="34" t="inlineStr"/>
      <c r="G40" s="35" t="n">
        <v>0</v>
      </c>
      <c r="H40" s="35" t="n">
        <v>93600</v>
      </c>
      <c r="I40" s="35">
        <f>G40-H40</f>
        <v/>
      </c>
      <c r="J40" s="33" t="n">
        <v>2024</v>
      </c>
      <c r="K40" s="33" t="n">
        <v>12</v>
      </c>
      <c r="L40" s="34" t="inlineStr">
        <is>
          <t>Winst- en verliesrekening</t>
        </is>
      </c>
      <c r="M40" s="34" t="inlineStr">
        <is>
          <t>Netto-omzet</t>
        </is>
      </c>
      <c r="N40" s="34" t="inlineStr">
        <is>
          <t>Handel laag tarief</t>
        </is>
      </c>
      <c r="O40" s="36">
        <f>IFERROR(INDEX('Mapping'!$F$2:$F$60,MATCH(B40,'Mapping'!$A$2:$A$60,0)),"")</f>
        <v/>
      </c>
    </row>
    <row r="41">
      <c r="A41" s="32" t="n">
        <v>45658</v>
      </c>
      <c r="B41" s="33" t="n">
        <v>8010</v>
      </c>
      <c r="C41" s="34" t="inlineStr">
        <is>
          <t>Omzet handelsgoederen laag</t>
        </is>
      </c>
      <c r="D41" s="34" t="inlineStr">
        <is>
          <t>Verkoop</t>
        </is>
      </c>
      <c r="E41" s="34" t="inlineStr">
        <is>
          <t>Algemeen</t>
        </is>
      </c>
      <c r="F41" s="34" t="inlineStr"/>
      <c r="G41" s="35" t="n">
        <v>0</v>
      </c>
      <c r="H41" s="35" t="n">
        <v>68600</v>
      </c>
      <c r="I41" s="35">
        <f>G41-H41</f>
        <v/>
      </c>
      <c r="J41" s="33" t="n">
        <v>2025</v>
      </c>
      <c r="K41" s="33" t="n">
        <v>1</v>
      </c>
      <c r="L41" s="34" t="inlineStr">
        <is>
          <t>Winst- en verliesrekening</t>
        </is>
      </c>
      <c r="M41" s="34" t="inlineStr">
        <is>
          <t>Netto-omzet</t>
        </is>
      </c>
      <c r="N41" s="34" t="inlineStr">
        <is>
          <t>Handel laag tarief</t>
        </is>
      </c>
      <c r="O41" s="36">
        <f>IFERROR(INDEX('Mapping'!$F$2:$F$60,MATCH(B41,'Mapping'!$A$2:$A$60,0)),"")</f>
        <v/>
      </c>
    </row>
    <row r="42">
      <c r="A42" s="32" t="n">
        <v>45689</v>
      </c>
      <c r="B42" s="33" t="n">
        <v>8010</v>
      </c>
      <c r="C42" s="34" t="inlineStr">
        <is>
          <t>Omzet handelsgoederen laag</t>
        </is>
      </c>
      <c r="D42" s="34" t="inlineStr">
        <is>
          <t>Verkoop</t>
        </is>
      </c>
      <c r="E42" s="34" t="inlineStr">
        <is>
          <t>Algemeen</t>
        </is>
      </c>
      <c r="F42" s="34" t="inlineStr"/>
      <c r="G42" s="35" t="n">
        <v>0</v>
      </c>
      <c r="H42" s="35" t="n">
        <v>68600</v>
      </c>
      <c r="I42" s="35">
        <f>G42-H42</f>
        <v/>
      </c>
      <c r="J42" s="33" t="n">
        <v>2025</v>
      </c>
      <c r="K42" s="33" t="n">
        <v>2</v>
      </c>
      <c r="L42" s="34" t="inlineStr">
        <is>
          <t>Winst- en verliesrekening</t>
        </is>
      </c>
      <c r="M42" s="34" t="inlineStr">
        <is>
          <t>Netto-omzet</t>
        </is>
      </c>
      <c r="N42" s="34" t="inlineStr">
        <is>
          <t>Handel laag tarief</t>
        </is>
      </c>
      <c r="O42" s="36">
        <f>IFERROR(INDEX('Mapping'!$F$2:$F$60,MATCH(B42,'Mapping'!$A$2:$A$60,0)),"")</f>
        <v/>
      </c>
    </row>
    <row r="43">
      <c r="A43" s="32" t="n">
        <v>45717</v>
      </c>
      <c r="B43" s="33" t="n">
        <v>8010</v>
      </c>
      <c r="C43" s="34" t="inlineStr">
        <is>
          <t>Omzet handelsgoederen laag</t>
        </is>
      </c>
      <c r="D43" s="34" t="inlineStr">
        <is>
          <t>Verkoop</t>
        </is>
      </c>
      <c r="E43" s="34" t="inlineStr">
        <is>
          <t>Algemeen</t>
        </is>
      </c>
      <c r="F43" s="34" t="inlineStr"/>
      <c r="G43" s="35" t="n">
        <v>0</v>
      </c>
      <c r="H43" s="35" t="n">
        <v>86240</v>
      </c>
      <c r="I43" s="35">
        <f>G43-H43</f>
        <v/>
      </c>
      <c r="J43" s="33" t="n">
        <v>2025</v>
      </c>
      <c r="K43" s="33" t="n">
        <v>3</v>
      </c>
      <c r="L43" s="34" t="inlineStr">
        <is>
          <t>Winst- en verliesrekening</t>
        </is>
      </c>
      <c r="M43" s="34" t="inlineStr">
        <is>
          <t>Netto-omzet</t>
        </is>
      </c>
      <c r="N43" s="34" t="inlineStr">
        <is>
          <t>Handel laag tarief</t>
        </is>
      </c>
      <c r="O43" s="36">
        <f>IFERROR(INDEX('Mapping'!$F$2:$F$60,MATCH(B43,'Mapping'!$A$2:$A$60,0)),"")</f>
        <v/>
      </c>
    </row>
    <row r="44">
      <c r="A44" s="32" t="n">
        <v>45748</v>
      </c>
      <c r="B44" s="33" t="n">
        <v>8010</v>
      </c>
      <c r="C44" s="34" t="inlineStr">
        <is>
          <t>Omzet handelsgoederen laag</t>
        </is>
      </c>
      <c r="D44" s="34" t="inlineStr">
        <is>
          <t>Verkoop</t>
        </is>
      </c>
      <c r="E44" s="34" t="inlineStr">
        <is>
          <t>Algemeen</t>
        </is>
      </c>
      <c r="F44" s="34" t="inlineStr"/>
      <c r="G44" s="35" t="n">
        <v>0</v>
      </c>
      <c r="H44" s="35" t="n">
        <v>80360</v>
      </c>
      <c r="I44" s="35">
        <f>G44-H44</f>
        <v/>
      </c>
      <c r="J44" s="33" t="n">
        <v>2025</v>
      </c>
      <c r="K44" s="33" t="n">
        <v>4</v>
      </c>
      <c r="L44" s="34" t="inlineStr">
        <is>
          <t>Winst- en verliesrekening</t>
        </is>
      </c>
      <c r="M44" s="34" t="inlineStr">
        <is>
          <t>Netto-omzet</t>
        </is>
      </c>
      <c r="N44" s="34" t="inlineStr">
        <is>
          <t>Handel laag tarief</t>
        </is>
      </c>
      <c r="O44" s="36">
        <f>IFERROR(INDEX('Mapping'!$F$2:$F$60,MATCH(B44,'Mapping'!$A$2:$A$60,0)),"")</f>
        <v/>
      </c>
    </row>
    <row r="45">
      <c r="A45" s="32" t="n">
        <v>45778</v>
      </c>
      <c r="B45" s="33" t="n">
        <v>8010</v>
      </c>
      <c r="C45" s="34" t="inlineStr">
        <is>
          <t>Omzet handelsgoederen laag</t>
        </is>
      </c>
      <c r="D45" s="34" t="inlineStr">
        <is>
          <t>Verkoop</t>
        </is>
      </c>
      <c r="E45" s="34" t="inlineStr">
        <is>
          <t>Algemeen</t>
        </is>
      </c>
      <c r="F45" s="34" t="inlineStr"/>
      <c r="G45" s="35" t="n">
        <v>0</v>
      </c>
      <c r="H45" s="35" t="n">
        <v>84280</v>
      </c>
      <c r="I45" s="35">
        <f>G45-H45</f>
        <v/>
      </c>
      <c r="J45" s="33" t="n">
        <v>2025</v>
      </c>
      <c r="K45" s="33" t="n">
        <v>5</v>
      </c>
      <c r="L45" s="34" t="inlineStr">
        <is>
          <t>Winst- en verliesrekening</t>
        </is>
      </c>
      <c r="M45" s="34" t="inlineStr">
        <is>
          <t>Netto-omzet</t>
        </is>
      </c>
      <c r="N45" s="34" t="inlineStr">
        <is>
          <t>Handel laag tarief</t>
        </is>
      </c>
      <c r="O45" s="36">
        <f>IFERROR(INDEX('Mapping'!$F$2:$F$60,MATCH(B45,'Mapping'!$A$2:$A$60,0)),"")</f>
        <v/>
      </c>
    </row>
    <row r="46">
      <c r="A46" s="32" t="n">
        <v>45809</v>
      </c>
      <c r="B46" s="33" t="n">
        <v>8010</v>
      </c>
      <c r="C46" s="34" t="inlineStr">
        <is>
          <t>Omzet handelsgoederen laag</t>
        </is>
      </c>
      <c r="D46" s="34" t="inlineStr">
        <is>
          <t>Verkoop</t>
        </is>
      </c>
      <c r="E46" s="34" t="inlineStr">
        <is>
          <t>Algemeen</t>
        </is>
      </c>
      <c r="F46" s="34" t="inlineStr"/>
      <c r="G46" s="35" t="n">
        <v>0</v>
      </c>
      <c r="H46" s="35" t="n">
        <v>88200</v>
      </c>
      <c r="I46" s="35">
        <f>G46-H46</f>
        <v/>
      </c>
      <c r="J46" s="33" t="n">
        <v>2025</v>
      </c>
      <c r="K46" s="33" t="n">
        <v>6</v>
      </c>
      <c r="L46" s="34" t="inlineStr">
        <is>
          <t>Winst- en verliesrekening</t>
        </is>
      </c>
      <c r="M46" s="34" t="inlineStr">
        <is>
          <t>Netto-omzet</t>
        </is>
      </c>
      <c r="N46" s="34" t="inlineStr">
        <is>
          <t>Handel laag tarief</t>
        </is>
      </c>
      <c r="O46" s="36">
        <f>IFERROR(INDEX('Mapping'!$F$2:$F$60,MATCH(B46,'Mapping'!$A$2:$A$60,0)),"")</f>
        <v/>
      </c>
    </row>
    <row r="47">
      <c r="A47" s="32" t="n">
        <v>45839</v>
      </c>
      <c r="B47" s="33" t="n">
        <v>8010</v>
      </c>
      <c r="C47" s="34" t="inlineStr">
        <is>
          <t>Omzet handelsgoederen laag</t>
        </is>
      </c>
      <c r="D47" s="34" t="inlineStr">
        <is>
          <t>Verkoop</t>
        </is>
      </c>
      <c r="E47" s="34" t="inlineStr">
        <is>
          <t>Algemeen</t>
        </is>
      </c>
      <c r="F47" s="34" t="inlineStr"/>
      <c r="G47" s="35" t="n">
        <v>0</v>
      </c>
      <c r="H47" s="35" t="n">
        <v>74480</v>
      </c>
      <c r="I47" s="35">
        <f>G47-H47</f>
        <v/>
      </c>
      <c r="J47" s="33" t="n">
        <v>2025</v>
      </c>
      <c r="K47" s="33" t="n">
        <v>7</v>
      </c>
      <c r="L47" s="34" t="inlineStr">
        <is>
          <t>Winst- en verliesrekening</t>
        </is>
      </c>
      <c r="M47" s="34" t="inlineStr">
        <is>
          <t>Netto-omzet</t>
        </is>
      </c>
      <c r="N47" s="34" t="inlineStr">
        <is>
          <t>Handel laag tarief</t>
        </is>
      </c>
      <c r="O47" s="36">
        <f>IFERROR(INDEX('Mapping'!$F$2:$F$60,MATCH(B47,'Mapping'!$A$2:$A$60,0)),"")</f>
        <v/>
      </c>
    </row>
    <row r="48">
      <c r="A48" s="32" t="n">
        <v>45870</v>
      </c>
      <c r="B48" s="33" t="n">
        <v>8010</v>
      </c>
      <c r="C48" s="34" t="inlineStr">
        <is>
          <t>Omzet handelsgoederen laag</t>
        </is>
      </c>
      <c r="D48" s="34" t="inlineStr">
        <is>
          <t>Verkoop</t>
        </is>
      </c>
      <c r="E48" s="34" t="inlineStr">
        <is>
          <t>Algemeen</t>
        </is>
      </c>
      <c r="F48" s="34" t="inlineStr"/>
      <c r="G48" s="35" t="n">
        <v>0</v>
      </c>
      <c r="H48" s="35" t="n">
        <v>68600</v>
      </c>
      <c r="I48" s="35">
        <f>G48-H48</f>
        <v/>
      </c>
      <c r="J48" s="33" t="n">
        <v>2025</v>
      </c>
      <c r="K48" s="33" t="n">
        <v>8</v>
      </c>
      <c r="L48" s="34" t="inlineStr">
        <is>
          <t>Winst- en verliesrekening</t>
        </is>
      </c>
      <c r="M48" s="34" t="inlineStr">
        <is>
          <t>Netto-omzet</t>
        </is>
      </c>
      <c r="N48" s="34" t="inlineStr">
        <is>
          <t>Handel laag tarief</t>
        </is>
      </c>
      <c r="O48" s="36">
        <f>IFERROR(INDEX('Mapping'!$F$2:$F$60,MATCH(B48,'Mapping'!$A$2:$A$60,0)),"")</f>
        <v/>
      </c>
    </row>
    <row r="49">
      <c r="A49" s="32" t="n">
        <v>45901</v>
      </c>
      <c r="B49" s="33" t="n">
        <v>8010</v>
      </c>
      <c r="C49" s="34" t="inlineStr">
        <is>
          <t>Omzet handelsgoederen laag</t>
        </is>
      </c>
      <c r="D49" s="34" t="inlineStr">
        <is>
          <t>Verkoop</t>
        </is>
      </c>
      <c r="E49" s="34" t="inlineStr">
        <is>
          <t>Algemeen</t>
        </is>
      </c>
      <c r="F49" s="34" t="inlineStr"/>
      <c r="G49" s="35" t="n">
        <v>0</v>
      </c>
      <c r="H49" s="35" t="n">
        <v>86240</v>
      </c>
      <c r="I49" s="35">
        <f>G49-H49</f>
        <v/>
      </c>
      <c r="J49" s="33" t="n">
        <v>2025</v>
      </c>
      <c r="K49" s="33" t="n">
        <v>9</v>
      </c>
      <c r="L49" s="34" t="inlineStr">
        <is>
          <t>Winst- en verliesrekening</t>
        </is>
      </c>
      <c r="M49" s="34" t="inlineStr">
        <is>
          <t>Netto-omzet</t>
        </is>
      </c>
      <c r="N49" s="34" t="inlineStr">
        <is>
          <t>Handel laag tarief</t>
        </is>
      </c>
      <c r="O49" s="36">
        <f>IFERROR(INDEX('Mapping'!$F$2:$F$60,MATCH(B49,'Mapping'!$A$2:$A$60,0)),"")</f>
        <v/>
      </c>
    </row>
    <row r="50">
      <c r="A50" s="32" t="n">
        <v>45931</v>
      </c>
      <c r="B50" s="33" t="n">
        <v>8010</v>
      </c>
      <c r="C50" s="34" t="inlineStr">
        <is>
          <t>Omzet handelsgoederen laag</t>
        </is>
      </c>
      <c r="D50" s="34" t="inlineStr">
        <is>
          <t>Verkoop</t>
        </is>
      </c>
      <c r="E50" s="34" t="inlineStr">
        <is>
          <t>Algemeen</t>
        </is>
      </c>
      <c r="F50" s="34" t="inlineStr"/>
      <c r="G50" s="35" t="n">
        <v>0</v>
      </c>
      <c r="H50" s="35" t="n">
        <v>88200</v>
      </c>
      <c r="I50" s="35">
        <f>G50-H50</f>
        <v/>
      </c>
      <c r="J50" s="33" t="n">
        <v>2025</v>
      </c>
      <c r="K50" s="33" t="n">
        <v>10</v>
      </c>
      <c r="L50" s="34" t="inlineStr">
        <is>
          <t>Winst- en verliesrekening</t>
        </is>
      </c>
      <c r="M50" s="34" t="inlineStr">
        <is>
          <t>Netto-omzet</t>
        </is>
      </c>
      <c r="N50" s="34" t="inlineStr">
        <is>
          <t>Handel laag tarief</t>
        </is>
      </c>
      <c r="O50" s="36">
        <f>IFERROR(INDEX('Mapping'!$F$2:$F$60,MATCH(B50,'Mapping'!$A$2:$A$60,0)),"")</f>
        <v/>
      </c>
    </row>
    <row r="51">
      <c r="A51" s="32" t="n">
        <v>45962</v>
      </c>
      <c r="B51" s="33" t="n">
        <v>8010</v>
      </c>
      <c r="C51" s="34" t="inlineStr">
        <is>
          <t>Omzet handelsgoederen laag</t>
        </is>
      </c>
      <c r="D51" s="34" t="inlineStr">
        <is>
          <t>Verkoop</t>
        </is>
      </c>
      <c r="E51" s="34" t="inlineStr">
        <is>
          <t>Algemeen</t>
        </is>
      </c>
      <c r="F51" s="34" t="inlineStr"/>
      <c r="G51" s="35" t="n">
        <v>0</v>
      </c>
      <c r="H51" s="35" t="n">
        <v>84280</v>
      </c>
      <c r="I51" s="35">
        <f>G51-H51</f>
        <v/>
      </c>
      <c r="J51" s="33" t="n">
        <v>2025</v>
      </c>
      <c r="K51" s="33" t="n">
        <v>11</v>
      </c>
      <c r="L51" s="34" t="inlineStr">
        <is>
          <t>Winst- en verliesrekening</t>
        </is>
      </c>
      <c r="M51" s="34" t="inlineStr">
        <is>
          <t>Netto-omzet</t>
        </is>
      </c>
      <c r="N51" s="34" t="inlineStr">
        <is>
          <t>Handel laag tarief</t>
        </is>
      </c>
      <c r="O51" s="36">
        <f>IFERROR(INDEX('Mapping'!$F$2:$F$60,MATCH(B51,'Mapping'!$A$2:$A$60,0)),"")</f>
        <v/>
      </c>
    </row>
    <row r="52">
      <c r="A52" s="32" t="n">
        <v>45992</v>
      </c>
      <c r="B52" s="33" t="n">
        <v>8010</v>
      </c>
      <c r="C52" s="34" t="inlineStr">
        <is>
          <t>Omzet handelsgoederen laag</t>
        </is>
      </c>
      <c r="D52" s="34" t="inlineStr">
        <is>
          <t>Verkoop</t>
        </is>
      </c>
      <c r="E52" s="34" t="inlineStr">
        <is>
          <t>Algemeen</t>
        </is>
      </c>
      <c r="F52" s="34" t="inlineStr"/>
      <c r="G52" s="35" t="n">
        <v>0</v>
      </c>
      <c r="H52" s="35" t="n">
        <v>101920</v>
      </c>
      <c r="I52" s="35">
        <f>G52-H52</f>
        <v/>
      </c>
      <c r="J52" s="33" t="n">
        <v>2025</v>
      </c>
      <c r="K52" s="33" t="n">
        <v>12</v>
      </c>
      <c r="L52" s="34" t="inlineStr">
        <is>
          <t>Winst- en verliesrekening</t>
        </is>
      </c>
      <c r="M52" s="34" t="inlineStr">
        <is>
          <t>Netto-omzet</t>
        </is>
      </c>
      <c r="N52" s="34" t="inlineStr">
        <is>
          <t>Handel laag tarief</t>
        </is>
      </c>
      <c r="O52" s="36">
        <f>IFERROR(INDEX('Mapping'!$F$2:$F$60,MATCH(B52,'Mapping'!$A$2:$A$60,0)),"")</f>
        <v/>
      </c>
    </row>
    <row r="53">
      <c r="A53" s="32" t="n">
        <v>45292</v>
      </c>
      <c r="B53" s="33" t="n">
        <v>8020</v>
      </c>
      <c r="C53" s="34" t="inlineStr">
        <is>
          <t>Omzet dienstverlening</t>
        </is>
      </c>
      <c r="D53" s="34" t="inlineStr">
        <is>
          <t>Verkoop</t>
        </is>
      </c>
      <c r="E53" s="34" t="inlineStr">
        <is>
          <t>Algemeen</t>
        </is>
      </c>
      <c r="F53" s="34" t="inlineStr"/>
      <c r="G53" s="35" t="n">
        <v>0</v>
      </c>
      <c r="H53" s="35" t="n">
        <v>37100</v>
      </c>
      <c r="I53" s="35">
        <f>G53-H53</f>
        <v/>
      </c>
      <c r="J53" s="33" t="n">
        <v>2024</v>
      </c>
      <c r="K53" s="33" t="n">
        <v>1</v>
      </c>
      <c r="L53" s="34" t="inlineStr">
        <is>
          <t>Winst- en verliesrekening</t>
        </is>
      </c>
      <c r="M53" s="34" t="inlineStr">
        <is>
          <t>Netto-omzet</t>
        </is>
      </c>
      <c r="N53" s="34" t="inlineStr">
        <is>
          <t>Diensten</t>
        </is>
      </c>
      <c r="O53" s="36">
        <f>IFERROR(INDEX('Mapping'!$F$2:$F$60,MATCH(B53,'Mapping'!$A$2:$A$60,0)),"")</f>
        <v/>
      </c>
    </row>
    <row r="54">
      <c r="A54" s="32" t="n">
        <v>45323</v>
      </c>
      <c r="B54" s="33" t="n">
        <v>8020</v>
      </c>
      <c r="C54" s="34" t="inlineStr">
        <is>
          <t>Omzet dienstverlening</t>
        </is>
      </c>
      <c r="D54" s="34" t="inlineStr">
        <is>
          <t>Verkoop</t>
        </is>
      </c>
      <c r="E54" s="34" t="inlineStr">
        <is>
          <t>Algemeen</t>
        </is>
      </c>
      <c r="F54" s="34" t="inlineStr"/>
      <c r="G54" s="35" t="n">
        <v>0</v>
      </c>
      <c r="H54" s="35" t="n">
        <v>37100</v>
      </c>
      <c r="I54" s="35">
        <f>G54-H54</f>
        <v/>
      </c>
      <c r="J54" s="33" t="n">
        <v>2024</v>
      </c>
      <c r="K54" s="33" t="n">
        <v>2</v>
      </c>
      <c r="L54" s="34" t="inlineStr">
        <is>
          <t>Winst- en verliesrekening</t>
        </is>
      </c>
      <c r="M54" s="34" t="inlineStr">
        <is>
          <t>Netto-omzet</t>
        </is>
      </c>
      <c r="N54" s="34" t="inlineStr">
        <is>
          <t>Diensten</t>
        </is>
      </c>
      <c r="O54" s="36">
        <f>IFERROR(INDEX('Mapping'!$F$2:$F$60,MATCH(B54,'Mapping'!$A$2:$A$60,0)),"")</f>
        <v/>
      </c>
    </row>
    <row r="55">
      <c r="A55" s="32" t="n">
        <v>45352</v>
      </c>
      <c r="B55" s="33" t="n">
        <v>8020</v>
      </c>
      <c r="C55" s="34" t="inlineStr">
        <is>
          <t>Omzet dienstverlening</t>
        </is>
      </c>
      <c r="D55" s="34" t="inlineStr">
        <is>
          <t>Verkoop</t>
        </is>
      </c>
      <c r="E55" s="34" t="inlineStr">
        <is>
          <t>Algemeen</t>
        </is>
      </c>
      <c r="F55" s="34" t="inlineStr"/>
      <c r="G55" s="35" t="n">
        <v>0</v>
      </c>
      <c r="H55" s="35" t="n">
        <v>46640</v>
      </c>
      <c r="I55" s="35">
        <f>G55-H55</f>
        <v/>
      </c>
      <c r="J55" s="33" t="n">
        <v>2024</v>
      </c>
      <c r="K55" s="33" t="n">
        <v>3</v>
      </c>
      <c r="L55" s="34" t="inlineStr">
        <is>
          <t>Winst- en verliesrekening</t>
        </is>
      </c>
      <c r="M55" s="34" t="inlineStr">
        <is>
          <t>Netto-omzet</t>
        </is>
      </c>
      <c r="N55" s="34" t="inlineStr">
        <is>
          <t>Diensten</t>
        </is>
      </c>
      <c r="O55" s="36">
        <f>IFERROR(INDEX('Mapping'!$F$2:$F$60,MATCH(B55,'Mapping'!$A$2:$A$60,0)),"")</f>
        <v/>
      </c>
    </row>
    <row r="56">
      <c r="A56" s="32" t="n">
        <v>45383</v>
      </c>
      <c r="B56" s="33" t="n">
        <v>8020</v>
      </c>
      <c r="C56" s="34" t="inlineStr">
        <is>
          <t>Omzet dienstverlening</t>
        </is>
      </c>
      <c r="D56" s="34" t="inlineStr">
        <is>
          <t>Verkoop</t>
        </is>
      </c>
      <c r="E56" s="34" t="inlineStr">
        <is>
          <t>Algemeen</t>
        </is>
      </c>
      <c r="F56" s="34" t="inlineStr"/>
      <c r="G56" s="35" t="n">
        <v>0</v>
      </c>
      <c r="H56" s="35" t="n">
        <v>43460</v>
      </c>
      <c r="I56" s="35">
        <f>G56-H56</f>
        <v/>
      </c>
      <c r="J56" s="33" t="n">
        <v>2024</v>
      </c>
      <c r="K56" s="33" t="n">
        <v>4</v>
      </c>
      <c r="L56" s="34" t="inlineStr">
        <is>
          <t>Winst- en verliesrekening</t>
        </is>
      </c>
      <c r="M56" s="34" t="inlineStr">
        <is>
          <t>Netto-omzet</t>
        </is>
      </c>
      <c r="N56" s="34" t="inlineStr">
        <is>
          <t>Diensten</t>
        </is>
      </c>
      <c r="O56" s="36">
        <f>IFERROR(INDEX('Mapping'!$F$2:$F$60,MATCH(B56,'Mapping'!$A$2:$A$60,0)),"")</f>
        <v/>
      </c>
    </row>
    <row r="57">
      <c r="A57" s="32" t="n">
        <v>45413</v>
      </c>
      <c r="B57" s="33" t="n">
        <v>8020</v>
      </c>
      <c r="C57" s="34" t="inlineStr">
        <is>
          <t>Omzet dienstverlening</t>
        </is>
      </c>
      <c r="D57" s="34" t="inlineStr">
        <is>
          <t>Verkoop</t>
        </is>
      </c>
      <c r="E57" s="34" t="inlineStr">
        <is>
          <t>Algemeen</t>
        </is>
      </c>
      <c r="F57" s="34" t="inlineStr"/>
      <c r="G57" s="35" t="n">
        <v>0</v>
      </c>
      <c r="H57" s="35" t="n">
        <v>45580</v>
      </c>
      <c r="I57" s="35">
        <f>G57-H57</f>
        <v/>
      </c>
      <c r="J57" s="33" t="n">
        <v>2024</v>
      </c>
      <c r="K57" s="33" t="n">
        <v>5</v>
      </c>
      <c r="L57" s="34" t="inlineStr">
        <is>
          <t>Winst- en verliesrekening</t>
        </is>
      </c>
      <c r="M57" s="34" t="inlineStr">
        <is>
          <t>Netto-omzet</t>
        </is>
      </c>
      <c r="N57" s="34" t="inlineStr">
        <is>
          <t>Diensten</t>
        </is>
      </c>
      <c r="O57" s="36">
        <f>IFERROR(INDEX('Mapping'!$F$2:$F$60,MATCH(B57,'Mapping'!$A$2:$A$60,0)),"")</f>
        <v/>
      </c>
    </row>
    <row r="58">
      <c r="A58" s="32" t="n">
        <v>45444</v>
      </c>
      <c r="B58" s="33" t="n">
        <v>8020</v>
      </c>
      <c r="C58" s="34" t="inlineStr">
        <is>
          <t>Omzet dienstverlening</t>
        </is>
      </c>
      <c r="D58" s="34" t="inlineStr">
        <is>
          <t>Verkoop</t>
        </is>
      </c>
      <c r="E58" s="34" t="inlineStr">
        <is>
          <t>Algemeen</t>
        </is>
      </c>
      <c r="F58" s="34" t="inlineStr"/>
      <c r="G58" s="35" t="n">
        <v>0</v>
      </c>
      <c r="H58" s="35" t="n">
        <v>47700</v>
      </c>
      <c r="I58" s="35">
        <f>G58-H58</f>
        <v/>
      </c>
      <c r="J58" s="33" t="n">
        <v>2024</v>
      </c>
      <c r="K58" s="33" t="n">
        <v>6</v>
      </c>
      <c r="L58" s="34" t="inlineStr">
        <is>
          <t>Winst- en verliesrekening</t>
        </is>
      </c>
      <c r="M58" s="34" t="inlineStr">
        <is>
          <t>Netto-omzet</t>
        </is>
      </c>
      <c r="N58" s="34" t="inlineStr">
        <is>
          <t>Diensten</t>
        </is>
      </c>
      <c r="O58" s="36">
        <f>IFERROR(INDEX('Mapping'!$F$2:$F$60,MATCH(B58,'Mapping'!$A$2:$A$60,0)),"")</f>
        <v/>
      </c>
    </row>
    <row r="59">
      <c r="A59" s="32" t="n">
        <v>45474</v>
      </c>
      <c r="B59" s="33" t="n">
        <v>8020</v>
      </c>
      <c r="C59" s="34" t="inlineStr">
        <is>
          <t>Omzet dienstverlening</t>
        </is>
      </c>
      <c r="D59" s="34" t="inlineStr">
        <is>
          <t>Verkoop</t>
        </is>
      </c>
      <c r="E59" s="34" t="inlineStr">
        <is>
          <t>Algemeen</t>
        </is>
      </c>
      <c r="F59" s="34" t="inlineStr"/>
      <c r="G59" s="35" t="n">
        <v>0</v>
      </c>
      <c r="H59" s="35" t="n">
        <v>40280</v>
      </c>
      <c r="I59" s="35">
        <f>G59-H59</f>
        <v/>
      </c>
      <c r="J59" s="33" t="n">
        <v>2024</v>
      </c>
      <c r="K59" s="33" t="n">
        <v>7</v>
      </c>
      <c r="L59" s="34" t="inlineStr">
        <is>
          <t>Winst- en verliesrekening</t>
        </is>
      </c>
      <c r="M59" s="34" t="inlineStr">
        <is>
          <t>Netto-omzet</t>
        </is>
      </c>
      <c r="N59" s="34" t="inlineStr">
        <is>
          <t>Diensten</t>
        </is>
      </c>
      <c r="O59" s="36">
        <f>IFERROR(INDEX('Mapping'!$F$2:$F$60,MATCH(B59,'Mapping'!$A$2:$A$60,0)),"")</f>
        <v/>
      </c>
    </row>
    <row r="60">
      <c r="A60" s="32" t="n">
        <v>45505</v>
      </c>
      <c r="B60" s="33" t="n">
        <v>8020</v>
      </c>
      <c r="C60" s="34" t="inlineStr">
        <is>
          <t>Omzet dienstverlening</t>
        </is>
      </c>
      <c r="D60" s="34" t="inlineStr">
        <is>
          <t>Verkoop</t>
        </is>
      </c>
      <c r="E60" s="34" t="inlineStr">
        <is>
          <t>Algemeen</t>
        </is>
      </c>
      <c r="F60" s="34" t="inlineStr"/>
      <c r="G60" s="35" t="n">
        <v>0</v>
      </c>
      <c r="H60" s="35" t="n">
        <v>37100</v>
      </c>
      <c r="I60" s="35">
        <f>G60-H60</f>
        <v/>
      </c>
      <c r="J60" s="33" t="n">
        <v>2024</v>
      </c>
      <c r="K60" s="33" t="n">
        <v>8</v>
      </c>
      <c r="L60" s="34" t="inlineStr">
        <is>
          <t>Winst- en verliesrekening</t>
        </is>
      </c>
      <c r="M60" s="34" t="inlineStr">
        <is>
          <t>Netto-omzet</t>
        </is>
      </c>
      <c r="N60" s="34" t="inlineStr">
        <is>
          <t>Diensten</t>
        </is>
      </c>
      <c r="O60" s="36">
        <f>IFERROR(INDEX('Mapping'!$F$2:$F$60,MATCH(B60,'Mapping'!$A$2:$A$60,0)),"")</f>
        <v/>
      </c>
    </row>
    <row r="61">
      <c r="A61" s="32" t="n">
        <v>45536</v>
      </c>
      <c r="B61" s="33" t="n">
        <v>8020</v>
      </c>
      <c r="C61" s="34" t="inlineStr">
        <is>
          <t>Omzet dienstverlening</t>
        </is>
      </c>
      <c r="D61" s="34" t="inlineStr">
        <is>
          <t>Verkoop</t>
        </is>
      </c>
      <c r="E61" s="34" t="inlineStr">
        <is>
          <t>Algemeen</t>
        </is>
      </c>
      <c r="F61" s="34" t="inlineStr"/>
      <c r="G61" s="35" t="n">
        <v>0</v>
      </c>
      <c r="H61" s="35" t="n">
        <v>46640</v>
      </c>
      <c r="I61" s="35">
        <f>G61-H61</f>
        <v/>
      </c>
      <c r="J61" s="33" t="n">
        <v>2024</v>
      </c>
      <c r="K61" s="33" t="n">
        <v>9</v>
      </c>
      <c r="L61" s="34" t="inlineStr">
        <is>
          <t>Winst- en verliesrekening</t>
        </is>
      </c>
      <c r="M61" s="34" t="inlineStr">
        <is>
          <t>Netto-omzet</t>
        </is>
      </c>
      <c r="N61" s="34" t="inlineStr">
        <is>
          <t>Diensten</t>
        </is>
      </c>
      <c r="O61" s="36">
        <f>IFERROR(INDEX('Mapping'!$F$2:$F$60,MATCH(B61,'Mapping'!$A$2:$A$60,0)),"")</f>
        <v/>
      </c>
    </row>
    <row r="62">
      <c r="A62" s="32" t="n">
        <v>45566</v>
      </c>
      <c r="B62" s="33" t="n">
        <v>8020</v>
      </c>
      <c r="C62" s="34" t="inlineStr">
        <is>
          <t>Omzet dienstverlening</t>
        </is>
      </c>
      <c r="D62" s="34" t="inlineStr">
        <is>
          <t>Verkoop</t>
        </is>
      </c>
      <c r="E62" s="34" t="inlineStr">
        <is>
          <t>Algemeen</t>
        </is>
      </c>
      <c r="F62" s="34" t="inlineStr"/>
      <c r="G62" s="35" t="n">
        <v>0</v>
      </c>
      <c r="H62" s="35" t="n">
        <v>47700</v>
      </c>
      <c r="I62" s="35">
        <f>G62-H62</f>
        <v/>
      </c>
      <c r="J62" s="33" t="n">
        <v>2024</v>
      </c>
      <c r="K62" s="33" t="n">
        <v>10</v>
      </c>
      <c r="L62" s="34" t="inlineStr">
        <is>
          <t>Winst- en verliesrekening</t>
        </is>
      </c>
      <c r="M62" s="34" t="inlineStr">
        <is>
          <t>Netto-omzet</t>
        </is>
      </c>
      <c r="N62" s="34" t="inlineStr">
        <is>
          <t>Diensten</t>
        </is>
      </c>
      <c r="O62" s="36">
        <f>IFERROR(INDEX('Mapping'!$F$2:$F$60,MATCH(B62,'Mapping'!$A$2:$A$60,0)),"")</f>
        <v/>
      </c>
    </row>
    <row r="63">
      <c r="A63" s="32" t="n">
        <v>45597</v>
      </c>
      <c r="B63" s="33" t="n">
        <v>8020</v>
      </c>
      <c r="C63" s="34" t="inlineStr">
        <is>
          <t>Omzet dienstverlening</t>
        </is>
      </c>
      <c r="D63" s="34" t="inlineStr">
        <is>
          <t>Verkoop</t>
        </is>
      </c>
      <c r="E63" s="34" t="inlineStr">
        <is>
          <t>Algemeen</t>
        </is>
      </c>
      <c r="F63" s="34" t="inlineStr"/>
      <c r="G63" s="35" t="n">
        <v>0</v>
      </c>
      <c r="H63" s="35" t="n">
        <v>45580</v>
      </c>
      <c r="I63" s="35">
        <f>G63-H63</f>
        <v/>
      </c>
      <c r="J63" s="33" t="n">
        <v>2024</v>
      </c>
      <c r="K63" s="33" t="n">
        <v>11</v>
      </c>
      <c r="L63" s="34" t="inlineStr">
        <is>
          <t>Winst- en verliesrekening</t>
        </is>
      </c>
      <c r="M63" s="34" t="inlineStr">
        <is>
          <t>Netto-omzet</t>
        </is>
      </c>
      <c r="N63" s="34" t="inlineStr">
        <is>
          <t>Diensten</t>
        </is>
      </c>
      <c r="O63" s="36">
        <f>IFERROR(INDEX('Mapping'!$F$2:$F$60,MATCH(B63,'Mapping'!$A$2:$A$60,0)),"")</f>
        <v/>
      </c>
    </row>
    <row r="64">
      <c r="A64" s="32" t="n">
        <v>45627</v>
      </c>
      <c r="B64" s="33" t="n">
        <v>8020</v>
      </c>
      <c r="C64" s="34" t="inlineStr">
        <is>
          <t>Omzet dienstverlening</t>
        </is>
      </c>
      <c r="D64" s="34" t="inlineStr">
        <is>
          <t>Verkoop</t>
        </is>
      </c>
      <c r="E64" s="34" t="inlineStr">
        <is>
          <t>Algemeen</t>
        </is>
      </c>
      <c r="F64" s="34" t="inlineStr"/>
      <c r="G64" s="35" t="n">
        <v>0</v>
      </c>
      <c r="H64" s="35" t="n">
        <v>55120</v>
      </c>
      <c r="I64" s="35">
        <f>G64-H64</f>
        <v/>
      </c>
      <c r="J64" s="33" t="n">
        <v>2024</v>
      </c>
      <c r="K64" s="33" t="n">
        <v>12</v>
      </c>
      <c r="L64" s="34" t="inlineStr">
        <is>
          <t>Winst- en verliesrekening</t>
        </is>
      </c>
      <c r="M64" s="34" t="inlineStr">
        <is>
          <t>Netto-omzet</t>
        </is>
      </c>
      <c r="N64" s="34" t="inlineStr">
        <is>
          <t>Diensten</t>
        </is>
      </c>
      <c r="O64" s="36">
        <f>IFERROR(INDEX('Mapping'!$F$2:$F$60,MATCH(B64,'Mapping'!$A$2:$A$60,0)),"")</f>
        <v/>
      </c>
    </row>
    <row r="65">
      <c r="A65" s="32" t="n">
        <v>45658</v>
      </c>
      <c r="B65" s="33" t="n">
        <v>8020</v>
      </c>
      <c r="C65" s="34" t="inlineStr">
        <is>
          <t>Omzet dienstverlening</t>
        </is>
      </c>
      <c r="D65" s="34" t="inlineStr">
        <is>
          <t>Verkoop</t>
        </is>
      </c>
      <c r="E65" s="34" t="inlineStr">
        <is>
          <t>Algemeen</t>
        </is>
      </c>
      <c r="F65" s="34" t="inlineStr"/>
      <c r="G65" s="35" t="n">
        <v>0</v>
      </c>
      <c r="H65" s="35" t="n">
        <v>39900</v>
      </c>
      <c r="I65" s="35">
        <f>G65-H65</f>
        <v/>
      </c>
      <c r="J65" s="33" t="n">
        <v>2025</v>
      </c>
      <c r="K65" s="33" t="n">
        <v>1</v>
      </c>
      <c r="L65" s="34" t="inlineStr">
        <is>
          <t>Winst- en verliesrekening</t>
        </is>
      </c>
      <c r="M65" s="34" t="inlineStr">
        <is>
          <t>Netto-omzet</t>
        </is>
      </c>
      <c r="N65" s="34" t="inlineStr">
        <is>
          <t>Diensten</t>
        </is>
      </c>
      <c r="O65" s="36">
        <f>IFERROR(INDEX('Mapping'!$F$2:$F$60,MATCH(B65,'Mapping'!$A$2:$A$60,0)),"")</f>
        <v/>
      </c>
    </row>
    <row r="66">
      <c r="A66" s="32" t="n">
        <v>45689</v>
      </c>
      <c r="B66" s="33" t="n">
        <v>8020</v>
      </c>
      <c r="C66" s="34" t="inlineStr">
        <is>
          <t>Omzet dienstverlening</t>
        </is>
      </c>
      <c r="D66" s="34" t="inlineStr">
        <is>
          <t>Verkoop</t>
        </is>
      </c>
      <c r="E66" s="34" t="inlineStr">
        <is>
          <t>Algemeen</t>
        </is>
      </c>
      <c r="F66" s="34" t="inlineStr"/>
      <c r="G66" s="35" t="n">
        <v>0</v>
      </c>
      <c r="H66" s="35" t="n">
        <v>39900</v>
      </c>
      <c r="I66" s="35">
        <f>G66-H66</f>
        <v/>
      </c>
      <c r="J66" s="33" t="n">
        <v>2025</v>
      </c>
      <c r="K66" s="33" t="n">
        <v>2</v>
      </c>
      <c r="L66" s="34" t="inlineStr">
        <is>
          <t>Winst- en verliesrekening</t>
        </is>
      </c>
      <c r="M66" s="34" t="inlineStr">
        <is>
          <t>Netto-omzet</t>
        </is>
      </c>
      <c r="N66" s="34" t="inlineStr">
        <is>
          <t>Diensten</t>
        </is>
      </c>
      <c r="O66" s="36">
        <f>IFERROR(INDEX('Mapping'!$F$2:$F$60,MATCH(B66,'Mapping'!$A$2:$A$60,0)),"")</f>
        <v/>
      </c>
    </row>
    <row r="67">
      <c r="A67" s="32" t="n">
        <v>45717</v>
      </c>
      <c r="B67" s="33" t="n">
        <v>8020</v>
      </c>
      <c r="C67" s="34" t="inlineStr">
        <is>
          <t>Omzet dienstverlening</t>
        </is>
      </c>
      <c r="D67" s="34" t="inlineStr">
        <is>
          <t>Verkoop</t>
        </is>
      </c>
      <c r="E67" s="34" t="inlineStr">
        <is>
          <t>Algemeen</t>
        </is>
      </c>
      <c r="F67" s="34" t="inlineStr"/>
      <c r="G67" s="35" t="n">
        <v>0</v>
      </c>
      <c r="H67" s="35" t="n">
        <v>50160</v>
      </c>
      <c r="I67" s="35">
        <f>G67-H67</f>
        <v/>
      </c>
      <c r="J67" s="33" t="n">
        <v>2025</v>
      </c>
      <c r="K67" s="33" t="n">
        <v>3</v>
      </c>
      <c r="L67" s="34" t="inlineStr">
        <is>
          <t>Winst- en verliesrekening</t>
        </is>
      </c>
      <c r="M67" s="34" t="inlineStr">
        <is>
          <t>Netto-omzet</t>
        </is>
      </c>
      <c r="N67" s="34" t="inlineStr">
        <is>
          <t>Diensten</t>
        </is>
      </c>
      <c r="O67" s="36">
        <f>IFERROR(INDEX('Mapping'!$F$2:$F$60,MATCH(B67,'Mapping'!$A$2:$A$60,0)),"")</f>
        <v/>
      </c>
    </row>
    <row r="68">
      <c r="A68" s="32" t="n">
        <v>45748</v>
      </c>
      <c r="B68" s="33" t="n">
        <v>8020</v>
      </c>
      <c r="C68" s="34" t="inlineStr">
        <is>
          <t>Omzet dienstverlening</t>
        </is>
      </c>
      <c r="D68" s="34" t="inlineStr">
        <is>
          <t>Verkoop</t>
        </is>
      </c>
      <c r="E68" s="34" t="inlineStr">
        <is>
          <t>Algemeen</t>
        </is>
      </c>
      <c r="F68" s="34" t="inlineStr"/>
      <c r="G68" s="35" t="n">
        <v>0</v>
      </c>
      <c r="H68" s="35" t="n">
        <v>46740</v>
      </c>
      <c r="I68" s="35">
        <f>G68-H68</f>
        <v/>
      </c>
      <c r="J68" s="33" t="n">
        <v>2025</v>
      </c>
      <c r="K68" s="33" t="n">
        <v>4</v>
      </c>
      <c r="L68" s="34" t="inlineStr">
        <is>
          <t>Winst- en verliesrekening</t>
        </is>
      </c>
      <c r="M68" s="34" t="inlineStr">
        <is>
          <t>Netto-omzet</t>
        </is>
      </c>
      <c r="N68" s="34" t="inlineStr">
        <is>
          <t>Diensten</t>
        </is>
      </c>
      <c r="O68" s="36">
        <f>IFERROR(INDEX('Mapping'!$F$2:$F$60,MATCH(B68,'Mapping'!$A$2:$A$60,0)),"")</f>
        <v/>
      </c>
    </row>
    <row r="69">
      <c r="A69" s="32" t="n">
        <v>45778</v>
      </c>
      <c r="B69" s="33" t="n">
        <v>8020</v>
      </c>
      <c r="C69" s="34" t="inlineStr">
        <is>
          <t>Omzet dienstverlening</t>
        </is>
      </c>
      <c r="D69" s="34" t="inlineStr">
        <is>
          <t>Verkoop</t>
        </is>
      </c>
      <c r="E69" s="34" t="inlineStr">
        <is>
          <t>Algemeen</t>
        </is>
      </c>
      <c r="F69" s="34" t="inlineStr"/>
      <c r="G69" s="35" t="n">
        <v>0</v>
      </c>
      <c r="H69" s="35" t="n">
        <v>49020</v>
      </c>
      <c r="I69" s="35">
        <f>G69-H69</f>
        <v/>
      </c>
      <c r="J69" s="33" t="n">
        <v>2025</v>
      </c>
      <c r="K69" s="33" t="n">
        <v>5</v>
      </c>
      <c r="L69" s="34" t="inlineStr">
        <is>
          <t>Winst- en verliesrekening</t>
        </is>
      </c>
      <c r="M69" s="34" t="inlineStr">
        <is>
          <t>Netto-omzet</t>
        </is>
      </c>
      <c r="N69" s="34" t="inlineStr">
        <is>
          <t>Diensten</t>
        </is>
      </c>
      <c r="O69" s="36">
        <f>IFERROR(INDEX('Mapping'!$F$2:$F$60,MATCH(B69,'Mapping'!$A$2:$A$60,0)),"")</f>
        <v/>
      </c>
    </row>
    <row r="70">
      <c r="A70" s="32" t="n">
        <v>45809</v>
      </c>
      <c r="B70" s="33" t="n">
        <v>8020</v>
      </c>
      <c r="C70" s="34" t="inlineStr">
        <is>
          <t>Omzet dienstverlening</t>
        </is>
      </c>
      <c r="D70" s="34" t="inlineStr">
        <is>
          <t>Verkoop</t>
        </is>
      </c>
      <c r="E70" s="34" t="inlineStr">
        <is>
          <t>Algemeen</t>
        </is>
      </c>
      <c r="F70" s="34" t="inlineStr"/>
      <c r="G70" s="35" t="n">
        <v>0</v>
      </c>
      <c r="H70" s="35" t="n">
        <v>51300</v>
      </c>
      <c r="I70" s="35">
        <f>G70-H70</f>
        <v/>
      </c>
      <c r="J70" s="33" t="n">
        <v>2025</v>
      </c>
      <c r="K70" s="33" t="n">
        <v>6</v>
      </c>
      <c r="L70" s="34" t="inlineStr">
        <is>
          <t>Winst- en verliesrekening</t>
        </is>
      </c>
      <c r="M70" s="34" t="inlineStr">
        <is>
          <t>Netto-omzet</t>
        </is>
      </c>
      <c r="N70" s="34" t="inlineStr">
        <is>
          <t>Diensten</t>
        </is>
      </c>
      <c r="O70" s="36">
        <f>IFERROR(INDEX('Mapping'!$F$2:$F$60,MATCH(B70,'Mapping'!$A$2:$A$60,0)),"")</f>
        <v/>
      </c>
    </row>
    <row r="71">
      <c r="A71" s="32" t="n">
        <v>45839</v>
      </c>
      <c r="B71" s="33" t="n">
        <v>8020</v>
      </c>
      <c r="C71" s="34" t="inlineStr">
        <is>
          <t>Omzet dienstverlening</t>
        </is>
      </c>
      <c r="D71" s="34" t="inlineStr">
        <is>
          <t>Verkoop</t>
        </is>
      </c>
      <c r="E71" s="34" t="inlineStr">
        <is>
          <t>Algemeen</t>
        </is>
      </c>
      <c r="F71" s="34" t="inlineStr"/>
      <c r="G71" s="35" t="n">
        <v>0</v>
      </c>
      <c r="H71" s="35" t="n">
        <v>43320</v>
      </c>
      <c r="I71" s="35">
        <f>G71-H71</f>
        <v/>
      </c>
      <c r="J71" s="33" t="n">
        <v>2025</v>
      </c>
      <c r="K71" s="33" t="n">
        <v>7</v>
      </c>
      <c r="L71" s="34" t="inlineStr">
        <is>
          <t>Winst- en verliesrekening</t>
        </is>
      </c>
      <c r="M71" s="34" t="inlineStr">
        <is>
          <t>Netto-omzet</t>
        </is>
      </c>
      <c r="N71" s="34" t="inlineStr">
        <is>
          <t>Diensten</t>
        </is>
      </c>
      <c r="O71" s="36">
        <f>IFERROR(INDEX('Mapping'!$F$2:$F$60,MATCH(B71,'Mapping'!$A$2:$A$60,0)),"")</f>
        <v/>
      </c>
    </row>
    <row r="72">
      <c r="A72" s="32" t="n">
        <v>45870</v>
      </c>
      <c r="B72" s="33" t="n">
        <v>8020</v>
      </c>
      <c r="C72" s="34" t="inlineStr">
        <is>
          <t>Omzet dienstverlening</t>
        </is>
      </c>
      <c r="D72" s="34" t="inlineStr">
        <is>
          <t>Verkoop</t>
        </is>
      </c>
      <c r="E72" s="34" t="inlineStr">
        <is>
          <t>Algemeen</t>
        </is>
      </c>
      <c r="F72" s="34" t="inlineStr"/>
      <c r="G72" s="35" t="n">
        <v>0</v>
      </c>
      <c r="H72" s="35" t="n">
        <v>39900</v>
      </c>
      <c r="I72" s="35">
        <f>G72-H72</f>
        <v/>
      </c>
      <c r="J72" s="33" t="n">
        <v>2025</v>
      </c>
      <c r="K72" s="33" t="n">
        <v>8</v>
      </c>
      <c r="L72" s="34" t="inlineStr">
        <is>
          <t>Winst- en verliesrekening</t>
        </is>
      </c>
      <c r="M72" s="34" t="inlineStr">
        <is>
          <t>Netto-omzet</t>
        </is>
      </c>
      <c r="N72" s="34" t="inlineStr">
        <is>
          <t>Diensten</t>
        </is>
      </c>
      <c r="O72" s="36">
        <f>IFERROR(INDEX('Mapping'!$F$2:$F$60,MATCH(B72,'Mapping'!$A$2:$A$60,0)),"")</f>
        <v/>
      </c>
    </row>
    <row r="73">
      <c r="A73" s="32" t="n">
        <v>45901</v>
      </c>
      <c r="B73" s="33" t="n">
        <v>8020</v>
      </c>
      <c r="C73" s="34" t="inlineStr">
        <is>
          <t>Omzet dienstverlening</t>
        </is>
      </c>
      <c r="D73" s="34" t="inlineStr">
        <is>
          <t>Verkoop</t>
        </is>
      </c>
      <c r="E73" s="34" t="inlineStr">
        <is>
          <t>Algemeen</t>
        </is>
      </c>
      <c r="F73" s="34" t="inlineStr"/>
      <c r="G73" s="35" t="n">
        <v>0</v>
      </c>
      <c r="H73" s="35" t="n">
        <v>50160</v>
      </c>
      <c r="I73" s="35">
        <f>G73-H73</f>
        <v/>
      </c>
      <c r="J73" s="33" t="n">
        <v>2025</v>
      </c>
      <c r="K73" s="33" t="n">
        <v>9</v>
      </c>
      <c r="L73" s="34" t="inlineStr">
        <is>
          <t>Winst- en verliesrekening</t>
        </is>
      </c>
      <c r="M73" s="34" t="inlineStr">
        <is>
          <t>Netto-omzet</t>
        </is>
      </c>
      <c r="N73" s="34" t="inlineStr">
        <is>
          <t>Diensten</t>
        </is>
      </c>
      <c r="O73" s="36">
        <f>IFERROR(INDEX('Mapping'!$F$2:$F$60,MATCH(B73,'Mapping'!$A$2:$A$60,0)),"")</f>
        <v/>
      </c>
    </row>
    <row r="74">
      <c r="A74" s="32" t="n">
        <v>45931</v>
      </c>
      <c r="B74" s="33" t="n">
        <v>8020</v>
      </c>
      <c r="C74" s="34" t="inlineStr">
        <is>
          <t>Omzet dienstverlening</t>
        </is>
      </c>
      <c r="D74" s="34" t="inlineStr">
        <is>
          <t>Verkoop</t>
        </is>
      </c>
      <c r="E74" s="34" t="inlineStr">
        <is>
          <t>Algemeen</t>
        </is>
      </c>
      <c r="F74" s="34" t="inlineStr"/>
      <c r="G74" s="35" t="n">
        <v>0</v>
      </c>
      <c r="H74" s="35" t="n">
        <v>51300</v>
      </c>
      <c r="I74" s="35">
        <f>G74-H74</f>
        <v/>
      </c>
      <c r="J74" s="33" t="n">
        <v>2025</v>
      </c>
      <c r="K74" s="33" t="n">
        <v>10</v>
      </c>
      <c r="L74" s="34" t="inlineStr">
        <is>
          <t>Winst- en verliesrekening</t>
        </is>
      </c>
      <c r="M74" s="34" t="inlineStr">
        <is>
          <t>Netto-omzet</t>
        </is>
      </c>
      <c r="N74" s="34" t="inlineStr">
        <is>
          <t>Diensten</t>
        </is>
      </c>
      <c r="O74" s="36">
        <f>IFERROR(INDEX('Mapping'!$F$2:$F$60,MATCH(B74,'Mapping'!$A$2:$A$60,0)),"")</f>
        <v/>
      </c>
    </row>
    <row r="75">
      <c r="A75" s="32" t="n">
        <v>45962</v>
      </c>
      <c r="B75" s="33" t="n">
        <v>8020</v>
      </c>
      <c r="C75" s="34" t="inlineStr">
        <is>
          <t>Omzet dienstverlening</t>
        </is>
      </c>
      <c r="D75" s="34" t="inlineStr">
        <is>
          <t>Verkoop</t>
        </is>
      </c>
      <c r="E75" s="34" t="inlineStr">
        <is>
          <t>Algemeen</t>
        </is>
      </c>
      <c r="F75" s="34" t="inlineStr"/>
      <c r="G75" s="35" t="n">
        <v>0</v>
      </c>
      <c r="H75" s="35" t="n">
        <v>49020</v>
      </c>
      <c r="I75" s="35">
        <f>G75-H75</f>
        <v/>
      </c>
      <c r="J75" s="33" t="n">
        <v>2025</v>
      </c>
      <c r="K75" s="33" t="n">
        <v>11</v>
      </c>
      <c r="L75" s="34" t="inlineStr">
        <is>
          <t>Winst- en verliesrekening</t>
        </is>
      </c>
      <c r="M75" s="34" t="inlineStr">
        <is>
          <t>Netto-omzet</t>
        </is>
      </c>
      <c r="N75" s="34" t="inlineStr">
        <is>
          <t>Diensten</t>
        </is>
      </c>
      <c r="O75" s="36">
        <f>IFERROR(INDEX('Mapping'!$F$2:$F$60,MATCH(B75,'Mapping'!$A$2:$A$60,0)),"")</f>
        <v/>
      </c>
    </row>
    <row r="76">
      <c r="A76" s="32" t="n">
        <v>45992</v>
      </c>
      <c r="B76" s="33" t="n">
        <v>8020</v>
      </c>
      <c r="C76" s="34" t="inlineStr">
        <is>
          <t>Omzet dienstverlening</t>
        </is>
      </c>
      <c r="D76" s="34" t="inlineStr">
        <is>
          <t>Verkoop</t>
        </is>
      </c>
      <c r="E76" s="34" t="inlineStr">
        <is>
          <t>Algemeen</t>
        </is>
      </c>
      <c r="F76" s="34" t="inlineStr"/>
      <c r="G76" s="35" t="n">
        <v>0</v>
      </c>
      <c r="H76" s="35" t="n">
        <v>59280</v>
      </c>
      <c r="I76" s="35">
        <f>G76-H76</f>
        <v/>
      </c>
      <c r="J76" s="33" t="n">
        <v>2025</v>
      </c>
      <c r="K76" s="33" t="n">
        <v>12</v>
      </c>
      <c r="L76" s="34" t="inlineStr">
        <is>
          <t>Winst- en verliesrekening</t>
        </is>
      </c>
      <c r="M76" s="34" t="inlineStr">
        <is>
          <t>Netto-omzet</t>
        </is>
      </c>
      <c r="N76" s="34" t="inlineStr">
        <is>
          <t>Diensten</t>
        </is>
      </c>
      <c r="O76" s="36">
        <f>IFERROR(INDEX('Mapping'!$F$2:$F$60,MATCH(B76,'Mapping'!$A$2:$A$60,0)),"")</f>
        <v/>
      </c>
    </row>
    <row r="77">
      <c r="A77" s="32" t="n">
        <v>45292</v>
      </c>
      <c r="B77" s="33" t="n">
        <v>7000</v>
      </c>
      <c r="C77" s="34" t="inlineStr">
        <is>
          <t>Inkoopwaarde handelsgoederen</t>
        </is>
      </c>
      <c r="D77" s="34" t="inlineStr">
        <is>
          <t>Inkoop</t>
        </is>
      </c>
      <c r="E77" s="34" t="inlineStr">
        <is>
          <t>Algemeen</t>
        </is>
      </c>
      <c r="F77" s="34" t="inlineStr"/>
      <c r="G77" s="35" t="n">
        <v>183400</v>
      </c>
      <c r="H77" s="35" t="n">
        <v>0</v>
      </c>
      <c r="I77" s="35">
        <f>G77-H77</f>
        <v/>
      </c>
      <c r="J77" s="33" t="n">
        <v>2024</v>
      </c>
      <c r="K77" s="33" t="n">
        <v>1</v>
      </c>
      <c r="L77" s="34" t="inlineStr">
        <is>
          <t>Winst- en verliesrekening</t>
        </is>
      </c>
      <c r="M77" s="34" t="inlineStr">
        <is>
          <t>Kostprijs omzet</t>
        </is>
      </c>
      <c r="N77" s="34" t="inlineStr">
        <is>
          <t>Inkoop goederen</t>
        </is>
      </c>
      <c r="O77" s="36">
        <f>IFERROR(INDEX('Mapping'!$F$2:$F$60,MATCH(B77,'Mapping'!$A$2:$A$60,0)),"")</f>
        <v/>
      </c>
    </row>
    <row r="78">
      <c r="A78" s="32" t="n">
        <v>45323</v>
      </c>
      <c r="B78" s="33" t="n">
        <v>7000</v>
      </c>
      <c r="C78" s="34" t="inlineStr">
        <is>
          <t>Inkoopwaarde handelsgoederen</t>
        </is>
      </c>
      <c r="D78" s="34" t="inlineStr">
        <is>
          <t>Inkoop</t>
        </is>
      </c>
      <c r="E78" s="34" t="inlineStr">
        <is>
          <t>Algemeen</t>
        </is>
      </c>
      <c r="F78" s="34" t="inlineStr"/>
      <c r="G78" s="35" t="n">
        <v>183400</v>
      </c>
      <c r="H78" s="35" t="n">
        <v>0</v>
      </c>
      <c r="I78" s="35">
        <f>G78-H78</f>
        <v/>
      </c>
      <c r="J78" s="33" t="n">
        <v>2024</v>
      </c>
      <c r="K78" s="33" t="n">
        <v>2</v>
      </c>
      <c r="L78" s="34" t="inlineStr">
        <is>
          <t>Winst- en verliesrekening</t>
        </is>
      </c>
      <c r="M78" s="34" t="inlineStr">
        <is>
          <t>Kostprijs omzet</t>
        </is>
      </c>
      <c r="N78" s="34" t="inlineStr">
        <is>
          <t>Inkoop goederen</t>
        </is>
      </c>
      <c r="O78" s="36">
        <f>IFERROR(INDEX('Mapping'!$F$2:$F$60,MATCH(B78,'Mapping'!$A$2:$A$60,0)),"")</f>
        <v/>
      </c>
    </row>
    <row r="79">
      <c r="A79" s="32" t="n">
        <v>45352</v>
      </c>
      <c r="B79" s="33" t="n">
        <v>7000</v>
      </c>
      <c r="C79" s="34" t="inlineStr">
        <is>
          <t>Inkoopwaarde handelsgoederen</t>
        </is>
      </c>
      <c r="D79" s="34" t="inlineStr">
        <is>
          <t>Inkoop</t>
        </is>
      </c>
      <c r="E79" s="34" t="inlineStr">
        <is>
          <t>Algemeen</t>
        </is>
      </c>
      <c r="F79" s="34" t="inlineStr"/>
      <c r="G79" s="35" t="n">
        <v>230560</v>
      </c>
      <c r="H79" s="35" t="n">
        <v>0</v>
      </c>
      <c r="I79" s="35">
        <f>G79-H79</f>
        <v/>
      </c>
      <c r="J79" s="33" t="n">
        <v>2024</v>
      </c>
      <c r="K79" s="33" t="n">
        <v>3</v>
      </c>
      <c r="L79" s="34" t="inlineStr">
        <is>
          <t>Winst- en verliesrekening</t>
        </is>
      </c>
      <c r="M79" s="34" t="inlineStr">
        <is>
          <t>Kostprijs omzet</t>
        </is>
      </c>
      <c r="N79" s="34" t="inlineStr">
        <is>
          <t>Inkoop goederen</t>
        </is>
      </c>
      <c r="O79" s="36">
        <f>IFERROR(INDEX('Mapping'!$F$2:$F$60,MATCH(B79,'Mapping'!$A$2:$A$60,0)),"")</f>
        <v/>
      </c>
    </row>
    <row r="80">
      <c r="A80" s="32" t="n">
        <v>45383</v>
      </c>
      <c r="B80" s="33" t="n">
        <v>7000</v>
      </c>
      <c r="C80" s="34" t="inlineStr">
        <is>
          <t>Inkoopwaarde handelsgoederen</t>
        </is>
      </c>
      <c r="D80" s="34" t="inlineStr">
        <is>
          <t>Inkoop</t>
        </is>
      </c>
      <c r="E80" s="34" t="inlineStr">
        <is>
          <t>Algemeen</t>
        </is>
      </c>
      <c r="F80" s="34" t="inlineStr"/>
      <c r="G80" s="35" t="n">
        <v>214840</v>
      </c>
      <c r="H80" s="35" t="n">
        <v>0</v>
      </c>
      <c r="I80" s="35">
        <f>G80-H80</f>
        <v/>
      </c>
      <c r="J80" s="33" t="n">
        <v>2024</v>
      </c>
      <c r="K80" s="33" t="n">
        <v>4</v>
      </c>
      <c r="L80" s="34" t="inlineStr">
        <is>
          <t>Winst- en verliesrekening</t>
        </is>
      </c>
      <c r="M80" s="34" t="inlineStr">
        <is>
          <t>Kostprijs omzet</t>
        </is>
      </c>
      <c r="N80" s="34" t="inlineStr">
        <is>
          <t>Inkoop goederen</t>
        </is>
      </c>
      <c r="O80" s="36">
        <f>IFERROR(INDEX('Mapping'!$F$2:$F$60,MATCH(B80,'Mapping'!$A$2:$A$60,0)),"")</f>
        <v/>
      </c>
    </row>
    <row r="81">
      <c r="A81" s="32" t="n">
        <v>45413</v>
      </c>
      <c r="B81" s="33" t="n">
        <v>7000</v>
      </c>
      <c r="C81" s="34" t="inlineStr">
        <is>
          <t>Inkoopwaarde handelsgoederen</t>
        </is>
      </c>
      <c r="D81" s="34" t="inlineStr">
        <is>
          <t>Inkoop</t>
        </is>
      </c>
      <c r="E81" s="34" t="inlineStr">
        <is>
          <t>Algemeen</t>
        </is>
      </c>
      <c r="F81" s="34" t="inlineStr"/>
      <c r="G81" s="35" t="n">
        <v>225320</v>
      </c>
      <c r="H81" s="35" t="n">
        <v>0</v>
      </c>
      <c r="I81" s="35">
        <f>G81-H81</f>
        <v/>
      </c>
      <c r="J81" s="33" t="n">
        <v>2024</v>
      </c>
      <c r="K81" s="33" t="n">
        <v>5</v>
      </c>
      <c r="L81" s="34" t="inlineStr">
        <is>
          <t>Winst- en verliesrekening</t>
        </is>
      </c>
      <c r="M81" s="34" t="inlineStr">
        <is>
          <t>Kostprijs omzet</t>
        </is>
      </c>
      <c r="N81" s="34" t="inlineStr">
        <is>
          <t>Inkoop goederen</t>
        </is>
      </c>
      <c r="O81" s="36">
        <f>IFERROR(INDEX('Mapping'!$F$2:$F$60,MATCH(B81,'Mapping'!$A$2:$A$60,0)),"")</f>
        <v/>
      </c>
    </row>
    <row r="82">
      <c r="A82" s="32" t="n">
        <v>45444</v>
      </c>
      <c r="B82" s="33" t="n">
        <v>7000</v>
      </c>
      <c r="C82" s="34" t="inlineStr">
        <is>
          <t>Inkoopwaarde handelsgoederen</t>
        </is>
      </c>
      <c r="D82" s="34" t="inlineStr">
        <is>
          <t>Inkoop</t>
        </is>
      </c>
      <c r="E82" s="34" t="inlineStr">
        <is>
          <t>Algemeen</t>
        </is>
      </c>
      <c r="F82" s="34" t="inlineStr"/>
      <c r="G82" s="35" t="n">
        <v>235800</v>
      </c>
      <c r="H82" s="35" t="n">
        <v>0</v>
      </c>
      <c r="I82" s="35">
        <f>G82-H82</f>
        <v/>
      </c>
      <c r="J82" s="33" t="n">
        <v>2024</v>
      </c>
      <c r="K82" s="33" t="n">
        <v>6</v>
      </c>
      <c r="L82" s="34" t="inlineStr">
        <is>
          <t>Winst- en verliesrekening</t>
        </is>
      </c>
      <c r="M82" s="34" t="inlineStr">
        <is>
          <t>Kostprijs omzet</t>
        </is>
      </c>
      <c r="N82" s="34" t="inlineStr">
        <is>
          <t>Inkoop goederen</t>
        </is>
      </c>
      <c r="O82" s="36">
        <f>IFERROR(INDEX('Mapping'!$F$2:$F$60,MATCH(B82,'Mapping'!$A$2:$A$60,0)),"")</f>
        <v/>
      </c>
    </row>
    <row r="83">
      <c r="A83" s="32" t="n">
        <v>45474</v>
      </c>
      <c r="B83" s="33" t="n">
        <v>7000</v>
      </c>
      <c r="C83" s="34" t="inlineStr">
        <is>
          <t>Inkoopwaarde handelsgoederen</t>
        </is>
      </c>
      <c r="D83" s="34" t="inlineStr">
        <is>
          <t>Inkoop</t>
        </is>
      </c>
      <c r="E83" s="34" t="inlineStr">
        <is>
          <t>Algemeen</t>
        </is>
      </c>
      <c r="F83" s="34" t="inlineStr"/>
      <c r="G83" s="35" t="n">
        <v>199120</v>
      </c>
      <c r="H83" s="35" t="n">
        <v>0</v>
      </c>
      <c r="I83" s="35">
        <f>G83-H83</f>
        <v/>
      </c>
      <c r="J83" s="33" t="n">
        <v>2024</v>
      </c>
      <c r="K83" s="33" t="n">
        <v>7</v>
      </c>
      <c r="L83" s="34" t="inlineStr">
        <is>
          <t>Winst- en verliesrekening</t>
        </is>
      </c>
      <c r="M83" s="34" t="inlineStr">
        <is>
          <t>Kostprijs omzet</t>
        </is>
      </c>
      <c r="N83" s="34" t="inlineStr">
        <is>
          <t>Inkoop goederen</t>
        </is>
      </c>
      <c r="O83" s="36">
        <f>IFERROR(INDEX('Mapping'!$F$2:$F$60,MATCH(B83,'Mapping'!$A$2:$A$60,0)),"")</f>
        <v/>
      </c>
    </row>
    <row r="84">
      <c r="A84" s="32" t="n">
        <v>45505</v>
      </c>
      <c r="B84" s="33" t="n">
        <v>7000</v>
      </c>
      <c r="C84" s="34" t="inlineStr">
        <is>
          <t>Inkoopwaarde handelsgoederen</t>
        </is>
      </c>
      <c r="D84" s="34" t="inlineStr">
        <is>
          <t>Inkoop</t>
        </is>
      </c>
      <c r="E84" s="34" t="inlineStr">
        <is>
          <t>Algemeen</t>
        </is>
      </c>
      <c r="F84" s="34" t="inlineStr"/>
      <c r="G84" s="35" t="n">
        <v>183400</v>
      </c>
      <c r="H84" s="35" t="n">
        <v>0</v>
      </c>
      <c r="I84" s="35">
        <f>G84-H84</f>
        <v/>
      </c>
      <c r="J84" s="33" t="n">
        <v>2024</v>
      </c>
      <c r="K84" s="33" t="n">
        <v>8</v>
      </c>
      <c r="L84" s="34" t="inlineStr">
        <is>
          <t>Winst- en verliesrekening</t>
        </is>
      </c>
      <c r="M84" s="34" t="inlineStr">
        <is>
          <t>Kostprijs omzet</t>
        </is>
      </c>
      <c r="N84" s="34" t="inlineStr">
        <is>
          <t>Inkoop goederen</t>
        </is>
      </c>
      <c r="O84" s="36">
        <f>IFERROR(INDEX('Mapping'!$F$2:$F$60,MATCH(B84,'Mapping'!$A$2:$A$60,0)),"")</f>
        <v/>
      </c>
    </row>
    <row r="85">
      <c r="A85" s="32" t="n">
        <v>45536</v>
      </c>
      <c r="B85" s="33" t="n">
        <v>7000</v>
      </c>
      <c r="C85" s="34" t="inlineStr">
        <is>
          <t>Inkoopwaarde handelsgoederen</t>
        </is>
      </c>
      <c r="D85" s="34" t="inlineStr">
        <is>
          <t>Inkoop</t>
        </is>
      </c>
      <c r="E85" s="34" t="inlineStr">
        <is>
          <t>Algemeen</t>
        </is>
      </c>
      <c r="F85" s="34" t="inlineStr"/>
      <c r="G85" s="35" t="n">
        <v>230560</v>
      </c>
      <c r="H85" s="35" t="n">
        <v>0</v>
      </c>
      <c r="I85" s="35">
        <f>G85-H85</f>
        <v/>
      </c>
      <c r="J85" s="33" t="n">
        <v>2024</v>
      </c>
      <c r="K85" s="33" t="n">
        <v>9</v>
      </c>
      <c r="L85" s="34" t="inlineStr">
        <is>
          <t>Winst- en verliesrekening</t>
        </is>
      </c>
      <c r="M85" s="34" t="inlineStr">
        <is>
          <t>Kostprijs omzet</t>
        </is>
      </c>
      <c r="N85" s="34" t="inlineStr">
        <is>
          <t>Inkoop goederen</t>
        </is>
      </c>
      <c r="O85" s="36">
        <f>IFERROR(INDEX('Mapping'!$F$2:$F$60,MATCH(B85,'Mapping'!$A$2:$A$60,0)),"")</f>
        <v/>
      </c>
    </row>
    <row r="86">
      <c r="A86" s="32" t="n">
        <v>45566</v>
      </c>
      <c r="B86" s="33" t="n">
        <v>7000</v>
      </c>
      <c r="C86" s="34" t="inlineStr">
        <is>
          <t>Inkoopwaarde handelsgoederen</t>
        </is>
      </c>
      <c r="D86" s="34" t="inlineStr">
        <is>
          <t>Inkoop</t>
        </is>
      </c>
      <c r="E86" s="34" t="inlineStr">
        <is>
          <t>Algemeen</t>
        </is>
      </c>
      <c r="F86" s="34" t="inlineStr"/>
      <c r="G86" s="35" t="n">
        <v>235800</v>
      </c>
      <c r="H86" s="35" t="n">
        <v>0</v>
      </c>
      <c r="I86" s="35">
        <f>G86-H86</f>
        <v/>
      </c>
      <c r="J86" s="33" t="n">
        <v>2024</v>
      </c>
      <c r="K86" s="33" t="n">
        <v>10</v>
      </c>
      <c r="L86" s="34" t="inlineStr">
        <is>
          <t>Winst- en verliesrekening</t>
        </is>
      </c>
      <c r="M86" s="34" t="inlineStr">
        <is>
          <t>Kostprijs omzet</t>
        </is>
      </c>
      <c r="N86" s="34" t="inlineStr">
        <is>
          <t>Inkoop goederen</t>
        </is>
      </c>
      <c r="O86" s="36">
        <f>IFERROR(INDEX('Mapping'!$F$2:$F$60,MATCH(B86,'Mapping'!$A$2:$A$60,0)),"")</f>
        <v/>
      </c>
    </row>
    <row r="87">
      <c r="A87" s="32" t="n">
        <v>45597</v>
      </c>
      <c r="B87" s="33" t="n">
        <v>7000</v>
      </c>
      <c r="C87" s="34" t="inlineStr">
        <is>
          <t>Inkoopwaarde handelsgoederen</t>
        </is>
      </c>
      <c r="D87" s="34" t="inlineStr">
        <is>
          <t>Inkoop</t>
        </is>
      </c>
      <c r="E87" s="34" t="inlineStr">
        <is>
          <t>Algemeen</t>
        </is>
      </c>
      <c r="F87" s="34" t="inlineStr"/>
      <c r="G87" s="35" t="n">
        <v>225320</v>
      </c>
      <c r="H87" s="35" t="n">
        <v>0</v>
      </c>
      <c r="I87" s="35">
        <f>G87-H87</f>
        <v/>
      </c>
      <c r="J87" s="33" t="n">
        <v>2024</v>
      </c>
      <c r="K87" s="33" t="n">
        <v>11</v>
      </c>
      <c r="L87" s="34" t="inlineStr">
        <is>
          <t>Winst- en verliesrekening</t>
        </is>
      </c>
      <c r="M87" s="34" t="inlineStr">
        <is>
          <t>Kostprijs omzet</t>
        </is>
      </c>
      <c r="N87" s="34" t="inlineStr">
        <is>
          <t>Inkoop goederen</t>
        </is>
      </c>
      <c r="O87" s="36">
        <f>IFERROR(INDEX('Mapping'!$F$2:$F$60,MATCH(B87,'Mapping'!$A$2:$A$60,0)),"")</f>
        <v/>
      </c>
    </row>
    <row r="88">
      <c r="A88" s="32" t="n">
        <v>45627</v>
      </c>
      <c r="B88" s="33" t="n">
        <v>7000</v>
      </c>
      <c r="C88" s="34" t="inlineStr">
        <is>
          <t>Inkoopwaarde handelsgoederen</t>
        </is>
      </c>
      <c r="D88" s="34" t="inlineStr">
        <is>
          <t>Inkoop</t>
        </is>
      </c>
      <c r="E88" s="34" t="inlineStr">
        <is>
          <t>Algemeen</t>
        </is>
      </c>
      <c r="F88" s="34" t="inlineStr"/>
      <c r="G88" s="35" t="n">
        <v>272480</v>
      </c>
      <c r="H88" s="35" t="n">
        <v>0</v>
      </c>
      <c r="I88" s="35">
        <f>G88-H88</f>
        <v/>
      </c>
      <c r="J88" s="33" t="n">
        <v>2024</v>
      </c>
      <c r="K88" s="33" t="n">
        <v>12</v>
      </c>
      <c r="L88" s="34" t="inlineStr">
        <is>
          <t>Winst- en verliesrekening</t>
        </is>
      </c>
      <c r="M88" s="34" t="inlineStr">
        <is>
          <t>Kostprijs omzet</t>
        </is>
      </c>
      <c r="N88" s="34" t="inlineStr">
        <is>
          <t>Inkoop goederen</t>
        </is>
      </c>
      <c r="O88" s="36">
        <f>IFERROR(INDEX('Mapping'!$F$2:$F$60,MATCH(B88,'Mapping'!$A$2:$A$60,0)),"")</f>
        <v/>
      </c>
    </row>
    <row r="89">
      <c r="A89" s="32" t="n">
        <v>45658</v>
      </c>
      <c r="B89" s="33" t="n">
        <v>7000</v>
      </c>
      <c r="C89" s="34" t="inlineStr">
        <is>
          <t>Inkoopwaarde handelsgoederen</t>
        </is>
      </c>
      <c r="D89" s="34" t="inlineStr">
        <is>
          <t>Inkoop</t>
        </is>
      </c>
      <c r="E89" s="34" t="inlineStr">
        <is>
          <t>Algemeen</t>
        </is>
      </c>
      <c r="F89" s="34" t="inlineStr"/>
      <c r="G89" s="35" t="n">
        <v>194600</v>
      </c>
      <c r="H89" s="35" t="n">
        <v>0</v>
      </c>
      <c r="I89" s="35">
        <f>G89-H89</f>
        <v/>
      </c>
      <c r="J89" s="33" t="n">
        <v>2025</v>
      </c>
      <c r="K89" s="33" t="n">
        <v>1</v>
      </c>
      <c r="L89" s="34" t="inlineStr">
        <is>
          <t>Winst- en verliesrekening</t>
        </is>
      </c>
      <c r="M89" s="34" t="inlineStr">
        <is>
          <t>Kostprijs omzet</t>
        </is>
      </c>
      <c r="N89" s="34" t="inlineStr">
        <is>
          <t>Inkoop goederen</t>
        </is>
      </c>
      <c r="O89" s="36">
        <f>IFERROR(INDEX('Mapping'!$F$2:$F$60,MATCH(B89,'Mapping'!$A$2:$A$60,0)),"")</f>
        <v/>
      </c>
    </row>
    <row r="90">
      <c r="A90" s="32" t="n">
        <v>45689</v>
      </c>
      <c r="B90" s="33" t="n">
        <v>7000</v>
      </c>
      <c r="C90" s="34" t="inlineStr">
        <is>
          <t>Inkoopwaarde handelsgoederen</t>
        </is>
      </c>
      <c r="D90" s="34" t="inlineStr">
        <is>
          <t>Inkoop</t>
        </is>
      </c>
      <c r="E90" s="34" t="inlineStr">
        <is>
          <t>Algemeen</t>
        </is>
      </c>
      <c r="F90" s="34" t="inlineStr"/>
      <c r="G90" s="35" t="n">
        <v>194600</v>
      </c>
      <c r="H90" s="35" t="n">
        <v>0</v>
      </c>
      <c r="I90" s="35">
        <f>G90-H90</f>
        <v/>
      </c>
      <c r="J90" s="33" t="n">
        <v>2025</v>
      </c>
      <c r="K90" s="33" t="n">
        <v>2</v>
      </c>
      <c r="L90" s="34" t="inlineStr">
        <is>
          <t>Winst- en verliesrekening</t>
        </is>
      </c>
      <c r="M90" s="34" t="inlineStr">
        <is>
          <t>Kostprijs omzet</t>
        </is>
      </c>
      <c r="N90" s="34" t="inlineStr">
        <is>
          <t>Inkoop goederen</t>
        </is>
      </c>
      <c r="O90" s="36">
        <f>IFERROR(INDEX('Mapping'!$F$2:$F$60,MATCH(B90,'Mapping'!$A$2:$A$60,0)),"")</f>
        <v/>
      </c>
    </row>
    <row r="91">
      <c r="A91" s="32" t="n">
        <v>45717</v>
      </c>
      <c r="B91" s="33" t="n">
        <v>7000</v>
      </c>
      <c r="C91" s="34" t="inlineStr">
        <is>
          <t>Inkoopwaarde handelsgoederen</t>
        </is>
      </c>
      <c r="D91" s="34" t="inlineStr">
        <is>
          <t>Inkoop</t>
        </is>
      </c>
      <c r="E91" s="34" t="inlineStr">
        <is>
          <t>Algemeen</t>
        </is>
      </c>
      <c r="F91" s="34" t="inlineStr"/>
      <c r="G91" s="35" t="n">
        <v>244640</v>
      </c>
      <c r="H91" s="35" t="n">
        <v>0</v>
      </c>
      <c r="I91" s="35">
        <f>G91-H91</f>
        <v/>
      </c>
      <c r="J91" s="33" t="n">
        <v>2025</v>
      </c>
      <c r="K91" s="33" t="n">
        <v>3</v>
      </c>
      <c r="L91" s="34" t="inlineStr">
        <is>
          <t>Winst- en verliesrekening</t>
        </is>
      </c>
      <c r="M91" s="34" t="inlineStr">
        <is>
          <t>Kostprijs omzet</t>
        </is>
      </c>
      <c r="N91" s="34" t="inlineStr">
        <is>
          <t>Inkoop goederen</t>
        </is>
      </c>
      <c r="O91" s="36">
        <f>IFERROR(INDEX('Mapping'!$F$2:$F$60,MATCH(B91,'Mapping'!$A$2:$A$60,0)),"")</f>
        <v/>
      </c>
    </row>
    <row r="92">
      <c r="A92" s="32" t="n">
        <v>45748</v>
      </c>
      <c r="B92" s="33" t="n">
        <v>7000</v>
      </c>
      <c r="C92" s="34" t="inlineStr">
        <is>
          <t>Inkoopwaarde handelsgoederen</t>
        </is>
      </c>
      <c r="D92" s="34" t="inlineStr">
        <is>
          <t>Inkoop</t>
        </is>
      </c>
      <c r="E92" s="34" t="inlineStr">
        <is>
          <t>Algemeen</t>
        </is>
      </c>
      <c r="F92" s="34" t="inlineStr"/>
      <c r="G92" s="35" t="n">
        <v>227960</v>
      </c>
      <c r="H92" s="35" t="n">
        <v>0</v>
      </c>
      <c r="I92" s="35">
        <f>G92-H92</f>
        <v/>
      </c>
      <c r="J92" s="33" t="n">
        <v>2025</v>
      </c>
      <c r="K92" s="33" t="n">
        <v>4</v>
      </c>
      <c r="L92" s="34" t="inlineStr">
        <is>
          <t>Winst- en verliesrekening</t>
        </is>
      </c>
      <c r="M92" s="34" t="inlineStr">
        <is>
          <t>Kostprijs omzet</t>
        </is>
      </c>
      <c r="N92" s="34" t="inlineStr">
        <is>
          <t>Inkoop goederen</t>
        </is>
      </c>
      <c r="O92" s="36">
        <f>IFERROR(INDEX('Mapping'!$F$2:$F$60,MATCH(B92,'Mapping'!$A$2:$A$60,0)),"")</f>
        <v/>
      </c>
    </row>
    <row r="93">
      <c r="A93" s="32" t="n">
        <v>45778</v>
      </c>
      <c r="B93" s="33" t="n">
        <v>7000</v>
      </c>
      <c r="C93" s="34" t="inlineStr">
        <is>
          <t>Inkoopwaarde handelsgoederen</t>
        </is>
      </c>
      <c r="D93" s="34" t="inlineStr">
        <is>
          <t>Inkoop</t>
        </is>
      </c>
      <c r="E93" s="34" t="inlineStr">
        <is>
          <t>Algemeen</t>
        </is>
      </c>
      <c r="F93" s="34" t="inlineStr"/>
      <c r="G93" s="35" t="n">
        <v>239080</v>
      </c>
      <c r="H93" s="35" t="n">
        <v>0</v>
      </c>
      <c r="I93" s="35">
        <f>G93-H93</f>
        <v/>
      </c>
      <c r="J93" s="33" t="n">
        <v>2025</v>
      </c>
      <c r="K93" s="33" t="n">
        <v>5</v>
      </c>
      <c r="L93" s="34" t="inlineStr">
        <is>
          <t>Winst- en verliesrekening</t>
        </is>
      </c>
      <c r="M93" s="34" t="inlineStr">
        <is>
          <t>Kostprijs omzet</t>
        </is>
      </c>
      <c r="N93" s="34" t="inlineStr">
        <is>
          <t>Inkoop goederen</t>
        </is>
      </c>
      <c r="O93" s="36">
        <f>IFERROR(INDEX('Mapping'!$F$2:$F$60,MATCH(B93,'Mapping'!$A$2:$A$60,0)),"")</f>
        <v/>
      </c>
    </row>
    <row r="94">
      <c r="A94" s="32" t="n">
        <v>45809</v>
      </c>
      <c r="B94" s="33" t="n">
        <v>7000</v>
      </c>
      <c r="C94" s="34" t="inlineStr">
        <is>
          <t>Inkoopwaarde handelsgoederen</t>
        </is>
      </c>
      <c r="D94" s="34" t="inlineStr">
        <is>
          <t>Inkoop</t>
        </is>
      </c>
      <c r="E94" s="34" t="inlineStr">
        <is>
          <t>Algemeen</t>
        </is>
      </c>
      <c r="F94" s="34" t="inlineStr"/>
      <c r="G94" s="35" t="n">
        <v>250200</v>
      </c>
      <c r="H94" s="35" t="n">
        <v>0</v>
      </c>
      <c r="I94" s="35">
        <f>G94-H94</f>
        <v/>
      </c>
      <c r="J94" s="33" t="n">
        <v>2025</v>
      </c>
      <c r="K94" s="33" t="n">
        <v>6</v>
      </c>
      <c r="L94" s="34" t="inlineStr">
        <is>
          <t>Winst- en verliesrekening</t>
        </is>
      </c>
      <c r="M94" s="34" t="inlineStr">
        <is>
          <t>Kostprijs omzet</t>
        </is>
      </c>
      <c r="N94" s="34" t="inlineStr">
        <is>
          <t>Inkoop goederen</t>
        </is>
      </c>
      <c r="O94" s="36">
        <f>IFERROR(INDEX('Mapping'!$F$2:$F$60,MATCH(B94,'Mapping'!$A$2:$A$60,0)),"")</f>
        <v/>
      </c>
    </row>
    <row r="95">
      <c r="A95" s="32" t="n">
        <v>45839</v>
      </c>
      <c r="B95" s="33" t="n">
        <v>7000</v>
      </c>
      <c r="C95" s="34" t="inlineStr">
        <is>
          <t>Inkoopwaarde handelsgoederen</t>
        </is>
      </c>
      <c r="D95" s="34" t="inlineStr">
        <is>
          <t>Inkoop</t>
        </is>
      </c>
      <c r="E95" s="34" t="inlineStr">
        <is>
          <t>Algemeen</t>
        </is>
      </c>
      <c r="F95" s="34" t="inlineStr"/>
      <c r="G95" s="35" t="n">
        <v>211280</v>
      </c>
      <c r="H95" s="35" t="n">
        <v>0</v>
      </c>
      <c r="I95" s="35">
        <f>G95-H95</f>
        <v/>
      </c>
      <c r="J95" s="33" t="n">
        <v>2025</v>
      </c>
      <c r="K95" s="33" t="n">
        <v>7</v>
      </c>
      <c r="L95" s="34" t="inlineStr">
        <is>
          <t>Winst- en verliesrekening</t>
        </is>
      </c>
      <c r="M95" s="34" t="inlineStr">
        <is>
          <t>Kostprijs omzet</t>
        </is>
      </c>
      <c r="N95" s="34" t="inlineStr">
        <is>
          <t>Inkoop goederen</t>
        </is>
      </c>
      <c r="O95" s="36">
        <f>IFERROR(INDEX('Mapping'!$F$2:$F$60,MATCH(B95,'Mapping'!$A$2:$A$60,0)),"")</f>
        <v/>
      </c>
    </row>
    <row r="96">
      <c r="A96" s="32" t="n">
        <v>45870</v>
      </c>
      <c r="B96" s="33" t="n">
        <v>7000</v>
      </c>
      <c r="C96" s="34" t="inlineStr">
        <is>
          <t>Inkoopwaarde handelsgoederen</t>
        </is>
      </c>
      <c r="D96" s="34" t="inlineStr">
        <is>
          <t>Inkoop</t>
        </is>
      </c>
      <c r="E96" s="34" t="inlineStr">
        <is>
          <t>Algemeen</t>
        </is>
      </c>
      <c r="F96" s="34" t="inlineStr"/>
      <c r="G96" s="35" t="n">
        <v>194600</v>
      </c>
      <c r="H96" s="35" t="n">
        <v>0</v>
      </c>
      <c r="I96" s="35">
        <f>G96-H96</f>
        <v/>
      </c>
      <c r="J96" s="33" t="n">
        <v>2025</v>
      </c>
      <c r="K96" s="33" t="n">
        <v>8</v>
      </c>
      <c r="L96" s="34" t="inlineStr">
        <is>
          <t>Winst- en verliesrekening</t>
        </is>
      </c>
      <c r="M96" s="34" t="inlineStr">
        <is>
          <t>Kostprijs omzet</t>
        </is>
      </c>
      <c r="N96" s="34" t="inlineStr">
        <is>
          <t>Inkoop goederen</t>
        </is>
      </c>
      <c r="O96" s="36">
        <f>IFERROR(INDEX('Mapping'!$F$2:$F$60,MATCH(B96,'Mapping'!$A$2:$A$60,0)),"")</f>
        <v/>
      </c>
    </row>
    <row r="97">
      <c r="A97" s="32" t="n">
        <v>45901</v>
      </c>
      <c r="B97" s="33" t="n">
        <v>7000</v>
      </c>
      <c r="C97" s="34" t="inlineStr">
        <is>
          <t>Inkoopwaarde handelsgoederen</t>
        </is>
      </c>
      <c r="D97" s="34" t="inlineStr">
        <is>
          <t>Inkoop</t>
        </is>
      </c>
      <c r="E97" s="34" t="inlineStr">
        <is>
          <t>Algemeen</t>
        </is>
      </c>
      <c r="F97" s="34" t="inlineStr"/>
      <c r="G97" s="35" t="n">
        <v>244640</v>
      </c>
      <c r="H97" s="35" t="n">
        <v>0</v>
      </c>
      <c r="I97" s="35">
        <f>G97-H97</f>
        <v/>
      </c>
      <c r="J97" s="33" t="n">
        <v>2025</v>
      </c>
      <c r="K97" s="33" t="n">
        <v>9</v>
      </c>
      <c r="L97" s="34" t="inlineStr">
        <is>
          <t>Winst- en verliesrekening</t>
        </is>
      </c>
      <c r="M97" s="34" t="inlineStr">
        <is>
          <t>Kostprijs omzet</t>
        </is>
      </c>
      <c r="N97" s="34" t="inlineStr">
        <is>
          <t>Inkoop goederen</t>
        </is>
      </c>
      <c r="O97" s="36">
        <f>IFERROR(INDEX('Mapping'!$F$2:$F$60,MATCH(B97,'Mapping'!$A$2:$A$60,0)),"")</f>
        <v/>
      </c>
    </row>
    <row r="98">
      <c r="A98" s="32" t="n">
        <v>45931</v>
      </c>
      <c r="B98" s="33" t="n">
        <v>7000</v>
      </c>
      <c r="C98" s="34" t="inlineStr">
        <is>
          <t>Inkoopwaarde handelsgoederen</t>
        </is>
      </c>
      <c r="D98" s="34" t="inlineStr">
        <is>
          <t>Inkoop</t>
        </is>
      </c>
      <c r="E98" s="34" t="inlineStr">
        <is>
          <t>Algemeen</t>
        </is>
      </c>
      <c r="F98" s="34" t="inlineStr"/>
      <c r="G98" s="35" t="n">
        <v>250200</v>
      </c>
      <c r="H98" s="35" t="n">
        <v>0</v>
      </c>
      <c r="I98" s="35">
        <f>G98-H98</f>
        <v/>
      </c>
      <c r="J98" s="33" t="n">
        <v>2025</v>
      </c>
      <c r="K98" s="33" t="n">
        <v>10</v>
      </c>
      <c r="L98" s="34" t="inlineStr">
        <is>
          <t>Winst- en verliesrekening</t>
        </is>
      </c>
      <c r="M98" s="34" t="inlineStr">
        <is>
          <t>Kostprijs omzet</t>
        </is>
      </c>
      <c r="N98" s="34" t="inlineStr">
        <is>
          <t>Inkoop goederen</t>
        </is>
      </c>
      <c r="O98" s="36">
        <f>IFERROR(INDEX('Mapping'!$F$2:$F$60,MATCH(B98,'Mapping'!$A$2:$A$60,0)),"")</f>
        <v/>
      </c>
    </row>
    <row r="99">
      <c r="A99" s="32" t="n">
        <v>45962</v>
      </c>
      <c r="B99" s="33" t="n">
        <v>7000</v>
      </c>
      <c r="C99" s="34" t="inlineStr">
        <is>
          <t>Inkoopwaarde handelsgoederen</t>
        </is>
      </c>
      <c r="D99" s="34" t="inlineStr">
        <is>
          <t>Inkoop</t>
        </is>
      </c>
      <c r="E99" s="34" t="inlineStr">
        <is>
          <t>Algemeen</t>
        </is>
      </c>
      <c r="F99" s="34" t="inlineStr"/>
      <c r="G99" s="35" t="n">
        <v>239080</v>
      </c>
      <c r="H99" s="35" t="n">
        <v>0</v>
      </c>
      <c r="I99" s="35">
        <f>G99-H99</f>
        <v/>
      </c>
      <c r="J99" s="33" t="n">
        <v>2025</v>
      </c>
      <c r="K99" s="33" t="n">
        <v>11</v>
      </c>
      <c r="L99" s="34" t="inlineStr">
        <is>
          <t>Winst- en verliesrekening</t>
        </is>
      </c>
      <c r="M99" s="34" t="inlineStr">
        <is>
          <t>Kostprijs omzet</t>
        </is>
      </c>
      <c r="N99" s="34" t="inlineStr">
        <is>
          <t>Inkoop goederen</t>
        </is>
      </c>
      <c r="O99" s="36">
        <f>IFERROR(INDEX('Mapping'!$F$2:$F$60,MATCH(B99,'Mapping'!$A$2:$A$60,0)),"")</f>
        <v/>
      </c>
    </row>
    <row r="100">
      <c r="A100" s="32" t="n">
        <v>45992</v>
      </c>
      <c r="B100" s="33" t="n">
        <v>7000</v>
      </c>
      <c r="C100" s="34" t="inlineStr">
        <is>
          <t>Inkoopwaarde handelsgoederen</t>
        </is>
      </c>
      <c r="D100" s="34" t="inlineStr">
        <is>
          <t>Inkoop</t>
        </is>
      </c>
      <c r="E100" s="34" t="inlineStr">
        <is>
          <t>Algemeen</t>
        </is>
      </c>
      <c r="F100" s="34" t="inlineStr"/>
      <c r="G100" s="35" t="n">
        <v>289120</v>
      </c>
      <c r="H100" s="35" t="n">
        <v>0</v>
      </c>
      <c r="I100" s="35">
        <f>G100-H100</f>
        <v/>
      </c>
      <c r="J100" s="33" t="n">
        <v>2025</v>
      </c>
      <c r="K100" s="33" t="n">
        <v>12</v>
      </c>
      <c r="L100" s="34" t="inlineStr">
        <is>
          <t>Winst- en verliesrekening</t>
        </is>
      </c>
      <c r="M100" s="34" t="inlineStr">
        <is>
          <t>Kostprijs omzet</t>
        </is>
      </c>
      <c r="N100" s="34" t="inlineStr">
        <is>
          <t>Inkoop goederen</t>
        </is>
      </c>
      <c r="O100" s="36">
        <f>IFERROR(INDEX('Mapping'!$F$2:$F$60,MATCH(B100,'Mapping'!$A$2:$A$60,0)),"")</f>
        <v/>
      </c>
    </row>
    <row r="101">
      <c r="A101" s="32" t="n">
        <v>45292</v>
      </c>
      <c r="B101" s="33" t="n">
        <v>7010</v>
      </c>
      <c r="C101" s="34" t="inlineStr">
        <is>
          <t>Inkoopkosten en vracht</t>
        </is>
      </c>
      <c r="D101" s="34" t="inlineStr">
        <is>
          <t>Inkoop</t>
        </is>
      </c>
      <c r="E101" s="34" t="inlineStr">
        <is>
          <t>Algemeen</t>
        </is>
      </c>
      <c r="F101" s="34" t="inlineStr"/>
      <c r="G101" s="35" t="n">
        <v>10500</v>
      </c>
      <c r="H101" s="35" t="n">
        <v>0</v>
      </c>
      <c r="I101" s="35">
        <f>G101-H101</f>
        <v/>
      </c>
      <c r="J101" s="33" t="n">
        <v>2024</v>
      </c>
      <c r="K101" s="33" t="n">
        <v>1</v>
      </c>
      <c r="L101" s="34" t="inlineStr">
        <is>
          <t>Winst- en verliesrekening</t>
        </is>
      </c>
      <c r="M101" s="34" t="inlineStr">
        <is>
          <t>Kostprijs omzet</t>
        </is>
      </c>
      <c r="N101" s="34" t="inlineStr">
        <is>
          <t>Vracht en inkoop</t>
        </is>
      </c>
      <c r="O101" s="36">
        <f>IFERROR(INDEX('Mapping'!$F$2:$F$60,MATCH(B101,'Mapping'!$A$2:$A$60,0)),"")</f>
        <v/>
      </c>
    </row>
    <row r="102">
      <c r="A102" s="32" t="n">
        <v>45323</v>
      </c>
      <c r="B102" s="33" t="n">
        <v>7010</v>
      </c>
      <c r="C102" s="34" t="inlineStr">
        <is>
          <t>Inkoopkosten en vracht</t>
        </is>
      </c>
      <c r="D102" s="34" t="inlineStr">
        <is>
          <t>Inkoop</t>
        </is>
      </c>
      <c r="E102" s="34" t="inlineStr">
        <is>
          <t>Algemeen</t>
        </is>
      </c>
      <c r="F102" s="34" t="inlineStr"/>
      <c r="G102" s="35" t="n">
        <v>10500</v>
      </c>
      <c r="H102" s="35" t="n">
        <v>0</v>
      </c>
      <c r="I102" s="35">
        <f>G102-H102</f>
        <v/>
      </c>
      <c r="J102" s="33" t="n">
        <v>2024</v>
      </c>
      <c r="K102" s="33" t="n">
        <v>2</v>
      </c>
      <c r="L102" s="34" t="inlineStr">
        <is>
          <t>Winst- en verliesrekening</t>
        </is>
      </c>
      <c r="M102" s="34" t="inlineStr">
        <is>
          <t>Kostprijs omzet</t>
        </is>
      </c>
      <c r="N102" s="34" t="inlineStr">
        <is>
          <t>Vracht en inkoop</t>
        </is>
      </c>
      <c r="O102" s="36">
        <f>IFERROR(INDEX('Mapping'!$F$2:$F$60,MATCH(B102,'Mapping'!$A$2:$A$60,0)),"")</f>
        <v/>
      </c>
    </row>
    <row r="103">
      <c r="A103" s="32" t="n">
        <v>45352</v>
      </c>
      <c r="B103" s="33" t="n">
        <v>7010</v>
      </c>
      <c r="C103" s="34" t="inlineStr">
        <is>
          <t>Inkoopkosten en vracht</t>
        </is>
      </c>
      <c r="D103" s="34" t="inlineStr">
        <is>
          <t>Inkoop</t>
        </is>
      </c>
      <c r="E103" s="34" t="inlineStr">
        <is>
          <t>Algemeen</t>
        </is>
      </c>
      <c r="F103" s="34" t="inlineStr"/>
      <c r="G103" s="35" t="n">
        <v>13200</v>
      </c>
      <c r="H103" s="35" t="n">
        <v>0</v>
      </c>
      <c r="I103" s="35">
        <f>G103-H103</f>
        <v/>
      </c>
      <c r="J103" s="33" t="n">
        <v>2024</v>
      </c>
      <c r="K103" s="33" t="n">
        <v>3</v>
      </c>
      <c r="L103" s="34" t="inlineStr">
        <is>
          <t>Winst- en verliesrekening</t>
        </is>
      </c>
      <c r="M103" s="34" t="inlineStr">
        <is>
          <t>Kostprijs omzet</t>
        </is>
      </c>
      <c r="N103" s="34" t="inlineStr">
        <is>
          <t>Vracht en inkoop</t>
        </is>
      </c>
      <c r="O103" s="36">
        <f>IFERROR(INDEX('Mapping'!$F$2:$F$60,MATCH(B103,'Mapping'!$A$2:$A$60,0)),"")</f>
        <v/>
      </c>
    </row>
    <row r="104">
      <c r="A104" s="32" t="n">
        <v>45383</v>
      </c>
      <c r="B104" s="33" t="n">
        <v>7010</v>
      </c>
      <c r="C104" s="34" t="inlineStr">
        <is>
          <t>Inkoopkosten en vracht</t>
        </is>
      </c>
      <c r="D104" s="34" t="inlineStr">
        <is>
          <t>Inkoop</t>
        </is>
      </c>
      <c r="E104" s="34" t="inlineStr">
        <is>
          <t>Algemeen</t>
        </is>
      </c>
      <c r="F104" s="34" t="inlineStr"/>
      <c r="G104" s="35" t="n">
        <v>12300</v>
      </c>
      <c r="H104" s="35" t="n">
        <v>0</v>
      </c>
      <c r="I104" s="35">
        <f>G104-H104</f>
        <v/>
      </c>
      <c r="J104" s="33" t="n">
        <v>2024</v>
      </c>
      <c r="K104" s="33" t="n">
        <v>4</v>
      </c>
      <c r="L104" s="34" t="inlineStr">
        <is>
          <t>Winst- en verliesrekening</t>
        </is>
      </c>
      <c r="M104" s="34" t="inlineStr">
        <is>
          <t>Kostprijs omzet</t>
        </is>
      </c>
      <c r="N104" s="34" t="inlineStr">
        <is>
          <t>Vracht en inkoop</t>
        </is>
      </c>
      <c r="O104" s="36">
        <f>IFERROR(INDEX('Mapping'!$F$2:$F$60,MATCH(B104,'Mapping'!$A$2:$A$60,0)),"")</f>
        <v/>
      </c>
    </row>
    <row r="105">
      <c r="A105" s="32" t="n">
        <v>45413</v>
      </c>
      <c r="B105" s="33" t="n">
        <v>7010</v>
      </c>
      <c r="C105" s="34" t="inlineStr">
        <is>
          <t>Inkoopkosten en vracht</t>
        </is>
      </c>
      <c r="D105" s="34" t="inlineStr">
        <is>
          <t>Inkoop</t>
        </is>
      </c>
      <c r="E105" s="34" t="inlineStr">
        <is>
          <t>Algemeen</t>
        </is>
      </c>
      <c r="F105" s="34" t="inlineStr"/>
      <c r="G105" s="35" t="n">
        <v>12900</v>
      </c>
      <c r="H105" s="35" t="n">
        <v>0</v>
      </c>
      <c r="I105" s="35">
        <f>G105-H105</f>
        <v/>
      </c>
      <c r="J105" s="33" t="n">
        <v>2024</v>
      </c>
      <c r="K105" s="33" t="n">
        <v>5</v>
      </c>
      <c r="L105" s="34" t="inlineStr">
        <is>
          <t>Winst- en verliesrekening</t>
        </is>
      </c>
      <c r="M105" s="34" t="inlineStr">
        <is>
          <t>Kostprijs omzet</t>
        </is>
      </c>
      <c r="N105" s="34" t="inlineStr">
        <is>
          <t>Vracht en inkoop</t>
        </is>
      </c>
      <c r="O105" s="36">
        <f>IFERROR(INDEX('Mapping'!$F$2:$F$60,MATCH(B105,'Mapping'!$A$2:$A$60,0)),"")</f>
        <v/>
      </c>
    </row>
    <row r="106">
      <c r="A106" s="32" t="n">
        <v>45444</v>
      </c>
      <c r="B106" s="33" t="n">
        <v>7010</v>
      </c>
      <c r="C106" s="34" t="inlineStr">
        <is>
          <t>Inkoopkosten en vracht</t>
        </is>
      </c>
      <c r="D106" s="34" t="inlineStr">
        <is>
          <t>Inkoop</t>
        </is>
      </c>
      <c r="E106" s="34" t="inlineStr">
        <is>
          <t>Algemeen</t>
        </is>
      </c>
      <c r="F106" s="34" t="inlineStr"/>
      <c r="G106" s="35" t="n">
        <v>13500</v>
      </c>
      <c r="H106" s="35" t="n">
        <v>0</v>
      </c>
      <c r="I106" s="35">
        <f>G106-H106</f>
        <v/>
      </c>
      <c r="J106" s="33" t="n">
        <v>2024</v>
      </c>
      <c r="K106" s="33" t="n">
        <v>6</v>
      </c>
      <c r="L106" s="34" t="inlineStr">
        <is>
          <t>Winst- en verliesrekening</t>
        </is>
      </c>
      <c r="M106" s="34" t="inlineStr">
        <is>
          <t>Kostprijs omzet</t>
        </is>
      </c>
      <c r="N106" s="34" t="inlineStr">
        <is>
          <t>Vracht en inkoop</t>
        </is>
      </c>
      <c r="O106" s="36">
        <f>IFERROR(INDEX('Mapping'!$F$2:$F$60,MATCH(B106,'Mapping'!$A$2:$A$60,0)),"")</f>
        <v/>
      </c>
    </row>
    <row r="107">
      <c r="A107" s="32" t="n">
        <v>45474</v>
      </c>
      <c r="B107" s="33" t="n">
        <v>7010</v>
      </c>
      <c r="C107" s="34" t="inlineStr">
        <is>
          <t>Inkoopkosten en vracht</t>
        </is>
      </c>
      <c r="D107" s="34" t="inlineStr">
        <is>
          <t>Inkoop</t>
        </is>
      </c>
      <c r="E107" s="34" t="inlineStr">
        <is>
          <t>Algemeen</t>
        </is>
      </c>
      <c r="F107" s="34" t="inlineStr"/>
      <c r="G107" s="35" t="n">
        <v>11400</v>
      </c>
      <c r="H107" s="35" t="n">
        <v>0</v>
      </c>
      <c r="I107" s="35">
        <f>G107-H107</f>
        <v/>
      </c>
      <c r="J107" s="33" t="n">
        <v>2024</v>
      </c>
      <c r="K107" s="33" t="n">
        <v>7</v>
      </c>
      <c r="L107" s="34" t="inlineStr">
        <is>
          <t>Winst- en verliesrekening</t>
        </is>
      </c>
      <c r="M107" s="34" t="inlineStr">
        <is>
          <t>Kostprijs omzet</t>
        </is>
      </c>
      <c r="N107" s="34" t="inlineStr">
        <is>
          <t>Vracht en inkoop</t>
        </is>
      </c>
      <c r="O107" s="36">
        <f>IFERROR(INDEX('Mapping'!$F$2:$F$60,MATCH(B107,'Mapping'!$A$2:$A$60,0)),"")</f>
        <v/>
      </c>
    </row>
    <row r="108">
      <c r="A108" s="32" t="n">
        <v>45505</v>
      </c>
      <c r="B108" s="33" t="n">
        <v>7010</v>
      </c>
      <c r="C108" s="34" t="inlineStr">
        <is>
          <t>Inkoopkosten en vracht</t>
        </is>
      </c>
      <c r="D108" s="34" t="inlineStr">
        <is>
          <t>Inkoop</t>
        </is>
      </c>
      <c r="E108" s="34" t="inlineStr">
        <is>
          <t>Algemeen</t>
        </is>
      </c>
      <c r="F108" s="34" t="inlineStr"/>
      <c r="G108" s="35" t="n">
        <v>10500</v>
      </c>
      <c r="H108" s="35" t="n">
        <v>0</v>
      </c>
      <c r="I108" s="35">
        <f>G108-H108</f>
        <v/>
      </c>
      <c r="J108" s="33" t="n">
        <v>2024</v>
      </c>
      <c r="K108" s="33" t="n">
        <v>8</v>
      </c>
      <c r="L108" s="34" t="inlineStr">
        <is>
          <t>Winst- en verliesrekening</t>
        </is>
      </c>
      <c r="M108" s="34" t="inlineStr">
        <is>
          <t>Kostprijs omzet</t>
        </is>
      </c>
      <c r="N108" s="34" t="inlineStr">
        <is>
          <t>Vracht en inkoop</t>
        </is>
      </c>
      <c r="O108" s="36">
        <f>IFERROR(INDEX('Mapping'!$F$2:$F$60,MATCH(B108,'Mapping'!$A$2:$A$60,0)),"")</f>
        <v/>
      </c>
    </row>
    <row r="109">
      <c r="A109" s="32" t="n">
        <v>45536</v>
      </c>
      <c r="B109" s="33" t="n">
        <v>7010</v>
      </c>
      <c r="C109" s="34" t="inlineStr">
        <is>
          <t>Inkoopkosten en vracht</t>
        </is>
      </c>
      <c r="D109" s="34" t="inlineStr">
        <is>
          <t>Inkoop</t>
        </is>
      </c>
      <c r="E109" s="34" t="inlineStr">
        <is>
          <t>Algemeen</t>
        </is>
      </c>
      <c r="F109" s="34" t="inlineStr"/>
      <c r="G109" s="35" t="n">
        <v>13200</v>
      </c>
      <c r="H109" s="35" t="n">
        <v>0</v>
      </c>
      <c r="I109" s="35">
        <f>G109-H109</f>
        <v/>
      </c>
      <c r="J109" s="33" t="n">
        <v>2024</v>
      </c>
      <c r="K109" s="33" t="n">
        <v>9</v>
      </c>
      <c r="L109" s="34" t="inlineStr">
        <is>
          <t>Winst- en verliesrekening</t>
        </is>
      </c>
      <c r="M109" s="34" t="inlineStr">
        <is>
          <t>Kostprijs omzet</t>
        </is>
      </c>
      <c r="N109" s="34" t="inlineStr">
        <is>
          <t>Vracht en inkoop</t>
        </is>
      </c>
      <c r="O109" s="36">
        <f>IFERROR(INDEX('Mapping'!$F$2:$F$60,MATCH(B109,'Mapping'!$A$2:$A$60,0)),"")</f>
        <v/>
      </c>
    </row>
    <row r="110">
      <c r="A110" s="32" t="n">
        <v>45566</v>
      </c>
      <c r="B110" s="33" t="n">
        <v>7010</v>
      </c>
      <c r="C110" s="34" t="inlineStr">
        <is>
          <t>Inkoopkosten en vracht</t>
        </is>
      </c>
      <c r="D110" s="34" t="inlineStr">
        <is>
          <t>Inkoop</t>
        </is>
      </c>
      <c r="E110" s="34" t="inlineStr">
        <is>
          <t>Algemeen</t>
        </is>
      </c>
      <c r="F110" s="34" t="inlineStr"/>
      <c r="G110" s="35" t="n">
        <v>13500</v>
      </c>
      <c r="H110" s="35" t="n">
        <v>0</v>
      </c>
      <c r="I110" s="35">
        <f>G110-H110</f>
        <v/>
      </c>
      <c r="J110" s="33" t="n">
        <v>2024</v>
      </c>
      <c r="K110" s="33" t="n">
        <v>10</v>
      </c>
      <c r="L110" s="34" t="inlineStr">
        <is>
          <t>Winst- en verliesrekening</t>
        </is>
      </c>
      <c r="M110" s="34" t="inlineStr">
        <is>
          <t>Kostprijs omzet</t>
        </is>
      </c>
      <c r="N110" s="34" t="inlineStr">
        <is>
          <t>Vracht en inkoop</t>
        </is>
      </c>
      <c r="O110" s="36">
        <f>IFERROR(INDEX('Mapping'!$F$2:$F$60,MATCH(B110,'Mapping'!$A$2:$A$60,0)),"")</f>
        <v/>
      </c>
    </row>
    <row r="111">
      <c r="A111" s="32" t="n">
        <v>45597</v>
      </c>
      <c r="B111" s="33" t="n">
        <v>7010</v>
      </c>
      <c r="C111" s="34" t="inlineStr">
        <is>
          <t>Inkoopkosten en vracht</t>
        </is>
      </c>
      <c r="D111" s="34" t="inlineStr">
        <is>
          <t>Inkoop</t>
        </is>
      </c>
      <c r="E111" s="34" t="inlineStr">
        <is>
          <t>Algemeen</t>
        </is>
      </c>
      <c r="F111" s="34" t="inlineStr"/>
      <c r="G111" s="35" t="n">
        <v>12900</v>
      </c>
      <c r="H111" s="35" t="n">
        <v>0</v>
      </c>
      <c r="I111" s="35">
        <f>G111-H111</f>
        <v/>
      </c>
      <c r="J111" s="33" t="n">
        <v>2024</v>
      </c>
      <c r="K111" s="33" t="n">
        <v>11</v>
      </c>
      <c r="L111" s="34" t="inlineStr">
        <is>
          <t>Winst- en verliesrekening</t>
        </is>
      </c>
      <c r="M111" s="34" t="inlineStr">
        <is>
          <t>Kostprijs omzet</t>
        </is>
      </c>
      <c r="N111" s="34" t="inlineStr">
        <is>
          <t>Vracht en inkoop</t>
        </is>
      </c>
      <c r="O111" s="36">
        <f>IFERROR(INDEX('Mapping'!$F$2:$F$60,MATCH(B111,'Mapping'!$A$2:$A$60,0)),"")</f>
        <v/>
      </c>
    </row>
    <row r="112">
      <c r="A112" s="32" t="n">
        <v>45627</v>
      </c>
      <c r="B112" s="33" t="n">
        <v>7010</v>
      </c>
      <c r="C112" s="34" t="inlineStr">
        <is>
          <t>Inkoopkosten en vracht</t>
        </is>
      </c>
      <c r="D112" s="34" t="inlineStr">
        <is>
          <t>Inkoop</t>
        </is>
      </c>
      <c r="E112" s="34" t="inlineStr">
        <is>
          <t>Algemeen</t>
        </is>
      </c>
      <c r="F112" s="34" t="inlineStr"/>
      <c r="G112" s="35" t="n">
        <v>15600</v>
      </c>
      <c r="H112" s="35" t="n">
        <v>0</v>
      </c>
      <c r="I112" s="35">
        <f>G112-H112</f>
        <v/>
      </c>
      <c r="J112" s="33" t="n">
        <v>2024</v>
      </c>
      <c r="K112" s="33" t="n">
        <v>12</v>
      </c>
      <c r="L112" s="34" t="inlineStr">
        <is>
          <t>Winst- en verliesrekening</t>
        </is>
      </c>
      <c r="M112" s="34" t="inlineStr">
        <is>
          <t>Kostprijs omzet</t>
        </is>
      </c>
      <c r="N112" s="34" t="inlineStr">
        <is>
          <t>Vracht en inkoop</t>
        </is>
      </c>
      <c r="O112" s="36">
        <f>IFERROR(INDEX('Mapping'!$F$2:$F$60,MATCH(B112,'Mapping'!$A$2:$A$60,0)),"")</f>
        <v/>
      </c>
    </row>
    <row r="113">
      <c r="A113" s="32" t="n">
        <v>45658</v>
      </c>
      <c r="B113" s="33" t="n">
        <v>7010</v>
      </c>
      <c r="C113" s="34" t="inlineStr">
        <is>
          <t>Inkoopkosten en vracht</t>
        </is>
      </c>
      <c r="D113" s="34" t="inlineStr">
        <is>
          <t>Inkoop</t>
        </is>
      </c>
      <c r="E113" s="34" t="inlineStr">
        <is>
          <t>Algemeen</t>
        </is>
      </c>
      <c r="F113" s="34" t="inlineStr"/>
      <c r="G113" s="35" t="n">
        <v>11200</v>
      </c>
      <c r="H113" s="35" t="n">
        <v>0</v>
      </c>
      <c r="I113" s="35">
        <f>G113-H113</f>
        <v/>
      </c>
      <c r="J113" s="33" t="n">
        <v>2025</v>
      </c>
      <c r="K113" s="33" t="n">
        <v>1</v>
      </c>
      <c r="L113" s="34" t="inlineStr">
        <is>
          <t>Winst- en verliesrekening</t>
        </is>
      </c>
      <c r="M113" s="34" t="inlineStr">
        <is>
          <t>Kostprijs omzet</t>
        </is>
      </c>
      <c r="N113" s="34" t="inlineStr">
        <is>
          <t>Vracht en inkoop</t>
        </is>
      </c>
      <c r="O113" s="36">
        <f>IFERROR(INDEX('Mapping'!$F$2:$F$60,MATCH(B113,'Mapping'!$A$2:$A$60,0)),"")</f>
        <v/>
      </c>
    </row>
    <row r="114">
      <c r="A114" s="32" t="n">
        <v>45689</v>
      </c>
      <c r="B114" s="33" t="n">
        <v>7010</v>
      </c>
      <c r="C114" s="34" t="inlineStr">
        <is>
          <t>Inkoopkosten en vracht</t>
        </is>
      </c>
      <c r="D114" s="34" t="inlineStr">
        <is>
          <t>Inkoop</t>
        </is>
      </c>
      <c r="E114" s="34" t="inlineStr">
        <is>
          <t>Algemeen</t>
        </is>
      </c>
      <c r="F114" s="34" t="inlineStr"/>
      <c r="G114" s="35" t="n">
        <v>11200</v>
      </c>
      <c r="H114" s="35" t="n">
        <v>0</v>
      </c>
      <c r="I114" s="35">
        <f>G114-H114</f>
        <v/>
      </c>
      <c r="J114" s="33" t="n">
        <v>2025</v>
      </c>
      <c r="K114" s="33" t="n">
        <v>2</v>
      </c>
      <c r="L114" s="34" t="inlineStr">
        <is>
          <t>Winst- en verliesrekening</t>
        </is>
      </c>
      <c r="M114" s="34" t="inlineStr">
        <is>
          <t>Kostprijs omzet</t>
        </is>
      </c>
      <c r="N114" s="34" t="inlineStr">
        <is>
          <t>Vracht en inkoop</t>
        </is>
      </c>
      <c r="O114" s="36">
        <f>IFERROR(INDEX('Mapping'!$F$2:$F$60,MATCH(B114,'Mapping'!$A$2:$A$60,0)),"")</f>
        <v/>
      </c>
    </row>
    <row r="115">
      <c r="A115" s="32" t="n">
        <v>45717</v>
      </c>
      <c r="B115" s="33" t="n">
        <v>7010</v>
      </c>
      <c r="C115" s="34" t="inlineStr">
        <is>
          <t>Inkoopkosten en vracht</t>
        </is>
      </c>
      <c r="D115" s="34" t="inlineStr">
        <is>
          <t>Inkoop</t>
        </is>
      </c>
      <c r="E115" s="34" t="inlineStr">
        <is>
          <t>Algemeen</t>
        </is>
      </c>
      <c r="F115" s="34" t="inlineStr"/>
      <c r="G115" s="35" t="n">
        <v>14080</v>
      </c>
      <c r="H115" s="35" t="n">
        <v>0</v>
      </c>
      <c r="I115" s="35">
        <f>G115-H115</f>
        <v/>
      </c>
      <c r="J115" s="33" t="n">
        <v>2025</v>
      </c>
      <c r="K115" s="33" t="n">
        <v>3</v>
      </c>
      <c r="L115" s="34" t="inlineStr">
        <is>
          <t>Winst- en verliesrekening</t>
        </is>
      </c>
      <c r="M115" s="34" t="inlineStr">
        <is>
          <t>Kostprijs omzet</t>
        </is>
      </c>
      <c r="N115" s="34" t="inlineStr">
        <is>
          <t>Vracht en inkoop</t>
        </is>
      </c>
      <c r="O115" s="36">
        <f>IFERROR(INDEX('Mapping'!$F$2:$F$60,MATCH(B115,'Mapping'!$A$2:$A$60,0)),"")</f>
        <v/>
      </c>
    </row>
    <row r="116">
      <c r="A116" s="32" t="n">
        <v>45748</v>
      </c>
      <c r="B116" s="33" t="n">
        <v>7010</v>
      </c>
      <c r="C116" s="34" t="inlineStr">
        <is>
          <t>Inkoopkosten en vracht</t>
        </is>
      </c>
      <c r="D116" s="34" t="inlineStr">
        <is>
          <t>Inkoop</t>
        </is>
      </c>
      <c r="E116" s="34" t="inlineStr">
        <is>
          <t>Algemeen</t>
        </is>
      </c>
      <c r="F116" s="34" t="inlineStr"/>
      <c r="G116" s="35" t="n">
        <v>13120</v>
      </c>
      <c r="H116" s="35" t="n">
        <v>0</v>
      </c>
      <c r="I116" s="35">
        <f>G116-H116</f>
        <v/>
      </c>
      <c r="J116" s="33" t="n">
        <v>2025</v>
      </c>
      <c r="K116" s="33" t="n">
        <v>4</v>
      </c>
      <c r="L116" s="34" t="inlineStr">
        <is>
          <t>Winst- en verliesrekening</t>
        </is>
      </c>
      <c r="M116" s="34" t="inlineStr">
        <is>
          <t>Kostprijs omzet</t>
        </is>
      </c>
      <c r="N116" s="34" t="inlineStr">
        <is>
          <t>Vracht en inkoop</t>
        </is>
      </c>
      <c r="O116" s="36">
        <f>IFERROR(INDEX('Mapping'!$F$2:$F$60,MATCH(B116,'Mapping'!$A$2:$A$60,0)),"")</f>
        <v/>
      </c>
    </row>
    <row r="117">
      <c r="A117" s="32" t="n">
        <v>45778</v>
      </c>
      <c r="B117" s="33" t="n">
        <v>7010</v>
      </c>
      <c r="C117" s="34" t="inlineStr">
        <is>
          <t>Inkoopkosten en vracht</t>
        </is>
      </c>
      <c r="D117" s="34" t="inlineStr">
        <is>
          <t>Inkoop</t>
        </is>
      </c>
      <c r="E117" s="34" t="inlineStr">
        <is>
          <t>Algemeen</t>
        </is>
      </c>
      <c r="F117" s="34" t="inlineStr"/>
      <c r="G117" s="35" t="n">
        <v>13760</v>
      </c>
      <c r="H117" s="35" t="n">
        <v>0</v>
      </c>
      <c r="I117" s="35">
        <f>G117-H117</f>
        <v/>
      </c>
      <c r="J117" s="33" t="n">
        <v>2025</v>
      </c>
      <c r="K117" s="33" t="n">
        <v>5</v>
      </c>
      <c r="L117" s="34" t="inlineStr">
        <is>
          <t>Winst- en verliesrekening</t>
        </is>
      </c>
      <c r="M117" s="34" t="inlineStr">
        <is>
          <t>Kostprijs omzet</t>
        </is>
      </c>
      <c r="N117" s="34" t="inlineStr">
        <is>
          <t>Vracht en inkoop</t>
        </is>
      </c>
      <c r="O117" s="36">
        <f>IFERROR(INDEX('Mapping'!$F$2:$F$60,MATCH(B117,'Mapping'!$A$2:$A$60,0)),"")</f>
        <v/>
      </c>
    </row>
    <row r="118">
      <c r="A118" s="32" t="n">
        <v>45809</v>
      </c>
      <c r="B118" s="33" t="n">
        <v>7010</v>
      </c>
      <c r="C118" s="34" t="inlineStr">
        <is>
          <t>Inkoopkosten en vracht</t>
        </is>
      </c>
      <c r="D118" s="34" t="inlineStr">
        <is>
          <t>Inkoop</t>
        </is>
      </c>
      <c r="E118" s="34" t="inlineStr">
        <is>
          <t>Algemeen</t>
        </is>
      </c>
      <c r="F118" s="34" t="inlineStr"/>
      <c r="G118" s="35" t="n">
        <v>14400</v>
      </c>
      <c r="H118" s="35" t="n">
        <v>0</v>
      </c>
      <c r="I118" s="35">
        <f>G118-H118</f>
        <v/>
      </c>
      <c r="J118" s="33" t="n">
        <v>2025</v>
      </c>
      <c r="K118" s="33" t="n">
        <v>6</v>
      </c>
      <c r="L118" s="34" t="inlineStr">
        <is>
          <t>Winst- en verliesrekening</t>
        </is>
      </c>
      <c r="M118" s="34" t="inlineStr">
        <is>
          <t>Kostprijs omzet</t>
        </is>
      </c>
      <c r="N118" s="34" t="inlineStr">
        <is>
          <t>Vracht en inkoop</t>
        </is>
      </c>
      <c r="O118" s="36">
        <f>IFERROR(INDEX('Mapping'!$F$2:$F$60,MATCH(B118,'Mapping'!$A$2:$A$60,0)),"")</f>
        <v/>
      </c>
    </row>
    <row r="119">
      <c r="A119" s="32" t="n">
        <v>45839</v>
      </c>
      <c r="B119" s="33" t="n">
        <v>7010</v>
      </c>
      <c r="C119" s="34" t="inlineStr">
        <is>
          <t>Inkoopkosten en vracht</t>
        </is>
      </c>
      <c r="D119" s="34" t="inlineStr">
        <is>
          <t>Inkoop</t>
        </is>
      </c>
      <c r="E119" s="34" t="inlineStr">
        <is>
          <t>Algemeen</t>
        </is>
      </c>
      <c r="F119" s="34" t="inlineStr"/>
      <c r="G119" s="35" t="n">
        <v>12160</v>
      </c>
      <c r="H119" s="35" t="n">
        <v>0</v>
      </c>
      <c r="I119" s="35">
        <f>G119-H119</f>
        <v/>
      </c>
      <c r="J119" s="33" t="n">
        <v>2025</v>
      </c>
      <c r="K119" s="33" t="n">
        <v>7</v>
      </c>
      <c r="L119" s="34" t="inlineStr">
        <is>
          <t>Winst- en verliesrekening</t>
        </is>
      </c>
      <c r="M119" s="34" t="inlineStr">
        <is>
          <t>Kostprijs omzet</t>
        </is>
      </c>
      <c r="N119" s="34" t="inlineStr">
        <is>
          <t>Vracht en inkoop</t>
        </is>
      </c>
      <c r="O119" s="36">
        <f>IFERROR(INDEX('Mapping'!$F$2:$F$60,MATCH(B119,'Mapping'!$A$2:$A$60,0)),"")</f>
        <v/>
      </c>
    </row>
    <row r="120">
      <c r="A120" s="32" t="n">
        <v>45870</v>
      </c>
      <c r="B120" s="33" t="n">
        <v>7010</v>
      </c>
      <c r="C120" s="34" t="inlineStr">
        <is>
          <t>Inkoopkosten en vracht</t>
        </is>
      </c>
      <c r="D120" s="34" t="inlineStr">
        <is>
          <t>Inkoop</t>
        </is>
      </c>
      <c r="E120" s="34" t="inlineStr">
        <is>
          <t>Algemeen</t>
        </is>
      </c>
      <c r="F120" s="34" t="inlineStr"/>
      <c r="G120" s="35" t="n">
        <v>11200</v>
      </c>
      <c r="H120" s="35" t="n">
        <v>0</v>
      </c>
      <c r="I120" s="35">
        <f>G120-H120</f>
        <v/>
      </c>
      <c r="J120" s="33" t="n">
        <v>2025</v>
      </c>
      <c r="K120" s="33" t="n">
        <v>8</v>
      </c>
      <c r="L120" s="34" t="inlineStr">
        <is>
          <t>Winst- en verliesrekening</t>
        </is>
      </c>
      <c r="M120" s="34" t="inlineStr">
        <is>
          <t>Kostprijs omzet</t>
        </is>
      </c>
      <c r="N120" s="34" t="inlineStr">
        <is>
          <t>Vracht en inkoop</t>
        </is>
      </c>
      <c r="O120" s="36">
        <f>IFERROR(INDEX('Mapping'!$F$2:$F$60,MATCH(B120,'Mapping'!$A$2:$A$60,0)),"")</f>
        <v/>
      </c>
    </row>
    <row r="121">
      <c r="A121" s="32" t="n">
        <v>45901</v>
      </c>
      <c r="B121" s="33" t="n">
        <v>7010</v>
      </c>
      <c r="C121" s="34" t="inlineStr">
        <is>
          <t>Inkoopkosten en vracht</t>
        </is>
      </c>
      <c r="D121" s="34" t="inlineStr">
        <is>
          <t>Inkoop</t>
        </is>
      </c>
      <c r="E121" s="34" t="inlineStr">
        <is>
          <t>Algemeen</t>
        </is>
      </c>
      <c r="F121" s="34" t="inlineStr"/>
      <c r="G121" s="35" t="n">
        <v>14080</v>
      </c>
      <c r="H121" s="35" t="n">
        <v>0</v>
      </c>
      <c r="I121" s="35">
        <f>G121-H121</f>
        <v/>
      </c>
      <c r="J121" s="33" t="n">
        <v>2025</v>
      </c>
      <c r="K121" s="33" t="n">
        <v>9</v>
      </c>
      <c r="L121" s="34" t="inlineStr">
        <is>
          <t>Winst- en verliesrekening</t>
        </is>
      </c>
      <c r="M121" s="34" t="inlineStr">
        <is>
          <t>Kostprijs omzet</t>
        </is>
      </c>
      <c r="N121" s="34" t="inlineStr">
        <is>
          <t>Vracht en inkoop</t>
        </is>
      </c>
      <c r="O121" s="36">
        <f>IFERROR(INDEX('Mapping'!$F$2:$F$60,MATCH(B121,'Mapping'!$A$2:$A$60,0)),"")</f>
        <v/>
      </c>
    </row>
    <row r="122">
      <c r="A122" s="32" t="n">
        <v>45931</v>
      </c>
      <c r="B122" s="33" t="n">
        <v>7010</v>
      </c>
      <c r="C122" s="34" t="inlineStr">
        <is>
          <t>Inkoopkosten en vracht</t>
        </is>
      </c>
      <c r="D122" s="34" t="inlineStr">
        <is>
          <t>Inkoop</t>
        </is>
      </c>
      <c r="E122" s="34" t="inlineStr">
        <is>
          <t>Algemeen</t>
        </is>
      </c>
      <c r="F122" s="34" t="inlineStr"/>
      <c r="G122" s="35" t="n">
        <v>14400</v>
      </c>
      <c r="H122" s="35" t="n">
        <v>0</v>
      </c>
      <c r="I122" s="35">
        <f>G122-H122</f>
        <v/>
      </c>
      <c r="J122" s="33" t="n">
        <v>2025</v>
      </c>
      <c r="K122" s="33" t="n">
        <v>10</v>
      </c>
      <c r="L122" s="34" t="inlineStr">
        <is>
          <t>Winst- en verliesrekening</t>
        </is>
      </c>
      <c r="M122" s="34" t="inlineStr">
        <is>
          <t>Kostprijs omzet</t>
        </is>
      </c>
      <c r="N122" s="34" t="inlineStr">
        <is>
          <t>Vracht en inkoop</t>
        </is>
      </c>
      <c r="O122" s="36">
        <f>IFERROR(INDEX('Mapping'!$F$2:$F$60,MATCH(B122,'Mapping'!$A$2:$A$60,0)),"")</f>
        <v/>
      </c>
    </row>
    <row r="123">
      <c r="A123" s="32" t="n">
        <v>45962</v>
      </c>
      <c r="B123" s="33" t="n">
        <v>7010</v>
      </c>
      <c r="C123" s="34" t="inlineStr">
        <is>
          <t>Inkoopkosten en vracht</t>
        </is>
      </c>
      <c r="D123" s="34" t="inlineStr">
        <is>
          <t>Inkoop</t>
        </is>
      </c>
      <c r="E123" s="34" t="inlineStr">
        <is>
          <t>Algemeen</t>
        </is>
      </c>
      <c r="F123" s="34" t="inlineStr"/>
      <c r="G123" s="35" t="n">
        <v>13760</v>
      </c>
      <c r="H123" s="35" t="n">
        <v>0</v>
      </c>
      <c r="I123" s="35">
        <f>G123-H123</f>
        <v/>
      </c>
      <c r="J123" s="33" t="n">
        <v>2025</v>
      </c>
      <c r="K123" s="33" t="n">
        <v>11</v>
      </c>
      <c r="L123" s="34" t="inlineStr">
        <is>
          <t>Winst- en verliesrekening</t>
        </is>
      </c>
      <c r="M123" s="34" t="inlineStr">
        <is>
          <t>Kostprijs omzet</t>
        </is>
      </c>
      <c r="N123" s="34" t="inlineStr">
        <is>
          <t>Vracht en inkoop</t>
        </is>
      </c>
      <c r="O123" s="36">
        <f>IFERROR(INDEX('Mapping'!$F$2:$F$60,MATCH(B123,'Mapping'!$A$2:$A$60,0)),"")</f>
        <v/>
      </c>
    </row>
    <row r="124">
      <c r="A124" s="32" t="n">
        <v>45992</v>
      </c>
      <c r="B124" s="33" t="n">
        <v>7010</v>
      </c>
      <c r="C124" s="34" t="inlineStr">
        <is>
          <t>Inkoopkosten en vracht</t>
        </is>
      </c>
      <c r="D124" s="34" t="inlineStr">
        <is>
          <t>Inkoop</t>
        </is>
      </c>
      <c r="E124" s="34" t="inlineStr">
        <is>
          <t>Algemeen</t>
        </is>
      </c>
      <c r="F124" s="34" t="inlineStr"/>
      <c r="G124" s="35" t="n">
        <v>16640</v>
      </c>
      <c r="H124" s="35" t="n">
        <v>0</v>
      </c>
      <c r="I124" s="35">
        <f>G124-H124</f>
        <v/>
      </c>
      <c r="J124" s="33" t="n">
        <v>2025</v>
      </c>
      <c r="K124" s="33" t="n">
        <v>12</v>
      </c>
      <c r="L124" s="34" t="inlineStr">
        <is>
          <t>Winst- en verliesrekening</t>
        </is>
      </c>
      <c r="M124" s="34" t="inlineStr">
        <is>
          <t>Kostprijs omzet</t>
        </is>
      </c>
      <c r="N124" s="34" t="inlineStr">
        <is>
          <t>Vracht en inkoop</t>
        </is>
      </c>
      <c r="O124" s="36">
        <f>IFERROR(INDEX('Mapping'!$F$2:$F$60,MATCH(B124,'Mapping'!$A$2:$A$60,0)),"")</f>
        <v/>
      </c>
    </row>
    <row r="125">
      <c r="A125" s="32" t="n">
        <v>45292</v>
      </c>
      <c r="B125" s="33" t="n">
        <v>4000</v>
      </c>
      <c r="C125" s="34" t="inlineStr">
        <is>
          <t>Brutolonen</t>
        </is>
      </c>
      <c r="D125" s="34" t="inlineStr">
        <is>
          <t>Personeel</t>
        </is>
      </c>
      <c r="E125" s="34" t="inlineStr">
        <is>
          <t>Algemeen</t>
        </is>
      </c>
      <c r="F125" s="34" t="inlineStr"/>
      <c r="G125" s="35" t="n">
        <v>28700</v>
      </c>
      <c r="H125" s="35" t="n">
        <v>0</v>
      </c>
      <c r="I125" s="35">
        <f>G125-H125</f>
        <v/>
      </c>
      <c r="J125" s="33" t="n">
        <v>2024</v>
      </c>
      <c r="K125" s="33" t="n">
        <v>1</v>
      </c>
      <c r="L125" s="34" t="inlineStr">
        <is>
          <t>Winst- en verliesrekening</t>
        </is>
      </c>
      <c r="M125" s="34" t="inlineStr">
        <is>
          <t>Personeelskosten</t>
        </is>
      </c>
      <c r="N125" s="34" t="inlineStr">
        <is>
          <t>Lonen</t>
        </is>
      </c>
      <c r="O125" s="36">
        <f>IFERROR(INDEX('Mapping'!$F$2:$F$60,MATCH(B125,'Mapping'!$A$2:$A$60,0)),"")</f>
        <v/>
      </c>
    </row>
    <row r="126">
      <c r="A126" s="32" t="n">
        <v>45323</v>
      </c>
      <c r="B126" s="33" t="n">
        <v>4000</v>
      </c>
      <c r="C126" s="34" t="inlineStr">
        <is>
          <t>Brutolonen</t>
        </is>
      </c>
      <c r="D126" s="34" t="inlineStr">
        <is>
          <t>Personeel</t>
        </is>
      </c>
      <c r="E126" s="34" t="inlineStr">
        <is>
          <t>Algemeen</t>
        </is>
      </c>
      <c r="F126" s="34" t="inlineStr"/>
      <c r="G126" s="35" t="n">
        <v>28700</v>
      </c>
      <c r="H126" s="35" t="n">
        <v>0</v>
      </c>
      <c r="I126" s="35">
        <f>G126-H126</f>
        <v/>
      </c>
      <c r="J126" s="33" t="n">
        <v>2024</v>
      </c>
      <c r="K126" s="33" t="n">
        <v>2</v>
      </c>
      <c r="L126" s="34" t="inlineStr">
        <is>
          <t>Winst- en verliesrekening</t>
        </is>
      </c>
      <c r="M126" s="34" t="inlineStr">
        <is>
          <t>Personeelskosten</t>
        </is>
      </c>
      <c r="N126" s="34" t="inlineStr">
        <is>
          <t>Lonen</t>
        </is>
      </c>
      <c r="O126" s="36">
        <f>IFERROR(INDEX('Mapping'!$F$2:$F$60,MATCH(B126,'Mapping'!$A$2:$A$60,0)),"")</f>
        <v/>
      </c>
    </row>
    <row r="127">
      <c r="A127" s="32" t="n">
        <v>45352</v>
      </c>
      <c r="B127" s="33" t="n">
        <v>4000</v>
      </c>
      <c r="C127" s="34" t="inlineStr">
        <is>
          <t>Brutolonen</t>
        </is>
      </c>
      <c r="D127" s="34" t="inlineStr">
        <is>
          <t>Personeel</t>
        </is>
      </c>
      <c r="E127" s="34" t="inlineStr">
        <is>
          <t>Algemeen</t>
        </is>
      </c>
      <c r="F127" s="34" t="inlineStr"/>
      <c r="G127" s="35" t="n">
        <v>36080</v>
      </c>
      <c r="H127" s="35" t="n">
        <v>0</v>
      </c>
      <c r="I127" s="35">
        <f>G127-H127</f>
        <v/>
      </c>
      <c r="J127" s="33" t="n">
        <v>2024</v>
      </c>
      <c r="K127" s="33" t="n">
        <v>3</v>
      </c>
      <c r="L127" s="34" t="inlineStr">
        <is>
          <t>Winst- en verliesrekening</t>
        </is>
      </c>
      <c r="M127" s="34" t="inlineStr">
        <is>
          <t>Personeelskosten</t>
        </is>
      </c>
      <c r="N127" s="34" t="inlineStr">
        <is>
          <t>Lonen</t>
        </is>
      </c>
      <c r="O127" s="36">
        <f>IFERROR(INDEX('Mapping'!$F$2:$F$60,MATCH(B127,'Mapping'!$A$2:$A$60,0)),"")</f>
        <v/>
      </c>
    </row>
    <row r="128">
      <c r="A128" s="32" t="n">
        <v>45383</v>
      </c>
      <c r="B128" s="33" t="n">
        <v>4000</v>
      </c>
      <c r="C128" s="34" t="inlineStr">
        <is>
          <t>Brutolonen</t>
        </is>
      </c>
      <c r="D128" s="34" t="inlineStr">
        <is>
          <t>Personeel</t>
        </is>
      </c>
      <c r="E128" s="34" t="inlineStr">
        <is>
          <t>Algemeen</t>
        </is>
      </c>
      <c r="F128" s="34" t="inlineStr"/>
      <c r="G128" s="35" t="n">
        <v>33620</v>
      </c>
      <c r="H128" s="35" t="n">
        <v>0</v>
      </c>
      <c r="I128" s="35">
        <f>G128-H128</f>
        <v/>
      </c>
      <c r="J128" s="33" t="n">
        <v>2024</v>
      </c>
      <c r="K128" s="33" t="n">
        <v>4</v>
      </c>
      <c r="L128" s="34" t="inlineStr">
        <is>
          <t>Winst- en verliesrekening</t>
        </is>
      </c>
      <c r="M128" s="34" t="inlineStr">
        <is>
          <t>Personeelskosten</t>
        </is>
      </c>
      <c r="N128" s="34" t="inlineStr">
        <is>
          <t>Lonen</t>
        </is>
      </c>
      <c r="O128" s="36">
        <f>IFERROR(INDEX('Mapping'!$F$2:$F$60,MATCH(B128,'Mapping'!$A$2:$A$60,0)),"")</f>
        <v/>
      </c>
    </row>
    <row r="129">
      <c r="A129" s="32" t="n">
        <v>45413</v>
      </c>
      <c r="B129" s="33" t="n">
        <v>4000</v>
      </c>
      <c r="C129" s="34" t="inlineStr">
        <is>
          <t>Brutolonen</t>
        </is>
      </c>
      <c r="D129" s="34" t="inlineStr">
        <is>
          <t>Personeel</t>
        </is>
      </c>
      <c r="E129" s="34" t="inlineStr">
        <is>
          <t>Algemeen</t>
        </is>
      </c>
      <c r="F129" s="34" t="inlineStr"/>
      <c r="G129" s="35" t="n">
        <v>35260</v>
      </c>
      <c r="H129" s="35" t="n">
        <v>0</v>
      </c>
      <c r="I129" s="35">
        <f>G129-H129</f>
        <v/>
      </c>
      <c r="J129" s="33" t="n">
        <v>2024</v>
      </c>
      <c r="K129" s="33" t="n">
        <v>5</v>
      </c>
      <c r="L129" s="34" t="inlineStr">
        <is>
          <t>Winst- en verliesrekening</t>
        </is>
      </c>
      <c r="M129" s="34" t="inlineStr">
        <is>
          <t>Personeelskosten</t>
        </is>
      </c>
      <c r="N129" s="34" t="inlineStr">
        <is>
          <t>Lonen</t>
        </is>
      </c>
      <c r="O129" s="36">
        <f>IFERROR(INDEX('Mapping'!$F$2:$F$60,MATCH(B129,'Mapping'!$A$2:$A$60,0)),"")</f>
        <v/>
      </c>
    </row>
    <row r="130">
      <c r="A130" s="32" t="n">
        <v>45444</v>
      </c>
      <c r="B130" s="33" t="n">
        <v>4000</v>
      </c>
      <c r="C130" s="34" t="inlineStr">
        <is>
          <t>Brutolonen</t>
        </is>
      </c>
      <c r="D130" s="34" t="inlineStr">
        <is>
          <t>Personeel</t>
        </is>
      </c>
      <c r="E130" s="34" t="inlineStr">
        <is>
          <t>Algemeen</t>
        </is>
      </c>
      <c r="F130" s="34" t="inlineStr"/>
      <c r="G130" s="35" t="n">
        <v>36900</v>
      </c>
      <c r="H130" s="35" t="n">
        <v>0</v>
      </c>
      <c r="I130" s="35">
        <f>G130-H130</f>
        <v/>
      </c>
      <c r="J130" s="33" t="n">
        <v>2024</v>
      </c>
      <c r="K130" s="33" t="n">
        <v>6</v>
      </c>
      <c r="L130" s="34" t="inlineStr">
        <is>
          <t>Winst- en verliesrekening</t>
        </is>
      </c>
      <c r="M130" s="34" t="inlineStr">
        <is>
          <t>Personeelskosten</t>
        </is>
      </c>
      <c r="N130" s="34" t="inlineStr">
        <is>
          <t>Lonen</t>
        </is>
      </c>
      <c r="O130" s="36">
        <f>IFERROR(INDEX('Mapping'!$F$2:$F$60,MATCH(B130,'Mapping'!$A$2:$A$60,0)),"")</f>
        <v/>
      </c>
    </row>
    <row r="131">
      <c r="A131" s="32" t="n">
        <v>45474</v>
      </c>
      <c r="B131" s="33" t="n">
        <v>4000</v>
      </c>
      <c r="C131" s="34" t="inlineStr">
        <is>
          <t>Brutolonen</t>
        </is>
      </c>
      <c r="D131" s="34" t="inlineStr">
        <is>
          <t>Personeel</t>
        </is>
      </c>
      <c r="E131" s="34" t="inlineStr">
        <is>
          <t>Algemeen</t>
        </is>
      </c>
      <c r="F131" s="34" t="inlineStr"/>
      <c r="G131" s="35" t="n">
        <v>31160</v>
      </c>
      <c r="H131" s="35" t="n">
        <v>0</v>
      </c>
      <c r="I131" s="35">
        <f>G131-H131</f>
        <v/>
      </c>
      <c r="J131" s="33" t="n">
        <v>2024</v>
      </c>
      <c r="K131" s="33" t="n">
        <v>7</v>
      </c>
      <c r="L131" s="34" t="inlineStr">
        <is>
          <t>Winst- en verliesrekening</t>
        </is>
      </c>
      <c r="M131" s="34" t="inlineStr">
        <is>
          <t>Personeelskosten</t>
        </is>
      </c>
      <c r="N131" s="34" t="inlineStr">
        <is>
          <t>Lonen</t>
        </is>
      </c>
      <c r="O131" s="36">
        <f>IFERROR(INDEX('Mapping'!$F$2:$F$60,MATCH(B131,'Mapping'!$A$2:$A$60,0)),"")</f>
        <v/>
      </c>
    </row>
    <row r="132">
      <c r="A132" s="32" t="n">
        <v>45505</v>
      </c>
      <c r="B132" s="33" t="n">
        <v>4000</v>
      </c>
      <c r="C132" s="34" t="inlineStr">
        <is>
          <t>Brutolonen</t>
        </is>
      </c>
      <c r="D132" s="34" t="inlineStr">
        <is>
          <t>Personeel</t>
        </is>
      </c>
      <c r="E132" s="34" t="inlineStr">
        <is>
          <t>Algemeen</t>
        </is>
      </c>
      <c r="F132" s="34" t="inlineStr"/>
      <c r="G132" s="35" t="n">
        <v>28700</v>
      </c>
      <c r="H132" s="35" t="n">
        <v>0</v>
      </c>
      <c r="I132" s="35">
        <f>G132-H132</f>
        <v/>
      </c>
      <c r="J132" s="33" t="n">
        <v>2024</v>
      </c>
      <c r="K132" s="33" t="n">
        <v>8</v>
      </c>
      <c r="L132" s="34" t="inlineStr">
        <is>
          <t>Winst- en verliesrekening</t>
        </is>
      </c>
      <c r="M132" s="34" t="inlineStr">
        <is>
          <t>Personeelskosten</t>
        </is>
      </c>
      <c r="N132" s="34" t="inlineStr">
        <is>
          <t>Lonen</t>
        </is>
      </c>
      <c r="O132" s="36">
        <f>IFERROR(INDEX('Mapping'!$F$2:$F$60,MATCH(B132,'Mapping'!$A$2:$A$60,0)),"")</f>
        <v/>
      </c>
    </row>
    <row r="133">
      <c r="A133" s="32" t="n">
        <v>45536</v>
      </c>
      <c r="B133" s="33" t="n">
        <v>4000</v>
      </c>
      <c r="C133" s="34" t="inlineStr">
        <is>
          <t>Brutolonen</t>
        </is>
      </c>
      <c r="D133" s="34" t="inlineStr">
        <is>
          <t>Personeel</t>
        </is>
      </c>
      <c r="E133" s="34" t="inlineStr">
        <is>
          <t>Algemeen</t>
        </is>
      </c>
      <c r="F133" s="34" t="inlineStr"/>
      <c r="G133" s="35" t="n">
        <v>36080</v>
      </c>
      <c r="H133" s="35" t="n">
        <v>0</v>
      </c>
      <c r="I133" s="35">
        <f>G133-H133</f>
        <v/>
      </c>
      <c r="J133" s="33" t="n">
        <v>2024</v>
      </c>
      <c r="K133" s="33" t="n">
        <v>9</v>
      </c>
      <c r="L133" s="34" t="inlineStr">
        <is>
          <t>Winst- en verliesrekening</t>
        </is>
      </c>
      <c r="M133" s="34" t="inlineStr">
        <is>
          <t>Personeelskosten</t>
        </is>
      </c>
      <c r="N133" s="34" t="inlineStr">
        <is>
          <t>Lonen</t>
        </is>
      </c>
      <c r="O133" s="36">
        <f>IFERROR(INDEX('Mapping'!$F$2:$F$60,MATCH(B133,'Mapping'!$A$2:$A$60,0)),"")</f>
        <v/>
      </c>
    </row>
    <row r="134">
      <c r="A134" s="32" t="n">
        <v>45566</v>
      </c>
      <c r="B134" s="33" t="n">
        <v>4000</v>
      </c>
      <c r="C134" s="34" t="inlineStr">
        <is>
          <t>Brutolonen</t>
        </is>
      </c>
      <c r="D134" s="34" t="inlineStr">
        <is>
          <t>Personeel</t>
        </is>
      </c>
      <c r="E134" s="34" t="inlineStr">
        <is>
          <t>Algemeen</t>
        </is>
      </c>
      <c r="F134" s="34" t="inlineStr"/>
      <c r="G134" s="35" t="n">
        <v>36900</v>
      </c>
      <c r="H134" s="35" t="n">
        <v>0</v>
      </c>
      <c r="I134" s="35">
        <f>G134-H134</f>
        <v/>
      </c>
      <c r="J134" s="33" t="n">
        <v>2024</v>
      </c>
      <c r="K134" s="33" t="n">
        <v>10</v>
      </c>
      <c r="L134" s="34" t="inlineStr">
        <is>
          <t>Winst- en verliesrekening</t>
        </is>
      </c>
      <c r="M134" s="34" t="inlineStr">
        <is>
          <t>Personeelskosten</t>
        </is>
      </c>
      <c r="N134" s="34" t="inlineStr">
        <is>
          <t>Lonen</t>
        </is>
      </c>
      <c r="O134" s="36">
        <f>IFERROR(INDEX('Mapping'!$F$2:$F$60,MATCH(B134,'Mapping'!$A$2:$A$60,0)),"")</f>
        <v/>
      </c>
    </row>
    <row r="135">
      <c r="A135" s="32" t="n">
        <v>45597</v>
      </c>
      <c r="B135" s="33" t="n">
        <v>4000</v>
      </c>
      <c r="C135" s="34" t="inlineStr">
        <is>
          <t>Brutolonen</t>
        </is>
      </c>
      <c r="D135" s="34" t="inlineStr">
        <is>
          <t>Personeel</t>
        </is>
      </c>
      <c r="E135" s="34" t="inlineStr">
        <is>
          <t>Algemeen</t>
        </is>
      </c>
      <c r="F135" s="34" t="inlineStr"/>
      <c r="G135" s="35" t="n">
        <v>35260</v>
      </c>
      <c r="H135" s="35" t="n">
        <v>0</v>
      </c>
      <c r="I135" s="35">
        <f>G135-H135</f>
        <v/>
      </c>
      <c r="J135" s="33" t="n">
        <v>2024</v>
      </c>
      <c r="K135" s="33" t="n">
        <v>11</v>
      </c>
      <c r="L135" s="34" t="inlineStr">
        <is>
          <t>Winst- en verliesrekening</t>
        </is>
      </c>
      <c r="M135" s="34" t="inlineStr">
        <is>
          <t>Personeelskosten</t>
        </is>
      </c>
      <c r="N135" s="34" t="inlineStr">
        <is>
          <t>Lonen</t>
        </is>
      </c>
      <c r="O135" s="36">
        <f>IFERROR(INDEX('Mapping'!$F$2:$F$60,MATCH(B135,'Mapping'!$A$2:$A$60,0)),"")</f>
        <v/>
      </c>
    </row>
    <row r="136">
      <c r="A136" s="32" t="n">
        <v>45627</v>
      </c>
      <c r="B136" s="33" t="n">
        <v>4000</v>
      </c>
      <c r="C136" s="34" t="inlineStr">
        <is>
          <t>Brutolonen</t>
        </is>
      </c>
      <c r="D136" s="34" t="inlineStr">
        <is>
          <t>Personeel</t>
        </is>
      </c>
      <c r="E136" s="34" t="inlineStr">
        <is>
          <t>Algemeen</t>
        </is>
      </c>
      <c r="F136" s="34" t="inlineStr"/>
      <c r="G136" s="35" t="n">
        <v>42640</v>
      </c>
      <c r="H136" s="35" t="n">
        <v>0</v>
      </c>
      <c r="I136" s="35">
        <f>G136-H136</f>
        <v/>
      </c>
      <c r="J136" s="33" t="n">
        <v>2024</v>
      </c>
      <c r="K136" s="33" t="n">
        <v>12</v>
      </c>
      <c r="L136" s="34" t="inlineStr">
        <is>
          <t>Winst- en verliesrekening</t>
        </is>
      </c>
      <c r="M136" s="34" t="inlineStr">
        <is>
          <t>Personeelskosten</t>
        </is>
      </c>
      <c r="N136" s="34" t="inlineStr">
        <is>
          <t>Lonen</t>
        </is>
      </c>
      <c r="O136" s="36">
        <f>IFERROR(INDEX('Mapping'!$F$2:$F$60,MATCH(B136,'Mapping'!$A$2:$A$60,0)),"")</f>
        <v/>
      </c>
    </row>
    <row r="137">
      <c r="A137" s="32" t="n">
        <v>45658</v>
      </c>
      <c r="B137" s="33" t="n">
        <v>4000</v>
      </c>
      <c r="C137" s="34" t="inlineStr">
        <is>
          <t>Brutolonen</t>
        </is>
      </c>
      <c r="D137" s="34" t="inlineStr">
        <is>
          <t>Personeel</t>
        </is>
      </c>
      <c r="E137" s="34" t="inlineStr">
        <is>
          <t>Algemeen</t>
        </is>
      </c>
      <c r="F137" s="34" t="inlineStr"/>
      <c r="G137" s="35" t="n">
        <v>30450</v>
      </c>
      <c r="H137" s="35" t="n">
        <v>0</v>
      </c>
      <c r="I137" s="35">
        <f>G137-H137</f>
        <v/>
      </c>
      <c r="J137" s="33" t="n">
        <v>2025</v>
      </c>
      <c r="K137" s="33" t="n">
        <v>1</v>
      </c>
      <c r="L137" s="34" t="inlineStr">
        <is>
          <t>Winst- en verliesrekening</t>
        </is>
      </c>
      <c r="M137" s="34" t="inlineStr">
        <is>
          <t>Personeelskosten</t>
        </is>
      </c>
      <c r="N137" s="34" t="inlineStr">
        <is>
          <t>Lonen</t>
        </is>
      </c>
      <c r="O137" s="36">
        <f>IFERROR(INDEX('Mapping'!$F$2:$F$60,MATCH(B137,'Mapping'!$A$2:$A$60,0)),"")</f>
        <v/>
      </c>
    </row>
    <row r="138">
      <c r="A138" s="32" t="n">
        <v>45689</v>
      </c>
      <c r="B138" s="33" t="n">
        <v>4000</v>
      </c>
      <c r="C138" s="34" t="inlineStr">
        <is>
          <t>Brutolonen</t>
        </is>
      </c>
      <c r="D138" s="34" t="inlineStr">
        <is>
          <t>Personeel</t>
        </is>
      </c>
      <c r="E138" s="34" t="inlineStr">
        <is>
          <t>Algemeen</t>
        </is>
      </c>
      <c r="F138" s="34" t="inlineStr"/>
      <c r="G138" s="35" t="n">
        <v>30450</v>
      </c>
      <c r="H138" s="35" t="n">
        <v>0</v>
      </c>
      <c r="I138" s="35">
        <f>G138-H138</f>
        <v/>
      </c>
      <c r="J138" s="33" t="n">
        <v>2025</v>
      </c>
      <c r="K138" s="33" t="n">
        <v>2</v>
      </c>
      <c r="L138" s="34" t="inlineStr">
        <is>
          <t>Winst- en verliesrekening</t>
        </is>
      </c>
      <c r="M138" s="34" t="inlineStr">
        <is>
          <t>Personeelskosten</t>
        </is>
      </c>
      <c r="N138" s="34" t="inlineStr">
        <is>
          <t>Lonen</t>
        </is>
      </c>
      <c r="O138" s="36">
        <f>IFERROR(INDEX('Mapping'!$F$2:$F$60,MATCH(B138,'Mapping'!$A$2:$A$60,0)),"")</f>
        <v/>
      </c>
    </row>
    <row r="139">
      <c r="A139" s="32" t="n">
        <v>45717</v>
      </c>
      <c r="B139" s="33" t="n">
        <v>4000</v>
      </c>
      <c r="C139" s="34" t="inlineStr">
        <is>
          <t>Brutolonen</t>
        </is>
      </c>
      <c r="D139" s="34" t="inlineStr">
        <is>
          <t>Personeel</t>
        </is>
      </c>
      <c r="E139" s="34" t="inlineStr">
        <is>
          <t>Algemeen</t>
        </is>
      </c>
      <c r="F139" s="34" t="inlineStr"/>
      <c r="G139" s="35" t="n">
        <v>38280</v>
      </c>
      <c r="H139" s="35" t="n">
        <v>0</v>
      </c>
      <c r="I139" s="35">
        <f>G139-H139</f>
        <v/>
      </c>
      <c r="J139" s="33" t="n">
        <v>2025</v>
      </c>
      <c r="K139" s="33" t="n">
        <v>3</v>
      </c>
      <c r="L139" s="34" t="inlineStr">
        <is>
          <t>Winst- en verliesrekening</t>
        </is>
      </c>
      <c r="M139" s="34" t="inlineStr">
        <is>
          <t>Personeelskosten</t>
        </is>
      </c>
      <c r="N139" s="34" t="inlineStr">
        <is>
          <t>Lonen</t>
        </is>
      </c>
      <c r="O139" s="36">
        <f>IFERROR(INDEX('Mapping'!$F$2:$F$60,MATCH(B139,'Mapping'!$A$2:$A$60,0)),"")</f>
        <v/>
      </c>
    </row>
    <row r="140">
      <c r="A140" s="32" t="n">
        <v>45748</v>
      </c>
      <c r="B140" s="33" t="n">
        <v>4000</v>
      </c>
      <c r="C140" s="34" t="inlineStr">
        <is>
          <t>Brutolonen</t>
        </is>
      </c>
      <c r="D140" s="34" t="inlineStr">
        <is>
          <t>Personeel</t>
        </is>
      </c>
      <c r="E140" s="34" t="inlineStr">
        <is>
          <t>Algemeen</t>
        </is>
      </c>
      <c r="F140" s="34" t="inlineStr"/>
      <c r="G140" s="35" t="n">
        <v>35670</v>
      </c>
      <c r="H140" s="35" t="n">
        <v>0</v>
      </c>
      <c r="I140" s="35">
        <f>G140-H140</f>
        <v/>
      </c>
      <c r="J140" s="33" t="n">
        <v>2025</v>
      </c>
      <c r="K140" s="33" t="n">
        <v>4</v>
      </c>
      <c r="L140" s="34" t="inlineStr">
        <is>
          <t>Winst- en verliesrekening</t>
        </is>
      </c>
      <c r="M140" s="34" t="inlineStr">
        <is>
          <t>Personeelskosten</t>
        </is>
      </c>
      <c r="N140" s="34" t="inlineStr">
        <is>
          <t>Lonen</t>
        </is>
      </c>
      <c r="O140" s="36">
        <f>IFERROR(INDEX('Mapping'!$F$2:$F$60,MATCH(B140,'Mapping'!$A$2:$A$60,0)),"")</f>
        <v/>
      </c>
    </row>
    <row r="141">
      <c r="A141" s="32" t="n">
        <v>45778</v>
      </c>
      <c r="B141" s="33" t="n">
        <v>4000</v>
      </c>
      <c r="C141" s="34" t="inlineStr">
        <is>
          <t>Brutolonen</t>
        </is>
      </c>
      <c r="D141" s="34" t="inlineStr">
        <is>
          <t>Personeel</t>
        </is>
      </c>
      <c r="E141" s="34" t="inlineStr">
        <is>
          <t>Algemeen</t>
        </is>
      </c>
      <c r="F141" s="34" t="inlineStr"/>
      <c r="G141" s="35" t="n">
        <v>37410</v>
      </c>
      <c r="H141" s="35" t="n">
        <v>0</v>
      </c>
      <c r="I141" s="35">
        <f>G141-H141</f>
        <v/>
      </c>
      <c r="J141" s="33" t="n">
        <v>2025</v>
      </c>
      <c r="K141" s="33" t="n">
        <v>5</v>
      </c>
      <c r="L141" s="34" t="inlineStr">
        <is>
          <t>Winst- en verliesrekening</t>
        </is>
      </c>
      <c r="M141" s="34" t="inlineStr">
        <is>
          <t>Personeelskosten</t>
        </is>
      </c>
      <c r="N141" s="34" t="inlineStr">
        <is>
          <t>Lonen</t>
        </is>
      </c>
      <c r="O141" s="36">
        <f>IFERROR(INDEX('Mapping'!$F$2:$F$60,MATCH(B141,'Mapping'!$A$2:$A$60,0)),"")</f>
        <v/>
      </c>
    </row>
    <row r="142">
      <c r="A142" s="32" t="n">
        <v>45809</v>
      </c>
      <c r="B142" s="33" t="n">
        <v>4000</v>
      </c>
      <c r="C142" s="34" t="inlineStr">
        <is>
          <t>Brutolonen</t>
        </is>
      </c>
      <c r="D142" s="34" t="inlineStr">
        <is>
          <t>Personeel</t>
        </is>
      </c>
      <c r="E142" s="34" t="inlineStr">
        <is>
          <t>Algemeen</t>
        </is>
      </c>
      <c r="F142" s="34" t="inlineStr"/>
      <c r="G142" s="35" t="n">
        <v>39150</v>
      </c>
      <c r="H142" s="35" t="n">
        <v>0</v>
      </c>
      <c r="I142" s="35">
        <f>G142-H142</f>
        <v/>
      </c>
      <c r="J142" s="33" t="n">
        <v>2025</v>
      </c>
      <c r="K142" s="33" t="n">
        <v>6</v>
      </c>
      <c r="L142" s="34" t="inlineStr">
        <is>
          <t>Winst- en verliesrekening</t>
        </is>
      </c>
      <c r="M142" s="34" t="inlineStr">
        <is>
          <t>Personeelskosten</t>
        </is>
      </c>
      <c r="N142" s="34" t="inlineStr">
        <is>
          <t>Lonen</t>
        </is>
      </c>
      <c r="O142" s="36">
        <f>IFERROR(INDEX('Mapping'!$F$2:$F$60,MATCH(B142,'Mapping'!$A$2:$A$60,0)),"")</f>
        <v/>
      </c>
    </row>
    <row r="143">
      <c r="A143" s="32" t="n">
        <v>45839</v>
      </c>
      <c r="B143" s="33" t="n">
        <v>4000</v>
      </c>
      <c r="C143" s="34" t="inlineStr">
        <is>
          <t>Brutolonen</t>
        </is>
      </c>
      <c r="D143" s="34" t="inlineStr">
        <is>
          <t>Personeel</t>
        </is>
      </c>
      <c r="E143" s="34" t="inlineStr">
        <is>
          <t>Algemeen</t>
        </is>
      </c>
      <c r="F143" s="34" t="inlineStr"/>
      <c r="G143" s="35" t="n">
        <v>33060</v>
      </c>
      <c r="H143" s="35" t="n">
        <v>0</v>
      </c>
      <c r="I143" s="35">
        <f>G143-H143</f>
        <v/>
      </c>
      <c r="J143" s="33" t="n">
        <v>2025</v>
      </c>
      <c r="K143" s="33" t="n">
        <v>7</v>
      </c>
      <c r="L143" s="34" t="inlineStr">
        <is>
          <t>Winst- en verliesrekening</t>
        </is>
      </c>
      <c r="M143" s="34" t="inlineStr">
        <is>
          <t>Personeelskosten</t>
        </is>
      </c>
      <c r="N143" s="34" t="inlineStr">
        <is>
          <t>Lonen</t>
        </is>
      </c>
      <c r="O143" s="36">
        <f>IFERROR(INDEX('Mapping'!$F$2:$F$60,MATCH(B143,'Mapping'!$A$2:$A$60,0)),"")</f>
        <v/>
      </c>
    </row>
    <row r="144">
      <c r="A144" s="32" t="n">
        <v>45870</v>
      </c>
      <c r="B144" s="33" t="n">
        <v>4000</v>
      </c>
      <c r="C144" s="34" t="inlineStr">
        <is>
          <t>Brutolonen</t>
        </is>
      </c>
      <c r="D144" s="34" t="inlineStr">
        <is>
          <t>Personeel</t>
        </is>
      </c>
      <c r="E144" s="34" t="inlineStr">
        <is>
          <t>Algemeen</t>
        </is>
      </c>
      <c r="F144" s="34" t="inlineStr"/>
      <c r="G144" s="35" t="n">
        <v>30450</v>
      </c>
      <c r="H144" s="35" t="n">
        <v>0</v>
      </c>
      <c r="I144" s="35">
        <f>G144-H144</f>
        <v/>
      </c>
      <c r="J144" s="33" t="n">
        <v>2025</v>
      </c>
      <c r="K144" s="33" t="n">
        <v>8</v>
      </c>
      <c r="L144" s="34" t="inlineStr">
        <is>
          <t>Winst- en verliesrekening</t>
        </is>
      </c>
      <c r="M144" s="34" t="inlineStr">
        <is>
          <t>Personeelskosten</t>
        </is>
      </c>
      <c r="N144" s="34" t="inlineStr">
        <is>
          <t>Lonen</t>
        </is>
      </c>
      <c r="O144" s="36">
        <f>IFERROR(INDEX('Mapping'!$F$2:$F$60,MATCH(B144,'Mapping'!$A$2:$A$60,0)),"")</f>
        <v/>
      </c>
    </row>
    <row r="145">
      <c r="A145" s="32" t="n">
        <v>45901</v>
      </c>
      <c r="B145" s="33" t="n">
        <v>4000</v>
      </c>
      <c r="C145" s="34" t="inlineStr">
        <is>
          <t>Brutolonen</t>
        </is>
      </c>
      <c r="D145" s="34" t="inlineStr">
        <is>
          <t>Personeel</t>
        </is>
      </c>
      <c r="E145" s="34" t="inlineStr">
        <is>
          <t>Algemeen</t>
        </is>
      </c>
      <c r="F145" s="34" t="inlineStr"/>
      <c r="G145" s="35" t="n">
        <v>38280</v>
      </c>
      <c r="H145" s="35" t="n">
        <v>0</v>
      </c>
      <c r="I145" s="35">
        <f>G145-H145</f>
        <v/>
      </c>
      <c r="J145" s="33" t="n">
        <v>2025</v>
      </c>
      <c r="K145" s="33" t="n">
        <v>9</v>
      </c>
      <c r="L145" s="34" t="inlineStr">
        <is>
          <t>Winst- en verliesrekening</t>
        </is>
      </c>
      <c r="M145" s="34" t="inlineStr">
        <is>
          <t>Personeelskosten</t>
        </is>
      </c>
      <c r="N145" s="34" t="inlineStr">
        <is>
          <t>Lonen</t>
        </is>
      </c>
      <c r="O145" s="36">
        <f>IFERROR(INDEX('Mapping'!$F$2:$F$60,MATCH(B145,'Mapping'!$A$2:$A$60,0)),"")</f>
        <v/>
      </c>
    </row>
    <row r="146">
      <c r="A146" s="32" t="n">
        <v>45931</v>
      </c>
      <c r="B146" s="33" t="n">
        <v>4000</v>
      </c>
      <c r="C146" s="34" t="inlineStr">
        <is>
          <t>Brutolonen</t>
        </is>
      </c>
      <c r="D146" s="34" t="inlineStr">
        <is>
          <t>Personeel</t>
        </is>
      </c>
      <c r="E146" s="34" t="inlineStr">
        <is>
          <t>Algemeen</t>
        </is>
      </c>
      <c r="F146" s="34" t="inlineStr"/>
      <c r="G146" s="35" t="n">
        <v>39150</v>
      </c>
      <c r="H146" s="35" t="n">
        <v>0</v>
      </c>
      <c r="I146" s="35">
        <f>G146-H146</f>
        <v/>
      </c>
      <c r="J146" s="33" t="n">
        <v>2025</v>
      </c>
      <c r="K146" s="33" t="n">
        <v>10</v>
      </c>
      <c r="L146" s="34" t="inlineStr">
        <is>
          <t>Winst- en verliesrekening</t>
        </is>
      </c>
      <c r="M146" s="34" t="inlineStr">
        <is>
          <t>Personeelskosten</t>
        </is>
      </c>
      <c r="N146" s="34" t="inlineStr">
        <is>
          <t>Lonen</t>
        </is>
      </c>
      <c r="O146" s="36">
        <f>IFERROR(INDEX('Mapping'!$F$2:$F$60,MATCH(B146,'Mapping'!$A$2:$A$60,0)),"")</f>
        <v/>
      </c>
    </row>
    <row r="147">
      <c r="A147" s="32" t="n">
        <v>45962</v>
      </c>
      <c r="B147" s="33" t="n">
        <v>4000</v>
      </c>
      <c r="C147" s="34" t="inlineStr">
        <is>
          <t>Brutolonen</t>
        </is>
      </c>
      <c r="D147" s="34" t="inlineStr">
        <is>
          <t>Personeel</t>
        </is>
      </c>
      <c r="E147" s="34" t="inlineStr">
        <is>
          <t>Algemeen</t>
        </is>
      </c>
      <c r="F147" s="34" t="inlineStr"/>
      <c r="G147" s="35" t="n">
        <v>37410</v>
      </c>
      <c r="H147" s="35" t="n">
        <v>0</v>
      </c>
      <c r="I147" s="35">
        <f>G147-H147</f>
        <v/>
      </c>
      <c r="J147" s="33" t="n">
        <v>2025</v>
      </c>
      <c r="K147" s="33" t="n">
        <v>11</v>
      </c>
      <c r="L147" s="34" t="inlineStr">
        <is>
          <t>Winst- en verliesrekening</t>
        </is>
      </c>
      <c r="M147" s="34" t="inlineStr">
        <is>
          <t>Personeelskosten</t>
        </is>
      </c>
      <c r="N147" s="34" t="inlineStr">
        <is>
          <t>Lonen</t>
        </is>
      </c>
      <c r="O147" s="36">
        <f>IFERROR(INDEX('Mapping'!$F$2:$F$60,MATCH(B147,'Mapping'!$A$2:$A$60,0)),"")</f>
        <v/>
      </c>
    </row>
    <row r="148">
      <c r="A148" s="32" t="n">
        <v>45992</v>
      </c>
      <c r="B148" s="33" t="n">
        <v>4000</v>
      </c>
      <c r="C148" s="34" t="inlineStr">
        <is>
          <t>Brutolonen</t>
        </is>
      </c>
      <c r="D148" s="34" t="inlineStr">
        <is>
          <t>Personeel</t>
        </is>
      </c>
      <c r="E148" s="34" t="inlineStr">
        <is>
          <t>Algemeen</t>
        </is>
      </c>
      <c r="F148" s="34" t="inlineStr"/>
      <c r="G148" s="35" t="n">
        <v>45240</v>
      </c>
      <c r="H148" s="35" t="n">
        <v>0</v>
      </c>
      <c r="I148" s="35">
        <f>G148-H148</f>
        <v/>
      </c>
      <c r="J148" s="33" t="n">
        <v>2025</v>
      </c>
      <c r="K148" s="33" t="n">
        <v>12</v>
      </c>
      <c r="L148" s="34" t="inlineStr">
        <is>
          <t>Winst- en verliesrekening</t>
        </is>
      </c>
      <c r="M148" s="34" t="inlineStr">
        <is>
          <t>Personeelskosten</t>
        </is>
      </c>
      <c r="N148" s="34" t="inlineStr">
        <is>
          <t>Lonen</t>
        </is>
      </c>
      <c r="O148" s="36">
        <f>IFERROR(INDEX('Mapping'!$F$2:$F$60,MATCH(B148,'Mapping'!$A$2:$A$60,0)),"")</f>
        <v/>
      </c>
    </row>
    <row r="149">
      <c r="A149" s="32" t="n">
        <v>45292</v>
      </c>
      <c r="B149" s="33" t="n">
        <v>4010</v>
      </c>
      <c r="C149" s="34" t="inlineStr">
        <is>
          <t>Sociale lasten</t>
        </is>
      </c>
      <c r="D149" s="34" t="inlineStr">
        <is>
          <t>Personeel</t>
        </is>
      </c>
      <c r="E149" s="34" t="inlineStr">
        <is>
          <t>Algemeen</t>
        </is>
      </c>
      <c r="F149" s="34" t="inlineStr"/>
      <c r="G149" s="35" t="n">
        <v>6650</v>
      </c>
      <c r="H149" s="35" t="n">
        <v>0</v>
      </c>
      <c r="I149" s="35">
        <f>G149-H149</f>
        <v/>
      </c>
      <c r="J149" s="33" t="n">
        <v>2024</v>
      </c>
      <c r="K149" s="33" t="n">
        <v>1</v>
      </c>
      <c r="L149" s="34" t="inlineStr">
        <is>
          <t>Winst- en verliesrekening</t>
        </is>
      </c>
      <c r="M149" s="34" t="inlineStr">
        <is>
          <t>Personeelskosten</t>
        </is>
      </c>
      <c r="N149" s="34" t="inlineStr">
        <is>
          <t>Sociale lasten</t>
        </is>
      </c>
      <c r="O149" s="36">
        <f>IFERROR(INDEX('Mapping'!$F$2:$F$60,MATCH(B149,'Mapping'!$A$2:$A$60,0)),"")</f>
        <v/>
      </c>
    </row>
    <row r="150">
      <c r="A150" s="32" t="n">
        <v>45323</v>
      </c>
      <c r="B150" s="33" t="n">
        <v>4010</v>
      </c>
      <c r="C150" s="34" t="inlineStr">
        <is>
          <t>Sociale lasten</t>
        </is>
      </c>
      <c r="D150" s="34" t="inlineStr">
        <is>
          <t>Personeel</t>
        </is>
      </c>
      <c r="E150" s="34" t="inlineStr">
        <is>
          <t>Algemeen</t>
        </is>
      </c>
      <c r="F150" s="34" t="inlineStr"/>
      <c r="G150" s="35" t="n">
        <v>6650</v>
      </c>
      <c r="H150" s="35" t="n">
        <v>0</v>
      </c>
      <c r="I150" s="35">
        <f>G150-H150</f>
        <v/>
      </c>
      <c r="J150" s="33" t="n">
        <v>2024</v>
      </c>
      <c r="K150" s="33" t="n">
        <v>2</v>
      </c>
      <c r="L150" s="34" t="inlineStr">
        <is>
          <t>Winst- en verliesrekening</t>
        </is>
      </c>
      <c r="M150" s="34" t="inlineStr">
        <is>
          <t>Personeelskosten</t>
        </is>
      </c>
      <c r="N150" s="34" t="inlineStr">
        <is>
          <t>Sociale lasten</t>
        </is>
      </c>
      <c r="O150" s="36">
        <f>IFERROR(INDEX('Mapping'!$F$2:$F$60,MATCH(B150,'Mapping'!$A$2:$A$60,0)),"")</f>
        <v/>
      </c>
    </row>
    <row r="151">
      <c r="A151" s="32" t="n">
        <v>45352</v>
      </c>
      <c r="B151" s="33" t="n">
        <v>4010</v>
      </c>
      <c r="C151" s="34" t="inlineStr">
        <is>
          <t>Sociale lasten</t>
        </is>
      </c>
      <c r="D151" s="34" t="inlineStr">
        <is>
          <t>Personeel</t>
        </is>
      </c>
      <c r="E151" s="34" t="inlineStr">
        <is>
          <t>Algemeen</t>
        </is>
      </c>
      <c r="F151" s="34" t="inlineStr"/>
      <c r="G151" s="35" t="n">
        <v>8360</v>
      </c>
      <c r="H151" s="35" t="n">
        <v>0</v>
      </c>
      <c r="I151" s="35">
        <f>G151-H151</f>
        <v/>
      </c>
      <c r="J151" s="33" t="n">
        <v>2024</v>
      </c>
      <c r="K151" s="33" t="n">
        <v>3</v>
      </c>
      <c r="L151" s="34" t="inlineStr">
        <is>
          <t>Winst- en verliesrekening</t>
        </is>
      </c>
      <c r="M151" s="34" t="inlineStr">
        <is>
          <t>Personeelskosten</t>
        </is>
      </c>
      <c r="N151" s="34" t="inlineStr">
        <is>
          <t>Sociale lasten</t>
        </is>
      </c>
      <c r="O151" s="36">
        <f>IFERROR(INDEX('Mapping'!$F$2:$F$60,MATCH(B151,'Mapping'!$A$2:$A$60,0)),"")</f>
        <v/>
      </c>
    </row>
    <row r="152">
      <c r="A152" s="32" t="n">
        <v>45383</v>
      </c>
      <c r="B152" s="33" t="n">
        <v>4010</v>
      </c>
      <c r="C152" s="34" t="inlineStr">
        <is>
          <t>Sociale lasten</t>
        </is>
      </c>
      <c r="D152" s="34" t="inlineStr">
        <is>
          <t>Personeel</t>
        </is>
      </c>
      <c r="E152" s="34" t="inlineStr">
        <is>
          <t>Algemeen</t>
        </is>
      </c>
      <c r="F152" s="34" t="inlineStr"/>
      <c r="G152" s="35" t="n">
        <v>7790</v>
      </c>
      <c r="H152" s="35" t="n">
        <v>0</v>
      </c>
      <c r="I152" s="35">
        <f>G152-H152</f>
        <v/>
      </c>
      <c r="J152" s="33" t="n">
        <v>2024</v>
      </c>
      <c r="K152" s="33" t="n">
        <v>4</v>
      </c>
      <c r="L152" s="34" t="inlineStr">
        <is>
          <t>Winst- en verliesrekening</t>
        </is>
      </c>
      <c r="M152" s="34" t="inlineStr">
        <is>
          <t>Personeelskosten</t>
        </is>
      </c>
      <c r="N152" s="34" t="inlineStr">
        <is>
          <t>Sociale lasten</t>
        </is>
      </c>
      <c r="O152" s="36">
        <f>IFERROR(INDEX('Mapping'!$F$2:$F$60,MATCH(B152,'Mapping'!$A$2:$A$60,0)),"")</f>
        <v/>
      </c>
    </row>
    <row r="153">
      <c r="A153" s="32" t="n">
        <v>45413</v>
      </c>
      <c r="B153" s="33" t="n">
        <v>4010</v>
      </c>
      <c r="C153" s="34" t="inlineStr">
        <is>
          <t>Sociale lasten</t>
        </is>
      </c>
      <c r="D153" s="34" t="inlineStr">
        <is>
          <t>Personeel</t>
        </is>
      </c>
      <c r="E153" s="34" t="inlineStr">
        <is>
          <t>Algemeen</t>
        </is>
      </c>
      <c r="F153" s="34" t="inlineStr"/>
      <c r="G153" s="35" t="n">
        <v>8170</v>
      </c>
      <c r="H153" s="35" t="n">
        <v>0</v>
      </c>
      <c r="I153" s="35">
        <f>G153-H153</f>
        <v/>
      </c>
      <c r="J153" s="33" t="n">
        <v>2024</v>
      </c>
      <c r="K153" s="33" t="n">
        <v>5</v>
      </c>
      <c r="L153" s="34" t="inlineStr">
        <is>
          <t>Winst- en verliesrekening</t>
        </is>
      </c>
      <c r="M153" s="34" t="inlineStr">
        <is>
          <t>Personeelskosten</t>
        </is>
      </c>
      <c r="N153" s="34" t="inlineStr">
        <is>
          <t>Sociale lasten</t>
        </is>
      </c>
      <c r="O153" s="36">
        <f>IFERROR(INDEX('Mapping'!$F$2:$F$60,MATCH(B153,'Mapping'!$A$2:$A$60,0)),"")</f>
        <v/>
      </c>
    </row>
    <row r="154">
      <c r="A154" s="32" t="n">
        <v>45444</v>
      </c>
      <c r="B154" s="33" t="n">
        <v>4010</v>
      </c>
      <c r="C154" s="34" t="inlineStr">
        <is>
          <t>Sociale lasten</t>
        </is>
      </c>
      <c r="D154" s="34" t="inlineStr">
        <is>
          <t>Personeel</t>
        </is>
      </c>
      <c r="E154" s="34" t="inlineStr">
        <is>
          <t>Algemeen</t>
        </is>
      </c>
      <c r="F154" s="34" t="inlineStr"/>
      <c r="G154" s="35" t="n">
        <v>8550</v>
      </c>
      <c r="H154" s="35" t="n">
        <v>0</v>
      </c>
      <c r="I154" s="35">
        <f>G154-H154</f>
        <v/>
      </c>
      <c r="J154" s="33" t="n">
        <v>2024</v>
      </c>
      <c r="K154" s="33" t="n">
        <v>6</v>
      </c>
      <c r="L154" s="34" t="inlineStr">
        <is>
          <t>Winst- en verliesrekening</t>
        </is>
      </c>
      <c r="M154" s="34" t="inlineStr">
        <is>
          <t>Personeelskosten</t>
        </is>
      </c>
      <c r="N154" s="34" t="inlineStr">
        <is>
          <t>Sociale lasten</t>
        </is>
      </c>
      <c r="O154" s="36">
        <f>IFERROR(INDEX('Mapping'!$F$2:$F$60,MATCH(B154,'Mapping'!$A$2:$A$60,0)),"")</f>
        <v/>
      </c>
    </row>
    <row r="155">
      <c r="A155" s="32" t="n">
        <v>45474</v>
      </c>
      <c r="B155" s="33" t="n">
        <v>4010</v>
      </c>
      <c r="C155" s="34" t="inlineStr">
        <is>
          <t>Sociale lasten</t>
        </is>
      </c>
      <c r="D155" s="34" t="inlineStr">
        <is>
          <t>Personeel</t>
        </is>
      </c>
      <c r="E155" s="34" t="inlineStr">
        <is>
          <t>Algemeen</t>
        </is>
      </c>
      <c r="F155" s="34" t="inlineStr"/>
      <c r="G155" s="35" t="n">
        <v>7220</v>
      </c>
      <c r="H155" s="35" t="n">
        <v>0</v>
      </c>
      <c r="I155" s="35">
        <f>G155-H155</f>
        <v/>
      </c>
      <c r="J155" s="33" t="n">
        <v>2024</v>
      </c>
      <c r="K155" s="33" t="n">
        <v>7</v>
      </c>
      <c r="L155" s="34" t="inlineStr">
        <is>
          <t>Winst- en verliesrekening</t>
        </is>
      </c>
      <c r="M155" s="34" t="inlineStr">
        <is>
          <t>Personeelskosten</t>
        </is>
      </c>
      <c r="N155" s="34" t="inlineStr">
        <is>
          <t>Sociale lasten</t>
        </is>
      </c>
      <c r="O155" s="36">
        <f>IFERROR(INDEX('Mapping'!$F$2:$F$60,MATCH(B155,'Mapping'!$A$2:$A$60,0)),"")</f>
        <v/>
      </c>
    </row>
    <row r="156">
      <c r="A156" s="32" t="n">
        <v>45505</v>
      </c>
      <c r="B156" s="33" t="n">
        <v>4010</v>
      </c>
      <c r="C156" s="34" t="inlineStr">
        <is>
          <t>Sociale lasten</t>
        </is>
      </c>
      <c r="D156" s="34" t="inlineStr">
        <is>
          <t>Personeel</t>
        </is>
      </c>
      <c r="E156" s="34" t="inlineStr">
        <is>
          <t>Algemeen</t>
        </is>
      </c>
      <c r="F156" s="34" t="inlineStr"/>
      <c r="G156" s="35" t="n">
        <v>6650</v>
      </c>
      <c r="H156" s="35" t="n">
        <v>0</v>
      </c>
      <c r="I156" s="35">
        <f>G156-H156</f>
        <v/>
      </c>
      <c r="J156" s="33" t="n">
        <v>2024</v>
      </c>
      <c r="K156" s="33" t="n">
        <v>8</v>
      </c>
      <c r="L156" s="34" t="inlineStr">
        <is>
          <t>Winst- en verliesrekening</t>
        </is>
      </c>
      <c r="M156" s="34" t="inlineStr">
        <is>
          <t>Personeelskosten</t>
        </is>
      </c>
      <c r="N156" s="34" t="inlineStr">
        <is>
          <t>Sociale lasten</t>
        </is>
      </c>
      <c r="O156" s="36">
        <f>IFERROR(INDEX('Mapping'!$F$2:$F$60,MATCH(B156,'Mapping'!$A$2:$A$60,0)),"")</f>
        <v/>
      </c>
    </row>
    <row r="157">
      <c r="A157" s="32" t="n">
        <v>45536</v>
      </c>
      <c r="B157" s="33" t="n">
        <v>4010</v>
      </c>
      <c r="C157" s="34" t="inlineStr">
        <is>
          <t>Sociale lasten</t>
        </is>
      </c>
      <c r="D157" s="34" t="inlineStr">
        <is>
          <t>Personeel</t>
        </is>
      </c>
      <c r="E157" s="34" t="inlineStr">
        <is>
          <t>Algemeen</t>
        </is>
      </c>
      <c r="F157" s="34" t="inlineStr"/>
      <c r="G157" s="35" t="n">
        <v>8360</v>
      </c>
      <c r="H157" s="35" t="n">
        <v>0</v>
      </c>
      <c r="I157" s="35">
        <f>G157-H157</f>
        <v/>
      </c>
      <c r="J157" s="33" t="n">
        <v>2024</v>
      </c>
      <c r="K157" s="33" t="n">
        <v>9</v>
      </c>
      <c r="L157" s="34" t="inlineStr">
        <is>
          <t>Winst- en verliesrekening</t>
        </is>
      </c>
      <c r="M157" s="34" t="inlineStr">
        <is>
          <t>Personeelskosten</t>
        </is>
      </c>
      <c r="N157" s="34" t="inlineStr">
        <is>
          <t>Sociale lasten</t>
        </is>
      </c>
      <c r="O157" s="36">
        <f>IFERROR(INDEX('Mapping'!$F$2:$F$60,MATCH(B157,'Mapping'!$A$2:$A$60,0)),"")</f>
        <v/>
      </c>
    </row>
    <row r="158">
      <c r="A158" s="32" t="n">
        <v>45566</v>
      </c>
      <c r="B158" s="33" t="n">
        <v>4010</v>
      </c>
      <c r="C158" s="34" t="inlineStr">
        <is>
          <t>Sociale lasten</t>
        </is>
      </c>
      <c r="D158" s="34" t="inlineStr">
        <is>
          <t>Personeel</t>
        </is>
      </c>
      <c r="E158" s="34" t="inlineStr">
        <is>
          <t>Algemeen</t>
        </is>
      </c>
      <c r="F158" s="34" t="inlineStr"/>
      <c r="G158" s="35" t="n">
        <v>8550</v>
      </c>
      <c r="H158" s="35" t="n">
        <v>0</v>
      </c>
      <c r="I158" s="35">
        <f>G158-H158</f>
        <v/>
      </c>
      <c r="J158" s="33" t="n">
        <v>2024</v>
      </c>
      <c r="K158" s="33" t="n">
        <v>10</v>
      </c>
      <c r="L158" s="34" t="inlineStr">
        <is>
          <t>Winst- en verliesrekening</t>
        </is>
      </c>
      <c r="M158" s="34" t="inlineStr">
        <is>
          <t>Personeelskosten</t>
        </is>
      </c>
      <c r="N158" s="34" t="inlineStr">
        <is>
          <t>Sociale lasten</t>
        </is>
      </c>
      <c r="O158" s="36">
        <f>IFERROR(INDEX('Mapping'!$F$2:$F$60,MATCH(B158,'Mapping'!$A$2:$A$60,0)),"")</f>
        <v/>
      </c>
    </row>
    <row r="159">
      <c r="A159" s="32" t="n">
        <v>45597</v>
      </c>
      <c r="B159" s="33" t="n">
        <v>4010</v>
      </c>
      <c r="C159" s="34" t="inlineStr">
        <is>
          <t>Sociale lasten</t>
        </is>
      </c>
      <c r="D159" s="34" t="inlineStr">
        <is>
          <t>Personeel</t>
        </is>
      </c>
      <c r="E159" s="34" t="inlineStr">
        <is>
          <t>Algemeen</t>
        </is>
      </c>
      <c r="F159" s="34" t="inlineStr"/>
      <c r="G159" s="35" t="n">
        <v>8170</v>
      </c>
      <c r="H159" s="35" t="n">
        <v>0</v>
      </c>
      <c r="I159" s="35">
        <f>G159-H159</f>
        <v/>
      </c>
      <c r="J159" s="33" t="n">
        <v>2024</v>
      </c>
      <c r="K159" s="33" t="n">
        <v>11</v>
      </c>
      <c r="L159" s="34" t="inlineStr">
        <is>
          <t>Winst- en verliesrekening</t>
        </is>
      </c>
      <c r="M159" s="34" t="inlineStr">
        <is>
          <t>Personeelskosten</t>
        </is>
      </c>
      <c r="N159" s="34" t="inlineStr">
        <is>
          <t>Sociale lasten</t>
        </is>
      </c>
      <c r="O159" s="36">
        <f>IFERROR(INDEX('Mapping'!$F$2:$F$60,MATCH(B159,'Mapping'!$A$2:$A$60,0)),"")</f>
        <v/>
      </c>
    </row>
    <row r="160">
      <c r="A160" s="32" t="n">
        <v>45627</v>
      </c>
      <c r="B160" s="33" t="n">
        <v>4010</v>
      </c>
      <c r="C160" s="34" t="inlineStr">
        <is>
          <t>Sociale lasten</t>
        </is>
      </c>
      <c r="D160" s="34" t="inlineStr">
        <is>
          <t>Personeel</t>
        </is>
      </c>
      <c r="E160" s="34" t="inlineStr">
        <is>
          <t>Algemeen</t>
        </is>
      </c>
      <c r="F160" s="34" t="inlineStr"/>
      <c r="G160" s="35" t="n">
        <v>9880</v>
      </c>
      <c r="H160" s="35" t="n">
        <v>0</v>
      </c>
      <c r="I160" s="35">
        <f>G160-H160</f>
        <v/>
      </c>
      <c r="J160" s="33" t="n">
        <v>2024</v>
      </c>
      <c r="K160" s="33" t="n">
        <v>12</v>
      </c>
      <c r="L160" s="34" t="inlineStr">
        <is>
          <t>Winst- en verliesrekening</t>
        </is>
      </c>
      <c r="M160" s="34" t="inlineStr">
        <is>
          <t>Personeelskosten</t>
        </is>
      </c>
      <c r="N160" s="34" t="inlineStr">
        <is>
          <t>Sociale lasten</t>
        </is>
      </c>
      <c r="O160" s="36">
        <f>IFERROR(INDEX('Mapping'!$F$2:$F$60,MATCH(B160,'Mapping'!$A$2:$A$60,0)),"")</f>
        <v/>
      </c>
    </row>
    <row r="161">
      <c r="A161" s="32" t="n">
        <v>45658</v>
      </c>
      <c r="B161" s="33" t="n">
        <v>4010</v>
      </c>
      <c r="C161" s="34" t="inlineStr">
        <is>
          <t>Sociale lasten</t>
        </is>
      </c>
      <c r="D161" s="34" t="inlineStr">
        <is>
          <t>Personeel</t>
        </is>
      </c>
      <c r="E161" s="34" t="inlineStr">
        <is>
          <t>Algemeen</t>
        </is>
      </c>
      <c r="F161" s="34" t="inlineStr"/>
      <c r="G161" s="35" t="n">
        <v>7000</v>
      </c>
      <c r="H161" s="35" t="n">
        <v>0</v>
      </c>
      <c r="I161" s="35">
        <f>G161-H161</f>
        <v/>
      </c>
      <c r="J161" s="33" t="n">
        <v>2025</v>
      </c>
      <c r="K161" s="33" t="n">
        <v>1</v>
      </c>
      <c r="L161" s="34" t="inlineStr">
        <is>
          <t>Winst- en verliesrekening</t>
        </is>
      </c>
      <c r="M161" s="34" t="inlineStr">
        <is>
          <t>Personeelskosten</t>
        </is>
      </c>
      <c r="N161" s="34" t="inlineStr">
        <is>
          <t>Sociale lasten</t>
        </is>
      </c>
      <c r="O161" s="36">
        <f>IFERROR(INDEX('Mapping'!$F$2:$F$60,MATCH(B161,'Mapping'!$A$2:$A$60,0)),"")</f>
        <v/>
      </c>
    </row>
    <row r="162">
      <c r="A162" s="32" t="n">
        <v>45689</v>
      </c>
      <c r="B162" s="33" t="n">
        <v>4010</v>
      </c>
      <c r="C162" s="34" t="inlineStr">
        <is>
          <t>Sociale lasten</t>
        </is>
      </c>
      <c r="D162" s="34" t="inlineStr">
        <is>
          <t>Personeel</t>
        </is>
      </c>
      <c r="E162" s="34" t="inlineStr">
        <is>
          <t>Algemeen</t>
        </is>
      </c>
      <c r="F162" s="34" t="inlineStr"/>
      <c r="G162" s="35" t="n">
        <v>7000</v>
      </c>
      <c r="H162" s="35" t="n">
        <v>0</v>
      </c>
      <c r="I162" s="35">
        <f>G162-H162</f>
        <v/>
      </c>
      <c r="J162" s="33" t="n">
        <v>2025</v>
      </c>
      <c r="K162" s="33" t="n">
        <v>2</v>
      </c>
      <c r="L162" s="34" t="inlineStr">
        <is>
          <t>Winst- en verliesrekening</t>
        </is>
      </c>
      <c r="M162" s="34" t="inlineStr">
        <is>
          <t>Personeelskosten</t>
        </is>
      </c>
      <c r="N162" s="34" t="inlineStr">
        <is>
          <t>Sociale lasten</t>
        </is>
      </c>
      <c r="O162" s="36">
        <f>IFERROR(INDEX('Mapping'!$F$2:$F$60,MATCH(B162,'Mapping'!$A$2:$A$60,0)),"")</f>
        <v/>
      </c>
    </row>
    <row r="163">
      <c r="A163" s="32" t="n">
        <v>45717</v>
      </c>
      <c r="B163" s="33" t="n">
        <v>4010</v>
      </c>
      <c r="C163" s="34" t="inlineStr">
        <is>
          <t>Sociale lasten</t>
        </is>
      </c>
      <c r="D163" s="34" t="inlineStr">
        <is>
          <t>Personeel</t>
        </is>
      </c>
      <c r="E163" s="34" t="inlineStr">
        <is>
          <t>Algemeen</t>
        </is>
      </c>
      <c r="F163" s="34" t="inlineStr"/>
      <c r="G163" s="35" t="n">
        <v>8800</v>
      </c>
      <c r="H163" s="35" t="n">
        <v>0</v>
      </c>
      <c r="I163" s="35">
        <f>G163-H163</f>
        <v/>
      </c>
      <c r="J163" s="33" t="n">
        <v>2025</v>
      </c>
      <c r="K163" s="33" t="n">
        <v>3</v>
      </c>
      <c r="L163" s="34" t="inlineStr">
        <is>
          <t>Winst- en verliesrekening</t>
        </is>
      </c>
      <c r="M163" s="34" t="inlineStr">
        <is>
          <t>Personeelskosten</t>
        </is>
      </c>
      <c r="N163" s="34" t="inlineStr">
        <is>
          <t>Sociale lasten</t>
        </is>
      </c>
      <c r="O163" s="36">
        <f>IFERROR(INDEX('Mapping'!$F$2:$F$60,MATCH(B163,'Mapping'!$A$2:$A$60,0)),"")</f>
        <v/>
      </c>
    </row>
    <row r="164">
      <c r="A164" s="32" t="n">
        <v>45748</v>
      </c>
      <c r="B164" s="33" t="n">
        <v>4010</v>
      </c>
      <c r="C164" s="34" t="inlineStr">
        <is>
          <t>Sociale lasten</t>
        </is>
      </c>
      <c r="D164" s="34" t="inlineStr">
        <is>
          <t>Personeel</t>
        </is>
      </c>
      <c r="E164" s="34" t="inlineStr">
        <is>
          <t>Algemeen</t>
        </is>
      </c>
      <c r="F164" s="34" t="inlineStr"/>
      <c r="G164" s="35" t="n">
        <v>8200</v>
      </c>
      <c r="H164" s="35" t="n">
        <v>0</v>
      </c>
      <c r="I164" s="35">
        <f>G164-H164</f>
        <v/>
      </c>
      <c r="J164" s="33" t="n">
        <v>2025</v>
      </c>
      <c r="K164" s="33" t="n">
        <v>4</v>
      </c>
      <c r="L164" s="34" t="inlineStr">
        <is>
          <t>Winst- en verliesrekening</t>
        </is>
      </c>
      <c r="M164" s="34" t="inlineStr">
        <is>
          <t>Personeelskosten</t>
        </is>
      </c>
      <c r="N164" s="34" t="inlineStr">
        <is>
          <t>Sociale lasten</t>
        </is>
      </c>
      <c r="O164" s="36">
        <f>IFERROR(INDEX('Mapping'!$F$2:$F$60,MATCH(B164,'Mapping'!$A$2:$A$60,0)),"")</f>
        <v/>
      </c>
    </row>
    <row r="165">
      <c r="A165" s="32" t="n">
        <v>45778</v>
      </c>
      <c r="B165" s="33" t="n">
        <v>4010</v>
      </c>
      <c r="C165" s="34" t="inlineStr">
        <is>
          <t>Sociale lasten</t>
        </is>
      </c>
      <c r="D165" s="34" t="inlineStr">
        <is>
          <t>Personeel</t>
        </is>
      </c>
      <c r="E165" s="34" t="inlineStr">
        <is>
          <t>Algemeen</t>
        </is>
      </c>
      <c r="F165" s="34" t="inlineStr"/>
      <c r="G165" s="35" t="n">
        <v>8600</v>
      </c>
      <c r="H165" s="35" t="n">
        <v>0</v>
      </c>
      <c r="I165" s="35">
        <f>G165-H165</f>
        <v/>
      </c>
      <c r="J165" s="33" t="n">
        <v>2025</v>
      </c>
      <c r="K165" s="33" t="n">
        <v>5</v>
      </c>
      <c r="L165" s="34" t="inlineStr">
        <is>
          <t>Winst- en verliesrekening</t>
        </is>
      </c>
      <c r="M165" s="34" t="inlineStr">
        <is>
          <t>Personeelskosten</t>
        </is>
      </c>
      <c r="N165" s="34" t="inlineStr">
        <is>
          <t>Sociale lasten</t>
        </is>
      </c>
      <c r="O165" s="36">
        <f>IFERROR(INDEX('Mapping'!$F$2:$F$60,MATCH(B165,'Mapping'!$A$2:$A$60,0)),"")</f>
        <v/>
      </c>
    </row>
    <row r="166">
      <c r="A166" s="32" t="n">
        <v>45809</v>
      </c>
      <c r="B166" s="33" t="n">
        <v>4010</v>
      </c>
      <c r="C166" s="34" t="inlineStr">
        <is>
          <t>Sociale lasten</t>
        </is>
      </c>
      <c r="D166" s="34" t="inlineStr">
        <is>
          <t>Personeel</t>
        </is>
      </c>
      <c r="E166" s="34" t="inlineStr">
        <is>
          <t>Algemeen</t>
        </is>
      </c>
      <c r="F166" s="34" t="inlineStr"/>
      <c r="G166" s="35" t="n">
        <v>9000</v>
      </c>
      <c r="H166" s="35" t="n">
        <v>0</v>
      </c>
      <c r="I166" s="35">
        <f>G166-H166</f>
        <v/>
      </c>
      <c r="J166" s="33" t="n">
        <v>2025</v>
      </c>
      <c r="K166" s="33" t="n">
        <v>6</v>
      </c>
      <c r="L166" s="34" t="inlineStr">
        <is>
          <t>Winst- en verliesrekening</t>
        </is>
      </c>
      <c r="M166" s="34" t="inlineStr">
        <is>
          <t>Personeelskosten</t>
        </is>
      </c>
      <c r="N166" s="34" t="inlineStr">
        <is>
          <t>Sociale lasten</t>
        </is>
      </c>
      <c r="O166" s="36">
        <f>IFERROR(INDEX('Mapping'!$F$2:$F$60,MATCH(B166,'Mapping'!$A$2:$A$60,0)),"")</f>
        <v/>
      </c>
    </row>
    <row r="167">
      <c r="A167" s="32" t="n">
        <v>45839</v>
      </c>
      <c r="B167" s="33" t="n">
        <v>4010</v>
      </c>
      <c r="C167" s="34" t="inlineStr">
        <is>
          <t>Sociale lasten</t>
        </is>
      </c>
      <c r="D167" s="34" t="inlineStr">
        <is>
          <t>Personeel</t>
        </is>
      </c>
      <c r="E167" s="34" t="inlineStr">
        <is>
          <t>Algemeen</t>
        </is>
      </c>
      <c r="F167" s="34" t="inlineStr"/>
      <c r="G167" s="35" t="n">
        <v>7600</v>
      </c>
      <c r="H167" s="35" t="n">
        <v>0</v>
      </c>
      <c r="I167" s="35">
        <f>G167-H167</f>
        <v/>
      </c>
      <c r="J167" s="33" t="n">
        <v>2025</v>
      </c>
      <c r="K167" s="33" t="n">
        <v>7</v>
      </c>
      <c r="L167" s="34" t="inlineStr">
        <is>
          <t>Winst- en verliesrekening</t>
        </is>
      </c>
      <c r="M167" s="34" t="inlineStr">
        <is>
          <t>Personeelskosten</t>
        </is>
      </c>
      <c r="N167" s="34" t="inlineStr">
        <is>
          <t>Sociale lasten</t>
        </is>
      </c>
      <c r="O167" s="36">
        <f>IFERROR(INDEX('Mapping'!$F$2:$F$60,MATCH(B167,'Mapping'!$A$2:$A$60,0)),"")</f>
        <v/>
      </c>
    </row>
    <row r="168">
      <c r="A168" s="32" t="n">
        <v>45870</v>
      </c>
      <c r="B168" s="33" t="n">
        <v>4010</v>
      </c>
      <c r="C168" s="34" t="inlineStr">
        <is>
          <t>Sociale lasten</t>
        </is>
      </c>
      <c r="D168" s="34" t="inlineStr">
        <is>
          <t>Personeel</t>
        </is>
      </c>
      <c r="E168" s="34" t="inlineStr">
        <is>
          <t>Algemeen</t>
        </is>
      </c>
      <c r="F168" s="34" t="inlineStr"/>
      <c r="G168" s="35" t="n">
        <v>7000</v>
      </c>
      <c r="H168" s="35" t="n">
        <v>0</v>
      </c>
      <c r="I168" s="35">
        <f>G168-H168</f>
        <v/>
      </c>
      <c r="J168" s="33" t="n">
        <v>2025</v>
      </c>
      <c r="K168" s="33" t="n">
        <v>8</v>
      </c>
      <c r="L168" s="34" t="inlineStr">
        <is>
          <t>Winst- en verliesrekening</t>
        </is>
      </c>
      <c r="M168" s="34" t="inlineStr">
        <is>
          <t>Personeelskosten</t>
        </is>
      </c>
      <c r="N168" s="34" t="inlineStr">
        <is>
          <t>Sociale lasten</t>
        </is>
      </c>
      <c r="O168" s="36">
        <f>IFERROR(INDEX('Mapping'!$F$2:$F$60,MATCH(B168,'Mapping'!$A$2:$A$60,0)),"")</f>
        <v/>
      </c>
    </row>
    <row r="169">
      <c r="A169" s="32" t="n">
        <v>45901</v>
      </c>
      <c r="B169" s="33" t="n">
        <v>4010</v>
      </c>
      <c r="C169" s="34" t="inlineStr">
        <is>
          <t>Sociale lasten</t>
        </is>
      </c>
      <c r="D169" s="34" t="inlineStr">
        <is>
          <t>Personeel</t>
        </is>
      </c>
      <c r="E169" s="34" t="inlineStr">
        <is>
          <t>Algemeen</t>
        </is>
      </c>
      <c r="F169" s="34" t="inlineStr"/>
      <c r="G169" s="35" t="n">
        <v>8800</v>
      </c>
      <c r="H169" s="35" t="n">
        <v>0</v>
      </c>
      <c r="I169" s="35">
        <f>G169-H169</f>
        <v/>
      </c>
      <c r="J169" s="33" t="n">
        <v>2025</v>
      </c>
      <c r="K169" s="33" t="n">
        <v>9</v>
      </c>
      <c r="L169" s="34" t="inlineStr">
        <is>
          <t>Winst- en verliesrekening</t>
        </is>
      </c>
      <c r="M169" s="34" t="inlineStr">
        <is>
          <t>Personeelskosten</t>
        </is>
      </c>
      <c r="N169" s="34" t="inlineStr">
        <is>
          <t>Sociale lasten</t>
        </is>
      </c>
      <c r="O169" s="36">
        <f>IFERROR(INDEX('Mapping'!$F$2:$F$60,MATCH(B169,'Mapping'!$A$2:$A$60,0)),"")</f>
        <v/>
      </c>
    </row>
    <row r="170">
      <c r="A170" s="32" t="n">
        <v>45931</v>
      </c>
      <c r="B170" s="33" t="n">
        <v>4010</v>
      </c>
      <c r="C170" s="34" t="inlineStr">
        <is>
          <t>Sociale lasten</t>
        </is>
      </c>
      <c r="D170" s="34" t="inlineStr">
        <is>
          <t>Personeel</t>
        </is>
      </c>
      <c r="E170" s="34" t="inlineStr">
        <is>
          <t>Algemeen</t>
        </is>
      </c>
      <c r="F170" s="34" t="inlineStr"/>
      <c r="G170" s="35" t="n">
        <v>9000</v>
      </c>
      <c r="H170" s="35" t="n">
        <v>0</v>
      </c>
      <c r="I170" s="35">
        <f>G170-H170</f>
        <v/>
      </c>
      <c r="J170" s="33" t="n">
        <v>2025</v>
      </c>
      <c r="K170" s="33" t="n">
        <v>10</v>
      </c>
      <c r="L170" s="34" t="inlineStr">
        <is>
          <t>Winst- en verliesrekening</t>
        </is>
      </c>
      <c r="M170" s="34" t="inlineStr">
        <is>
          <t>Personeelskosten</t>
        </is>
      </c>
      <c r="N170" s="34" t="inlineStr">
        <is>
          <t>Sociale lasten</t>
        </is>
      </c>
      <c r="O170" s="36">
        <f>IFERROR(INDEX('Mapping'!$F$2:$F$60,MATCH(B170,'Mapping'!$A$2:$A$60,0)),"")</f>
        <v/>
      </c>
    </row>
    <row r="171">
      <c r="A171" s="32" t="n">
        <v>45962</v>
      </c>
      <c r="B171" s="33" t="n">
        <v>4010</v>
      </c>
      <c r="C171" s="34" t="inlineStr">
        <is>
          <t>Sociale lasten</t>
        </is>
      </c>
      <c r="D171" s="34" t="inlineStr">
        <is>
          <t>Personeel</t>
        </is>
      </c>
      <c r="E171" s="34" t="inlineStr">
        <is>
          <t>Algemeen</t>
        </is>
      </c>
      <c r="F171" s="34" t="inlineStr"/>
      <c r="G171" s="35" t="n">
        <v>8600</v>
      </c>
      <c r="H171" s="35" t="n">
        <v>0</v>
      </c>
      <c r="I171" s="35">
        <f>G171-H171</f>
        <v/>
      </c>
      <c r="J171" s="33" t="n">
        <v>2025</v>
      </c>
      <c r="K171" s="33" t="n">
        <v>11</v>
      </c>
      <c r="L171" s="34" t="inlineStr">
        <is>
          <t>Winst- en verliesrekening</t>
        </is>
      </c>
      <c r="M171" s="34" t="inlineStr">
        <is>
          <t>Personeelskosten</t>
        </is>
      </c>
      <c r="N171" s="34" t="inlineStr">
        <is>
          <t>Sociale lasten</t>
        </is>
      </c>
      <c r="O171" s="36">
        <f>IFERROR(INDEX('Mapping'!$F$2:$F$60,MATCH(B171,'Mapping'!$A$2:$A$60,0)),"")</f>
        <v/>
      </c>
    </row>
    <row r="172">
      <c r="A172" s="32" t="n">
        <v>45992</v>
      </c>
      <c r="B172" s="33" t="n">
        <v>4010</v>
      </c>
      <c r="C172" s="34" t="inlineStr">
        <is>
          <t>Sociale lasten</t>
        </is>
      </c>
      <c r="D172" s="34" t="inlineStr">
        <is>
          <t>Personeel</t>
        </is>
      </c>
      <c r="E172" s="34" t="inlineStr">
        <is>
          <t>Algemeen</t>
        </is>
      </c>
      <c r="F172" s="34" t="inlineStr"/>
      <c r="G172" s="35" t="n">
        <v>10400</v>
      </c>
      <c r="H172" s="35" t="n">
        <v>0</v>
      </c>
      <c r="I172" s="35">
        <f>G172-H172</f>
        <v/>
      </c>
      <c r="J172" s="33" t="n">
        <v>2025</v>
      </c>
      <c r="K172" s="33" t="n">
        <v>12</v>
      </c>
      <c r="L172" s="34" t="inlineStr">
        <is>
          <t>Winst- en verliesrekening</t>
        </is>
      </c>
      <c r="M172" s="34" t="inlineStr">
        <is>
          <t>Personeelskosten</t>
        </is>
      </c>
      <c r="N172" s="34" t="inlineStr">
        <is>
          <t>Sociale lasten</t>
        </is>
      </c>
      <c r="O172" s="36">
        <f>IFERROR(INDEX('Mapping'!$F$2:$F$60,MATCH(B172,'Mapping'!$A$2:$A$60,0)),"")</f>
        <v/>
      </c>
    </row>
    <row r="173">
      <c r="A173" s="32" t="n">
        <v>45292</v>
      </c>
      <c r="B173" s="33" t="n">
        <v>4020</v>
      </c>
      <c r="C173" s="34" t="inlineStr">
        <is>
          <t>Pensioenlasten</t>
        </is>
      </c>
      <c r="D173" s="34" t="inlineStr">
        <is>
          <t>Personeel</t>
        </is>
      </c>
      <c r="E173" s="34" t="inlineStr">
        <is>
          <t>Algemeen</t>
        </is>
      </c>
      <c r="F173" s="34" t="inlineStr"/>
      <c r="G173" s="35" t="n">
        <v>3150</v>
      </c>
      <c r="H173" s="35" t="n">
        <v>0</v>
      </c>
      <c r="I173" s="35">
        <f>G173-H173</f>
        <v/>
      </c>
      <c r="J173" s="33" t="n">
        <v>2024</v>
      </c>
      <c r="K173" s="33" t="n">
        <v>1</v>
      </c>
      <c r="L173" s="34" t="inlineStr">
        <is>
          <t>Winst- en verliesrekening</t>
        </is>
      </c>
      <c r="M173" s="34" t="inlineStr">
        <is>
          <t>Personeelskosten</t>
        </is>
      </c>
      <c r="N173" s="34" t="inlineStr">
        <is>
          <t>Pensioen</t>
        </is>
      </c>
      <c r="O173" s="36">
        <f>IFERROR(INDEX('Mapping'!$F$2:$F$60,MATCH(B173,'Mapping'!$A$2:$A$60,0)),"")</f>
        <v/>
      </c>
    </row>
    <row r="174">
      <c r="A174" s="32" t="n">
        <v>45323</v>
      </c>
      <c r="B174" s="33" t="n">
        <v>4020</v>
      </c>
      <c r="C174" s="34" t="inlineStr">
        <is>
          <t>Pensioenlasten</t>
        </is>
      </c>
      <c r="D174" s="34" t="inlineStr">
        <is>
          <t>Personeel</t>
        </is>
      </c>
      <c r="E174" s="34" t="inlineStr">
        <is>
          <t>Algemeen</t>
        </is>
      </c>
      <c r="F174" s="34" t="inlineStr"/>
      <c r="G174" s="35" t="n">
        <v>3150</v>
      </c>
      <c r="H174" s="35" t="n">
        <v>0</v>
      </c>
      <c r="I174" s="35">
        <f>G174-H174</f>
        <v/>
      </c>
      <c r="J174" s="33" t="n">
        <v>2024</v>
      </c>
      <c r="K174" s="33" t="n">
        <v>2</v>
      </c>
      <c r="L174" s="34" t="inlineStr">
        <is>
          <t>Winst- en verliesrekening</t>
        </is>
      </c>
      <c r="M174" s="34" t="inlineStr">
        <is>
          <t>Personeelskosten</t>
        </is>
      </c>
      <c r="N174" s="34" t="inlineStr">
        <is>
          <t>Pensioen</t>
        </is>
      </c>
      <c r="O174" s="36">
        <f>IFERROR(INDEX('Mapping'!$F$2:$F$60,MATCH(B174,'Mapping'!$A$2:$A$60,0)),"")</f>
        <v/>
      </c>
    </row>
    <row r="175">
      <c r="A175" s="32" t="n">
        <v>45352</v>
      </c>
      <c r="B175" s="33" t="n">
        <v>4020</v>
      </c>
      <c r="C175" s="34" t="inlineStr">
        <is>
          <t>Pensioenlasten</t>
        </is>
      </c>
      <c r="D175" s="34" t="inlineStr">
        <is>
          <t>Personeel</t>
        </is>
      </c>
      <c r="E175" s="34" t="inlineStr">
        <is>
          <t>Algemeen</t>
        </is>
      </c>
      <c r="F175" s="34" t="inlineStr"/>
      <c r="G175" s="35" t="n">
        <v>3960</v>
      </c>
      <c r="H175" s="35" t="n">
        <v>0</v>
      </c>
      <c r="I175" s="35">
        <f>G175-H175</f>
        <v/>
      </c>
      <c r="J175" s="33" t="n">
        <v>2024</v>
      </c>
      <c r="K175" s="33" t="n">
        <v>3</v>
      </c>
      <c r="L175" s="34" t="inlineStr">
        <is>
          <t>Winst- en verliesrekening</t>
        </is>
      </c>
      <c r="M175" s="34" t="inlineStr">
        <is>
          <t>Personeelskosten</t>
        </is>
      </c>
      <c r="N175" s="34" t="inlineStr">
        <is>
          <t>Pensioen</t>
        </is>
      </c>
      <c r="O175" s="36">
        <f>IFERROR(INDEX('Mapping'!$F$2:$F$60,MATCH(B175,'Mapping'!$A$2:$A$60,0)),"")</f>
        <v/>
      </c>
    </row>
    <row r="176">
      <c r="A176" s="32" t="n">
        <v>45383</v>
      </c>
      <c r="B176" s="33" t="n">
        <v>4020</v>
      </c>
      <c r="C176" s="34" t="inlineStr">
        <is>
          <t>Pensioenlasten</t>
        </is>
      </c>
      <c r="D176" s="34" t="inlineStr">
        <is>
          <t>Personeel</t>
        </is>
      </c>
      <c r="E176" s="34" t="inlineStr">
        <is>
          <t>Algemeen</t>
        </is>
      </c>
      <c r="F176" s="34" t="inlineStr"/>
      <c r="G176" s="35" t="n">
        <v>3690</v>
      </c>
      <c r="H176" s="35" t="n">
        <v>0</v>
      </c>
      <c r="I176" s="35">
        <f>G176-H176</f>
        <v/>
      </c>
      <c r="J176" s="33" t="n">
        <v>2024</v>
      </c>
      <c r="K176" s="33" t="n">
        <v>4</v>
      </c>
      <c r="L176" s="34" t="inlineStr">
        <is>
          <t>Winst- en verliesrekening</t>
        </is>
      </c>
      <c r="M176" s="34" t="inlineStr">
        <is>
          <t>Personeelskosten</t>
        </is>
      </c>
      <c r="N176" s="34" t="inlineStr">
        <is>
          <t>Pensioen</t>
        </is>
      </c>
      <c r="O176" s="36">
        <f>IFERROR(INDEX('Mapping'!$F$2:$F$60,MATCH(B176,'Mapping'!$A$2:$A$60,0)),"")</f>
        <v/>
      </c>
    </row>
    <row r="177">
      <c r="A177" s="32" t="n">
        <v>45413</v>
      </c>
      <c r="B177" s="33" t="n">
        <v>4020</v>
      </c>
      <c r="C177" s="34" t="inlineStr">
        <is>
          <t>Pensioenlasten</t>
        </is>
      </c>
      <c r="D177" s="34" t="inlineStr">
        <is>
          <t>Personeel</t>
        </is>
      </c>
      <c r="E177" s="34" t="inlineStr">
        <is>
          <t>Algemeen</t>
        </is>
      </c>
      <c r="F177" s="34" t="inlineStr"/>
      <c r="G177" s="35" t="n">
        <v>3870</v>
      </c>
      <c r="H177" s="35" t="n">
        <v>0</v>
      </c>
      <c r="I177" s="35">
        <f>G177-H177</f>
        <v/>
      </c>
      <c r="J177" s="33" t="n">
        <v>2024</v>
      </c>
      <c r="K177" s="33" t="n">
        <v>5</v>
      </c>
      <c r="L177" s="34" t="inlineStr">
        <is>
          <t>Winst- en verliesrekening</t>
        </is>
      </c>
      <c r="M177" s="34" t="inlineStr">
        <is>
          <t>Personeelskosten</t>
        </is>
      </c>
      <c r="N177" s="34" t="inlineStr">
        <is>
          <t>Pensioen</t>
        </is>
      </c>
      <c r="O177" s="36">
        <f>IFERROR(INDEX('Mapping'!$F$2:$F$60,MATCH(B177,'Mapping'!$A$2:$A$60,0)),"")</f>
        <v/>
      </c>
    </row>
    <row r="178">
      <c r="A178" s="32" t="n">
        <v>45444</v>
      </c>
      <c r="B178" s="33" t="n">
        <v>4020</v>
      </c>
      <c r="C178" s="34" t="inlineStr">
        <is>
          <t>Pensioenlasten</t>
        </is>
      </c>
      <c r="D178" s="34" t="inlineStr">
        <is>
          <t>Personeel</t>
        </is>
      </c>
      <c r="E178" s="34" t="inlineStr">
        <is>
          <t>Algemeen</t>
        </is>
      </c>
      <c r="F178" s="34" t="inlineStr"/>
      <c r="G178" s="35" t="n">
        <v>4050</v>
      </c>
      <c r="H178" s="35" t="n">
        <v>0</v>
      </c>
      <c r="I178" s="35">
        <f>G178-H178</f>
        <v/>
      </c>
      <c r="J178" s="33" t="n">
        <v>2024</v>
      </c>
      <c r="K178" s="33" t="n">
        <v>6</v>
      </c>
      <c r="L178" s="34" t="inlineStr">
        <is>
          <t>Winst- en verliesrekening</t>
        </is>
      </c>
      <c r="M178" s="34" t="inlineStr">
        <is>
          <t>Personeelskosten</t>
        </is>
      </c>
      <c r="N178" s="34" t="inlineStr">
        <is>
          <t>Pensioen</t>
        </is>
      </c>
      <c r="O178" s="36">
        <f>IFERROR(INDEX('Mapping'!$F$2:$F$60,MATCH(B178,'Mapping'!$A$2:$A$60,0)),"")</f>
        <v/>
      </c>
    </row>
    <row r="179">
      <c r="A179" s="32" t="n">
        <v>45474</v>
      </c>
      <c r="B179" s="33" t="n">
        <v>4020</v>
      </c>
      <c r="C179" s="34" t="inlineStr">
        <is>
          <t>Pensioenlasten</t>
        </is>
      </c>
      <c r="D179" s="34" t="inlineStr">
        <is>
          <t>Personeel</t>
        </is>
      </c>
      <c r="E179" s="34" t="inlineStr">
        <is>
          <t>Algemeen</t>
        </is>
      </c>
      <c r="F179" s="34" t="inlineStr"/>
      <c r="G179" s="35" t="n">
        <v>3420</v>
      </c>
      <c r="H179" s="35" t="n">
        <v>0</v>
      </c>
      <c r="I179" s="35">
        <f>G179-H179</f>
        <v/>
      </c>
      <c r="J179" s="33" t="n">
        <v>2024</v>
      </c>
      <c r="K179" s="33" t="n">
        <v>7</v>
      </c>
      <c r="L179" s="34" t="inlineStr">
        <is>
          <t>Winst- en verliesrekening</t>
        </is>
      </c>
      <c r="M179" s="34" t="inlineStr">
        <is>
          <t>Personeelskosten</t>
        </is>
      </c>
      <c r="N179" s="34" t="inlineStr">
        <is>
          <t>Pensioen</t>
        </is>
      </c>
      <c r="O179" s="36">
        <f>IFERROR(INDEX('Mapping'!$F$2:$F$60,MATCH(B179,'Mapping'!$A$2:$A$60,0)),"")</f>
        <v/>
      </c>
    </row>
    <row r="180">
      <c r="A180" s="32" t="n">
        <v>45505</v>
      </c>
      <c r="B180" s="33" t="n">
        <v>4020</v>
      </c>
      <c r="C180" s="34" t="inlineStr">
        <is>
          <t>Pensioenlasten</t>
        </is>
      </c>
      <c r="D180" s="34" t="inlineStr">
        <is>
          <t>Personeel</t>
        </is>
      </c>
      <c r="E180" s="34" t="inlineStr">
        <is>
          <t>Algemeen</t>
        </is>
      </c>
      <c r="F180" s="34" t="inlineStr"/>
      <c r="G180" s="35" t="n">
        <v>3150</v>
      </c>
      <c r="H180" s="35" t="n">
        <v>0</v>
      </c>
      <c r="I180" s="35">
        <f>G180-H180</f>
        <v/>
      </c>
      <c r="J180" s="33" t="n">
        <v>2024</v>
      </c>
      <c r="K180" s="33" t="n">
        <v>8</v>
      </c>
      <c r="L180" s="34" t="inlineStr">
        <is>
          <t>Winst- en verliesrekening</t>
        </is>
      </c>
      <c r="M180" s="34" t="inlineStr">
        <is>
          <t>Personeelskosten</t>
        </is>
      </c>
      <c r="N180" s="34" t="inlineStr">
        <is>
          <t>Pensioen</t>
        </is>
      </c>
      <c r="O180" s="36">
        <f>IFERROR(INDEX('Mapping'!$F$2:$F$60,MATCH(B180,'Mapping'!$A$2:$A$60,0)),"")</f>
        <v/>
      </c>
    </row>
    <row r="181">
      <c r="A181" s="32" t="n">
        <v>45536</v>
      </c>
      <c r="B181" s="33" t="n">
        <v>4020</v>
      </c>
      <c r="C181" s="34" t="inlineStr">
        <is>
          <t>Pensioenlasten</t>
        </is>
      </c>
      <c r="D181" s="34" t="inlineStr">
        <is>
          <t>Personeel</t>
        </is>
      </c>
      <c r="E181" s="34" t="inlineStr">
        <is>
          <t>Algemeen</t>
        </is>
      </c>
      <c r="F181" s="34" t="inlineStr"/>
      <c r="G181" s="35" t="n">
        <v>3960</v>
      </c>
      <c r="H181" s="35" t="n">
        <v>0</v>
      </c>
      <c r="I181" s="35">
        <f>G181-H181</f>
        <v/>
      </c>
      <c r="J181" s="33" t="n">
        <v>2024</v>
      </c>
      <c r="K181" s="33" t="n">
        <v>9</v>
      </c>
      <c r="L181" s="34" t="inlineStr">
        <is>
          <t>Winst- en verliesrekening</t>
        </is>
      </c>
      <c r="M181" s="34" t="inlineStr">
        <is>
          <t>Personeelskosten</t>
        </is>
      </c>
      <c r="N181" s="34" t="inlineStr">
        <is>
          <t>Pensioen</t>
        </is>
      </c>
      <c r="O181" s="36">
        <f>IFERROR(INDEX('Mapping'!$F$2:$F$60,MATCH(B181,'Mapping'!$A$2:$A$60,0)),"")</f>
        <v/>
      </c>
    </row>
    <row r="182">
      <c r="A182" s="32" t="n">
        <v>45566</v>
      </c>
      <c r="B182" s="33" t="n">
        <v>4020</v>
      </c>
      <c r="C182" s="34" t="inlineStr">
        <is>
          <t>Pensioenlasten</t>
        </is>
      </c>
      <c r="D182" s="34" t="inlineStr">
        <is>
          <t>Personeel</t>
        </is>
      </c>
      <c r="E182" s="34" t="inlineStr">
        <is>
          <t>Algemeen</t>
        </is>
      </c>
      <c r="F182" s="34" t="inlineStr"/>
      <c r="G182" s="35" t="n">
        <v>4050</v>
      </c>
      <c r="H182" s="35" t="n">
        <v>0</v>
      </c>
      <c r="I182" s="35">
        <f>G182-H182</f>
        <v/>
      </c>
      <c r="J182" s="33" t="n">
        <v>2024</v>
      </c>
      <c r="K182" s="33" t="n">
        <v>10</v>
      </c>
      <c r="L182" s="34" t="inlineStr">
        <is>
          <t>Winst- en verliesrekening</t>
        </is>
      </c>
      <c r="M182" s="34" t="inlineStr">
        <is>
          <t>Personeelskosten</t>
        </is>
      </c>
      <c r="N182" s="34" t="inlineStr">
        <is>
          <t>Pensioen</t>
        </is>
      </c>
      <c r="O182" s="36">
        <f>IFERROR(INDEX('Mapping'!$F$2:$F$60,MATCH(B182,'Mapping'!$A$2:$A$60,0)),"")</f>
        <v/>
      </c>
    </row>
    <row r="183">
      <c r="A183" s="32" t="n">
        <v>45597</v>
      </c>
      <c r="B183" s="33" t="n">
        <v>4020</v>
      </c>
      <c r="C183" s="34" t="inlineStr">
        <is>
          <t>Pensioenlasten</t>
        </is>
      </c>
      <c r="D183" s="34" t="inlineStr">
        <is>
          <t>Personeel</t>
        </is>
      </c>
      <c r="E183" s="34" t="inlineStr">
        <is>
          <t>Algemeen</t>
        </is>
      </c>
      <c r="F183" s="34" t="inlineStr"/>
      <c r="G183" s="35" t="n">
        <v>3870</v>
      </c>
      <c r="H183" s="35" t="n">
        <v>0</v>
      </c>
      <c r="I183" s="35">
        <f>G183-H183</f>
        <v/>
      </c>
      <c r="J183" s="33" t="n">
        <v>2024</v>
      </c>
      <c r="K183" s="33" t="n">
        <v>11</v>
      </c>
      <c r="L183" s="34" t="inlineStr">
        <is>
          <t>Winst- en verliesrekening</t>
        </is>
      </c>
      <c r="M183" s="34" t="inlineStr">
        <is>
          <t>Personeelskosten</t>
        </is>
      </c>
      <c r="N183" s="34" t="inlineStr">
        <is>
          <t>Pensioen</t>
        </is>
      </c>
      <c r="O183" s="36">
        <f>IFERROR(INDEX('Mapping'!$F$2:$F$60,MATCH(B183,'Mapping'!$A$2:$A$60,0)),"")</f>
        <v/>
      </c>
    </row>
    <row r="184">
      <c r="A184" s="32" t="n">
        <v>45627</v>
      </c>
      <c r="B184" s="33" t="n">
        <v>4020</v>
      </c>
      <c r="C184" s="34" t="inlineStr">
        <is>
          <t>Pensioenlasten</t>
        </is>
      </c>
      <c r="D184" s="34" t="inlineStr">
        <is>
          <t>Personeel</t>
        </is>
      </c>
      <c r="E184" s="34" t="inlineStr">
        <is>
          <t>Algemeen</t>
        </is>
      </c>
      <c r="F184" s="34" t="inlineStr"/>
      <c r="G184" s="35" t="n">
        <v>4680</v>
      </c>
      <c r="H184" s="35" t="n">
        <v>0</v>
      </c>
      <c r="I184" s="35">
        <f>G184-H184</f>
        <v/>
      </c>
      <c r="J184" s="33" t="n">
        <v>2024</v>
      </c>
      <c r="K184" s="33" t="n">
        <v>12</v>
      </c>
      <c r="L184" s="34" t="inlineStr">
        <is>
          <t>Winst- en verliesrekening</t>
        </is>
      </c>
      <c r="M184" s="34" t="inlineStr">
        <is>
          <t>Personeelskosten</t>
        </is>
      </c>
      <c r="N184" s="34" t="inlineStr">
        <is>
          <t>Pensioen</t>
        </is>
      </c>
      <c r="O184" s="36">
        <f>IFERROR(INDEX('Mapping'!$F$2:$F$60,MATCH(B184,'Mapping'!$A$2:$A$60,0)),"")</f>
        <v/>
      </c>
    </row>
    <row r="185">
      <c r="A185" s="32" t="n">
        <v>45658</v>
      </c>
      <c r="B185" s="33" t="n">
        <v>4020</v>
      </c>
      <c r="C185" s="34" t="inlineStr">
        <is>
          <t>Pensioenlasten</t>
        </is>
      </c>
      <c r="D185" s="34" t="inlineStr">
        <is>
          <t>Personeel</t>
        </is>
      </c>
      <c r="E185" s="34" t="inlineStr">
        <is>
          <t>Algemeen</t>
        </is>
      </c>
      <c r="F185" s="34" t="inlineStr"/>
      <c r="G185" s="35" t="n">
        <v>3360</v>
      </c>
      <c r="H185" s="35" t="n">
        <v>0</v>
      </c>
      <c r="I185" s="35">
        <f>G185-H185</f>
        <v/>
      </c>
      <c r="J185" s="33" t="n">
        <v>2025</v>
      </c>
      <c r="K185" s="33" t="n">
        <v>1</v>
      </c>
      <c r="L185" s="34" t="inlineStr">
        <is>
          <t>Winst- en verliesrekening</t>
        </is>
      </c>
      <c r="M185" s="34" t="inlineStr">
        <is>
          <t>Personeelskosten</t>
        </is>
      </c>
      <c r="N185" s="34" t="inlineStr">
        <is>
          <t>Pensioen</t>
        </is>
      </c>
      <c r="O185" s="36">
        <f>IFERROR(INDEX('Mapping'!$F$2:$F$60,MATCH(B185,'Mapping'!$A$2:$A$60,0)),"")</f>
        <v/>
      </c>
    </row>
    <row r="186">
      <c r="A186" s="32" t="n">
        <v>45689</v>
      </c>
      <c r="B186" s="33" t="n">
        <v>4020</v>
      </c>
      <c r="C186" s="34" t="inlineStr">
        <is>
          <t>Pensioenlasten</t>
        </is>
      </c>
      <c r="D186" s="34" t="inlineStr">
        <is>
          <t>Personeel</t>
        </is>
      </c>
      <c r="E186" s="34" t="inlineStr">
        <is>
          <t>Algemeen</t>
        </is>
      </c>
      <c r="F186" s="34" t="inlineStr"/>
      <c r="G186" s="35" t="n">
        <v>3360</v>
      </c>
      <c r="H186" s="35" t="n">
        <v>0</v>
      </c>
      <c r="I186" s="35">
        <f>G186-H186</f>
        <v/>
      </c>
      <c r="J186" s="33" t="n">
        <v>2025</v>
      </c>
      <c r="K186" s="33" t="n">
        <v>2</v>
      </c>
      <c r="L186" s="34" t="inlineStr">
        <is>
          <t>Winst- en verliesrekening</t>
        </is>
      </c>
      <c r="M186" s="34" t="inlineStr">
        <is>
          <t>Personeelskosten</t>
        </is>
      </c>
      <c r="N186" s="34" t="inlineStr">
        <is>
          <t>Pensioen</t>
        </is>
      </c>
      <c r="O186" s="36">
        <f>IFERROR(INDEX('Mapping'!$F$2:$F$60,MATCH(B186,'Mapping'!$A$2:$A$60,0)),"")</f>
        <v/>
      </c>
    </row>
    <row r="187">
      <c r="A187" s="32" t="n">
        <v>45717</v>
      </c>
      <c r="B187" s="33" t="n">
        <v>4020</v>
      </c>
      <c r="C187" s="34" t="inlineStr">
        <is>
          <t>Pensioenlasten</t>
        </is>
      </c>
      <c r="D187" s="34" t="inlineStr">
        <is>
          <t>Personeel</t>
        </is>
      </c>
      <c r="E187" s="34" t="inlineStr">
        <is>
          <t>Algemeen</t>
        </is>
      </c>
      <c r="F187" s="34" t="inlineStr"/>
      <c r="G187" s="35" t="n">
        <v>4224</v>
      </c>
      <c r="H187" s="35" t="n">
        <v>0</v>
      </c>
      <c r="I187" s="35">
        <f>G187-H187</f>
        <v/>
      </c>
      <c r="J187" s="33" t="n">
        <v>2025</v>
      </c>
      <c r="K187" s="33" t="n">
        <v>3</v>
      </c>
      <c r="L187" s="34" t="inlineStr">
        <is>
          <t>Winst- en verliesrekening</t>
        </is>
      </c>
      <c r="M187" s="34" t="inlineStr">
        <is>
          <t>Personeelskosten</t>
        </is>
      </c>
      <c r="N187" s="34" t="inlineStr">
        <is>
          <t>Pensioen</t>
        </is>
      </c>
      <c r="O187" s="36">
        <f>IFERROR(INDEX('Mapping'!$F$2:$F$60,MATCH(B187,'Mapping'!$A$2:$A$60,0)),"")</f>
        <v/>
      </c>
    </row>
    <row r="188">
      <c r="A188" s="32" t="n">
        <v>45748</v>
      </c>
      <c r="B188" s="33" t="n">
        <v>4020</v>
      </c>
      <c r="C188" s="34" t="inlineStr">
        <is>
          <t>Pensioenlasten</t>
        </is>
      </c>
      <c r="D188" s="34" t="inlineStr">
        <is>
          <t>Personeel</t>
        </is>
      </c>
      <c r="E188" s="34" t="inlineStr">
        <is>
          <t>Algemeen</t>
        </is>
      </c>
      <c r="F188" s="34" t="inlineStr"/>
      <c r="G188" s="35" t="n">
        <v>3936</v>
      </c>
      <c r="H188" s="35" t="n">
        <v>0</v>
      </c>
      <c r="I188" s="35">
        <f>G188-H188</f>
        <v/>
      </c>
      <c r="J188" s="33" t="n">
        <v>2025</v>
      </c>
      <c r="K188" s="33" t="n">
        <v>4</v>
      </c>
      <c r="L188" s="34" t="inlineStr">
        <is>
          <t>Winst- en verliesrekening</t>
        </is>
      </c>
      <c r="M188" s="34" t="inlineStr">
        <is>
          <t>Personeelskosten</t>
        </is>
      </c>
      <c r="N188" s="34" t="inlineStr">
        <is>
          <t>Pensioen</t>
        </is>
      </c>
      <c r="O188" s="36">
        <f>IFERROR(INDEX('Mapping'!$F$2:$F$60,MATCH(B188,'Mapping'!$A$2:$A$60,0)),"")</f>
        <v/>
      </c>
    </row>
    <row r="189">
      <c r="A189" s="32" t="n">
        <v>45778</v>
      </c>
      <c r="B189" s="33" t="n">
        <v>4020</v>
      </c>
      <c r="C189" s="34" t="inlineStr">
        <is>
          <t>Pensioenlasten</t>
        </is>
      </c>
      <c r="D189" s="34" t="inlineStr">
        <is>
          <t>Personeel</t>
        </is>
      </c>
      <c r="E189" s="34" t="inlineStr">
        <is>
          <t>Algemeen</t>
        </is>
      </c>
      <c r="F189" s="34" t="inlineStr"/>
      <c r="G189" s="35" t="n">
        <v>4128</v>
      </c>
      <c r="H189" s="35" t="n">
        <v>0</v>
      </c>
      <c r="I189" s="35">
        <f>G189-H189</f>
        <v/>
      </c>
      <c r="J189" s="33" t="n">
        <v>2025</v>
      </c>
      <c r="K189" s="33" t="n">
        <v>5</v>
      </c>
      <c r="L189" s="34" t="inlineStr">
        <is>
          <t>Winst- en verliesrekening</t>
        </is>
      </c>
      <c r="M189" s="34" t="inlineStr">
        <is>
          <t>Personeelskosten</t>
        </is>
      </c>
      <c r="N189" s="34" t="inlineStr">
        <is>
          <t>Pensioen</t>
        </is>
      </c>
      <c r="O189" s="36">
        <f>IFERROR(INDEX('Mapping'!$F$2:$F$60,MATCH(B189,'Mapping'!$A$2:$A$60,0)),"")</f>
        <v/>
      </c>
    </row>
    <row r="190">
      <c r="A190" s="32" t="n">
        <v>45809</v>
      </c>
      <c r="B190" s="33" t="n">
        <v>4020</v>
      </c>
      <c r="C190" s="34" t="inlineStr">
        <is>
          <t>Pensioenlasten</t>
        </is>
      </c>
      <c r="D190" s="34" t="inlineStr">
        <is>
          <t>Personeel</t>
        </is>
      </c>
      <c r="E190" s="34" t="inlineStr">
        <is>
          <t>Algemeen</t>
        </is>
      </c>
      <c r="F190" s="34" t="inlineStr"/>
      <c r="G190" s="35" t="n">
        <v>4320</v>
      </c>
      <c r="H190" s="35" t="n">
        <v>0</v>
      </c>
      <c r="I190" s="35">
        <f>G190-H190</f>
        <v/>
      </c>
      <c r="J190" s="33" t="n">
        <v>2025</v>
      </c>
      <c r="K190" s="33" t="n">
        <v>6</v>
      </c>
      <c r="L190" s="34" t="inlineStr">
        <is>
          <t>Winst- en verliesrekening</t>
        </is>
      </c>
      <c r="M190" s="34" t="inlineStr">
        <is>
          <t>Personeelskosten</t>
        </is>
      </c>
      <c r="N190" s="34" t="inlineStr">
        <is>
          <t>Pensioen</t>
        </is>
      </c>
      <c r="O190" s="36">
        <f>IFERROR(INDEX('Mapping'!$F$2:$F$60,MATCH(B190,'Mapping'!$A$2:$A$60,0)),"")</f>
        <v/>
      </c>
    </row>
    <row r="191">
      <c r="A191" s="32" t="n">
        <v>45839</v>
      </c>
      <c r="B191" s="33" t="n">
        <v>4020</v>
      </c>
      <c r="C191" s="34" t="inlineStr">
        <is>
          <t>Pensioenlasten</t>
        </is>
      </c>
      <c r="D191" s="34" t="inlineStr">
        <is>
          <t>Personeel</t>
        </is>
      </c>
      <c r="E191" s="34" t="inlineStr">
        <is>
          <t>Algemeen</t>
        </is>
      </c>
      <c r="F191" s="34" t="inlineStr"/>
      <c r="G191" s="35" t="n">
        <v>3648</v>
      </c>
      <c r="H191" s="35" t="n">
        <v>0</v>
      </c>
      <c r="I191" s="35">
        <f>G191-H191</f>
        <v/>
      </c>
      <c r="J191" s="33" t="n">
        <v>2025</v>
      </c>
      <c r="K191" s="33" t="n">
        <v>7</v>
      </c>
      <c r="L191" s="34" t="inlineStr">
        <is>
          <t>Winst- en verliesrekening</t>
        </is>
      </c>
      <c r="M191" s="34" t="inlineStr">
        <is>
          <t>Personeelskosten</t>
        </is>
      </c>
      <c r="N191" s="34" t="inlineStr">
        <is>
          <t>Pensioen</t>
        </is>
      </c>
      <c r="O191" s="36">
        <f>IFERROR(INDEX('Mapping'!$F$2:$F$60,MATCH(B191,'Mapping'!$A$2:$A$60,0)),"")</f>
        <v/>
      </c>
    </row>
    <row r="192">
      <c r="A192" s="32" t="n">
        <v>45870</v>
      </c>
      <c r="B192" s="33" t="n">
        <v>4020</v>
      </c>
      <c r="C192" s="34" t="inlineStr">
        <is>
          <t>Pensioenlasten</t>
        </is>
      </c>
      <c r="D192" s="34" t="inlineStr">
        <is>
          <t>Personeel</t>
        </is>
      </c>
      <c r="E192" s="34" t="inlineStr">
        <is>
          <t>Algemeen</t>
        </is>
      </c>
      <c r="F192" s="34" t="inlineStr"/>
      <c r="G192" s="35" t="n">
        <v>3360</v>
      </c>
      <c r="H192" s="35" t="n">
        <v>0</v>
      </c>
      <c r="I192" s="35">
        <f>G192-H192</f>
        <v/>
      </c>
      <c r="J192" s="33" t="n">
        <v>2025</v>
      </c>
      <c r="K192" s="33" t="n">
        <v>8</v>
      </c>
      <c r="L192" s="34" t="inlineStr">
        <is>
          <t>Winst- en verliesrekening</t>
        </is>
      </c>
      <c r="M192" s="34" t="inlineStr">
        <is>
          <t>Personeelskosten</t>
        </is>
      </c>
      <c r="N192" s="34" t="inlineStr">
        <is>
          <t>Pensioen</t>
        </is>
      </c>
      <c r="O192" s="36">
        <f>IFERROR(INDEX('Mapping'!$F$2:$F$60,MATCH(B192,'Mapping'!$A$2:$A$60,0)),"")</f>
        <v/>
      </c>
    </row>
    <row r="193">
      <c r="A193" s="32" t="n">
        <v>45901</v>
      </c>
      <c r="B193" s="33" t="n">
        <v>4020</v>
      </c>
      <c r="C193" s="34" t="inlineStr">
        <is>
          <t>Pensioenlasten</t>
        </is>
      </c>
      <c r="D193" s="34" t="inlineStr">
        <is>
          <t>Personeel</t>
        </is>
      </c>
      <c r="E193" s="34" t="inlineStr">
        <is>
          <t>Algemeen</t>
        </is>
      </c>
      <c r="F193" s="34" t="inlineStr"/>
      <c r="G193" s="35" t="n">
        <v>4224</v>
      </c>
      <c r="H193" s="35" t="n">
        <v>0</v>
      </c>
      <c r="I193" s="35">
        <f>G193-H193</f>
        <v/>
      </c>
      <c r="J193" s="33" t="n">
        <v>2025</v>
      </c>
      <c r="K193" s="33" t="n">
        <v>9</v>
      </c>
      <c r="L193" s="34" t="inlineStr">
        <is>
          <t>Winst- en verliesrekening</t>
        </is>
      </c>
      <c r="M193" s="34" t="inlineStr">
        <is>
          <t>Personeelskosten</t>
        </is>
      </c>
      <c r="N193" s="34" t="inlineStr">
        <is>
          <t>Pensioen</t>
        </is>
      </c>
      <c r="O193" s="36">
        <f>IFERROR(INDEX('Mapping'!$F$2:$F$60,MATCH(B193,'Mapping'!$A$2:$A$60,0)),"")</f>
        <v/>
      </c>
    </row>
    <row r="194">
      <c r="A194" s="32" t="n">
        <v>45931</v>
      </c>
      <c r="B194" s="33" t="n">
        <v>4020</v>
      </c>
      <c r="C194" s="34" t="inlineStr">
        <is>
          <t>Pensioenlasten</t>
        </is>
      </c>
      <c r="D194" s="34" t="inlineStr">
        <is>
          <t>Personeel</t>
        </is>
      </c>
      <c r="E194" s="34" t="inlineStr">
        <is>
          <t>Algemeen</t>
        </is>
      </c>
      <c r="F194" s="34" t="inlineStr"/>
      <c r="G194" s="35" t="n">
        <v>4320</v>
      </c>
      <c r="H194" s="35" t="n">
        <v>0</v>
      </c>
      <c r="I194" s="35">
        <f>G194-H194</f>
        <v/>
      </c>
      <c r="J194" s="33" t="n">
        <v>2025</v>
      </c>
      <c r="K194" s="33" t="n">
        <v>10</v>
      </c>
      <c r="L194" s="34" t="inlineStr">
        <is>
          <t>Winst- en verliesrekening</t>
        </is>
      </c>
      <c r="M194" s="34" t="inlineStr">
        <is>
          <t>Personeelskosten</t>
        </is>
      </c>
      <c r="N194" s="34" t="inlineStr">
        <is>
          <t>Pensioen</t>
        </is>
      </c>
      <c r="O194" s="36">
        <f>IFERROR(INDEX('Mapping'!$F$2:$F$60,MATCH(B194,'Mapping'!$A$2:$A$60,0)),"")</f>
        <v/>
      </c>
    </row>
    <row r="195">
      <c r="A195" s="32" t="n">
        <v>45962</v>
      </c>
      <c r="B195" s="33" t="n">
        <v>4020</v>
      </c>
      <c r="C195" s="34" t="inlineStr">
        <is>
          <t>Pensioenlasten</t>
        </is>
      </c>
      <c r="D195" s="34" t="inlineStr">
        <is>
          <t>Personeel</t>
        </is>
      </c>
      <c r="E195" s="34" t="inlineStr">
        <is>
          <t>Algemeen</t>
        </is>
      </c>
      <c r="F195" s="34" t="inlineStr"/>
      <c r="G195" s="35" t="n">
        <v>4128</v>
      </c>
      <c r="H195" s="35" t="n">
        <v>0</v>
      </c>
      <c r="I195" s="35">
        <f>G195-H195</f>
        <v/>
      </c>
      <c r="J195" s="33" t="n">
        <v>2025</v>
      </c>
      <c r="K195" s="33" t="n">
        <v>11</v>
      </c>
      <c r="L195" s="34" t="inlineStr">
        <is>
          <t>Winst- en verliesrekening</t>
        </is>
      </c>
      <c r="M195" s="34" t="inlineStr">
        <is>
          <t>Personeelskosten</t>
        </is>
      </c>
      <c r="N195" s="34" t="inlineStr">
        <is>
          <t>Pensioen</t>
        </is>
      </c>
      <c r="O195" s="36">
        <f>IFERROR(INDEX('Mapping'!$F$2:$F$60,MATCH(B195,'Mapping'!$A$2:$A$60,0)),"")</f>
        <v/>
      </c>
    </row>
    <row r="196">
      <c r="A196" s="32" t="n">
        <v>45992</v>
      </c>
      <c r="B196" s="33" t="n">
        <v>4020</v>
      </c>
      <c r="C196" s="34" t="inlineStr">
        <is>
          <t>Pensioenlasten</t>
        </is>
      </c>
      <c r="D196" s="34" t="inlineStr">
        <is>
          <t>Personeel</t>
        </is>
      </c>
      <c r="E196" s="34" t="inlineStr">
        <is>
          <t>Algemeen</t>
        </is>
      </c>
      <c r="F196" s="34" t="inlineStr"/>
      <c r="G196" s="35" t="n">
        <v>4992</v>
      </c>
      <c r="H196" s="35" t="n">
        <v>0</v>
      </c>
      <c r="I196" s="35">
        <f>G196-H196</f>
        <v/>
      </c>
      <c r="J196" s="33" t="n">
        <v>2025</v>
      </c>
      <c r="K196" s="33" t="n">
        <v>12</v>
      </c>
      <c r="L196" s="34" t="inlineStr">
        <is>
          <t>Winst- en verliesrekening</t>
        </is>
      </c>
      <c r="M196" s="34" t="inlineStr">
        <is>
          <t>Personeelskosten</t>
        </is>
      </c>
      <c r="N196" s="34" t="inlineStr">
        <is>
          <t>Pensioen</t>
        </is>
      </c>
      <c r="O196" s="36">
        <f>IFERROR(INDEX('Mapping'!$F$2:$F$60,MATCH(B196,'Mapping'!$A$2:$A$60,0)),"")</f>
        <v/>
      </c>
    </row>
    <row r="197">
      <c r="A197" s="32" t="n">
        <v>45292</v>
      </c>
      <c r="B197" s="33" t="n">
        <v>4030</v>
      </c>
      <c r="C197" s="34" t="inlineStr">
        <is>
          <t>Overige personeelskosten</t>
        </is>
      </c>
      <c r="D197" s="34" t="inlineStr">
        <is>
          <t>Personeel</t>
        </is>
      </c>
      <c r="E197" s="34" t="inlineStr">
        <is>
          <t>Algemeen</t>
        </is>
      </c>
      <c r="F197" s="34" t="inlineStr"/>
      <c r="G197" s="35" t="n">
        <v>2450</v>
      </c>
      <c r="H197" s="35" t="n">
        <v>0</v>
      </c>
      <c r="I197" s="35">
        <f>G197-H197</f>
        <v/>
      </c>
      <c r="J197" s="33" t="n">
        <v>2024</v>
      </c>
      <c r="K197" s="33" t="n">
        <v>1</v>
      </c>
      <c r="L197" s="34" t="inlineStr">
        <is>
          <t>Winst- en verliesrekening</t>
        </is>
      </c>
      <c r="M197" s="34" t="inlineStr">
        <is>
          <t>Personeelskosten</t>
        </is>
      </c>
      <c r="N197" s="34" t="inlineStr">
        <is>
          <t>Overig personeel</t>
        </is>
      </c>
      <c r="O197" s="36">
        <f>IFERROR(INDEX('Mapping'!$F$2:$F$60,MATCH(B197,'Mapping'!$A$2:$A$60,0)),"")</f>
        <v/>
      </c>
    </row>
    <row r="198">
      <c r="A198" s="32" t="n">
        <v>45323</v>
      </c>
      <c r="B198" s="33" t="n">
        <v>4030</v>
      </c>
      <c r="C198" s="34" t="inlineStr">
        <is>
          <t>Overige personeelskosten</t>
        </is>
      </c>
      <c r="D198" s="34" t="inlineStr">
        <is>
          <t>Personeel</t>
        </is>
      </c>
      <c r="E198" s="34" t="inlineStr">
        <is>
          <t>Algemeen</t>
        </is>
      </c>
      <c r="F198" s="34" t="inlineStr"/>
      <c r="G198" s="35" t="n">
        <v>2450</v>
      </c>
      <c r="H198" s="35" t="n">
        <v>0</v>
      </c>
      <c r="I198" s="35">
        <f>G198-H198</f>
        <v/>
      </c>
      <c r="J198" s="33" t="n">
        <v>2024</v>
      </c>
      <c r="K198" s="33" t="n">
        <v>2</v>
      </c>
      <c r="L198" s="34" t="inlineStr">
        <is>
          <t>Winst- en verliesrekening</t>
        </is>
      </c>
      <c r="M198" s="34" t="inlineStr">
        <is>
          <t>Personeelskosten</t>
        </is>
      </c>
      <c r="N198" s="34" t="inlineStr">
        <is>
          <t>Overig personeel</t>
        </is>
      </c>
      <c r="O198" s="36">
        <f>IFERROR(INDEX('Mapping'!$F$2:$F$60,MATCH(B198,'Mapping'!$A$2:$A$60,0)),"")</f>
        <v/>
      </c>
    </row>
    <row r="199">
      <c r="A199" s="32" t="n">
        <v>45352</v>
      </c>
      <c r="B199" s="33" t="n">
        <v>4030</v>
      </c>
      <c r="C199" s="34" t="inlineStr">
        <is>
          <t>Overige personeelskosten</t>
        </is>
      </c>
      <c r="D199" s="34" t="inlineStr">
        <is>
          <t>Personeel</t>
        </is>
      </c>
      <c r="E199" s="34" t="inlineStr">
        <is>
          <t>Algemeen</t>
        </is>
      </c>
      <c r="F199" s="34" t="inlineStr"/>
      <c r="G199" s="35" t="n">
        <v>3080</v>
      </c>
      <c r="H199" s="35" t="n">
        <v>0</v>
      </c>
      <c r="I199" s="35">
        <f>G199-H199</f>
        <v/>
      </c>
      <c r="J199" s="33" t="n">
        <v>2024</v>
      </c>
      <c r="K199" s="33" t="n">
        <v>3</v>
      </c>
      <c r="L199" s="34" t="inlineStr">
        <is>
          <t>Winst- en verliesrekening</t>
        </is>
      </c>
      <c r="M199" s="34" t="inlineStr">
        <is>
          <t>Personeelskosten</t>
        </is>
      </c>
      <c r="N199" s="34" t="inlineStr">
        <is>
          <t>Overig personeel</t>
        </is>
      </c>
      <c r="O199" s="36">
        <f>IFERROR(INDEX('Mapping'!$F$2:$F$60,MATCH(B199,'Mapping'!$A$2:$A$60,0)),"")</f>
        <v/>
      </c>
    </row>
    <row r="200">
      <c r="A200" s="32" t="n">
        <v>45383</v>
      </c>
      <c r="B200" s="33" t="n">
        <v>4030</v>
      </c>
      <c r="C200" s="34" t="inlineStr">
        <is>
          <t>Overige personeelskosten</t>
        </is>
      </c>
      <c r="D200" s="34" t="inlineStr">
        <is>
          <t>Personeel</t>
        </is>
      </c>
      <c r="E200" s="34" t="inlineStr">
        <is>
          <t>Algemeen</t>
        </is>
      </c>
      <c r="F200" s="34" t="inlineStr"/>
      <c r="G200" s="35" t="n">
        <v>2870</v>
      </c>
      <c r="H200" s="35" t="n">
        <v>0</v>
      </c>
      <c r="I200" s="35">
        <f>G200-H200</f>
        <v/>
      </c>
      <c r="J200" s="33" t="n">
        <v>2024</v>
      </c>
      <c r="K200" s="33" t="n">
        <v>4</v>
      </c>
      <c r="L200" s="34" t="inlineStr">
        <is>
          <t>Winst- en verliesrekening</t>
        </is>
      </c>
      <c r="M200" s="34" t="inlineStr">
        <is>
          <t>Personeelskosten</t>
        </is>
      </c>
      <c r="N200" s="34" t="inlineStr">
        <is>
          <t>Overig personeel</t>
        </is>
      </c>
      <c r="O200" s="36">
        <f>IFERROR(INDEX('Mapping'!$F$2:$F$60,MATCH(B200,'Mapping'!$A$2:$A$60,0)),"")</f>
        <v/>
      </c>
    </row>
    <row r="201">
      <c r="A201" s="32" t="n">
        <v>45413</v>
      </c>
      <c r="B201" s="33" t="n">
        <v>4030</v>
      </c>
      <c r="C201" s="34" t="inlineStr">
        <is>
          <t>Overige personeelskosten</t>
        </is>
      </c>
      <c r="D201" s="34" t="inlineStr">
        <is>
          <t>Personeel</t>
        </is>
      </c>
      <c r="E201" s="34" t="inlineStr">
        <is>
          <t>Algemeen</t>
        </is>
      </c>
      <c r="F201" s="34" t="inlineStr"/>
      <c r="G201" s="35" t="n">
        <v>3010</v>
      </c>
      <c r="H201" s="35" t="n">
        <v>0</v>
      </c>
      <c r="I201" s="35">
        <f>G201-H201</f>
        <v/>
      </c>
      <c r="J201" s="33" t="n">
        <v>2024</v>
      </c>
      <c r="K201" s="33" t="n">
        <v>5</v>
      </c>
      <c r="L201" s="34" t="inlineStr">
        <is>
          <t>Winst- en verliesrekening</t>
        </is>
      </c>
      <c r="M201" s="34" t="inlineStr">
        <is>
          <t>Personeelskosten</t>
        </is>
      </c>
      <c r="N201" s="34" t="inlineStr">
        <is>
          <t>Overig personeel</t>
        </is>
      </c>
      <c r="O201" s="36">
        <f>IFERROR(INDEX('Mapping'!$F$2:$F$60,MATCH(B201,'Mapping'!$A$2:$A$60,0)),"")</f>
        <v/>
      </c>
    </row>
    <row r="202">
      <c r="A202" s="32" t="n">
        <v>45444</v>
      </c>
      <c r="B202" s="33" t="n">
        <v>4030</v>
      </c>
      <c r="C202" s="34" t="inlineStr">
        <is>
          <t>Overige personeelskosten</t>
        </is>
      </c>
      <c r="D202" s="34" t="inlineStr">
        <is>
          <t>Personeel</t>
        </is>
      </c>
      <c r="E202" s="34" t="inlineStr">
        <is>
          <t>Algemeen</t>
        </is>
      </c>
      <c r="F202" s="34" t="inlineStr"/>
      <c r="G202" s="35" t="n">
        <v>3150</v>
      </c>
      <c r="H202" s="35" t="n">
        <v>0</v>
      </c>
      <c r="I202" s="35">
        <f>G202-H202</f>
        <v/>
      </c>
      <c r="J202" s="33" t="n">
        <v>2024</v>
      </c>
      <c r="K202" s="33" t="n">
        <v>6</v>
      </c>
      <c r="L202" s="34" t="inlineStr">
        <is>
          <t>Winst- en verliesrekening</t>
        </is>
      </c>
      <c r="M202" s="34" t="inlineStr">
        <is>
          <t>Personeelskosten</t>
        </is>
      </c>
      <c r="N202" s="34" t="inlineStr">
        <is>
          <t>Overig personeel</t>
        </is>
      </c>
      <c r="O202" s="36">
        <f>IFERROR(INDEX('Mapping'!$F$2:$F$60,MATCH(B202,'Mapping'!$A$2:$A$60,0)),"")</f>
        <v/>
      </c>
    </row>
    <row r="203">
      <c r="A203" s="32" t="n">
        <v>45474</v>
      </c>
      <c r="B203" s="33" t="n">
        <v>4030</v>
      </c>
      <c r="C203" s="34" t="inlineStr">
        <is>
          <t>Overige personeelskosten</t>
        </is>
      </c>
      <c r="D203" s="34" t="inlineStr">
        <is>
          <t>Personeel</t>
        </is>
      </c>
      <c r="E203" s="34" t="inlineStr">
        <is>
          <t>Algemeen</t>
        </is>
      </c>
      <c r="F203" s="34" t="inlineStr"/>
      <c r="G203" s="35" t="n">
        <v>2660</v>
      </c>
      <c r="H203" s="35" t="n">
        <v>0</v>
      </c>
      <c r="I203" s="35">
        <f>G203-H203</f>
        <v/>
      </c>
      <c r="J203" s="33" t="n">
        <v>2024</v>
      </c>
      <c r="K203" s="33" t="n">
        <v>7</v>
      </c>
      <c r="L203" s="34" t="inlineStr">
        <is>
          <t>Winst- en verliesrekening</t>
        </is>
      </c>
      <c r="M203" s="34" t="inlineStr">
        <is>
          <t>Personeelskosten</t>
        </is>
      </c>
      <c r="N203" s="34" t="inlineStr">
        <is>
          <t>Overig personeel</t>
        </is>
      </c>
      <c r="O203" s="36">
        <f>IFERROR(INDEX('Mapping'!$F$2:$F$60,MATCH(B203,'Mapping'!$A$2:$A$60,0)),"")</f>
        <v/>
      </c>
    </row>
    <row r="204">
      <c r="A204" s="32" t="n">
        <v>45505</v>
      </c>
      <c r="B204" s="33" t="n">
        <v>4030</v>
      </c>
      <c r="C204" s="34" t="inlineStr">
        <is>
          <t>Overige personeelskosten</t>
        </is>
      </c>
      <c r="D204" s="34" t="inlineStr">
        <is>
          <t>Personeel</t>
        </is>
      </c>
      <c r="E204" s="34" t="inlineStr">
        <is>
          <t>Algemeen</t>
        </is>
      </c>
      <c r="F204" s="34" t="inlineStr"/>
      <c r="G204" s="35" t="n">
        <v>2450</v>
      </c>
      <c r="H204" s="35" t="n">
        <v>0</v>
      </c>
      <c r="I204" s="35">
        <f>G204-H204</f>
        <v/>
      </c>
      <c r="J204" s="33" t="n">
        <v>2024</v>
      </c>
      <c r="K204" s="33" t="n">
        <v>8</v>
      </c>
      <c r="L204" s="34" t="inlineStr">
        <is>
          <t>Winst- en verliesrekening</t>
        </is>
      </c>
      <c r="M204" s="34" t="inlineStr">
        <is>
          <t>Personeelskosten</t>
        </is>
      </c>
      <c r="N204" s="34" t="inlineStr">
        <is>
          <t>Overig personeel</t>
        </is>
      </c>
      <c r="O204" s="36">
        <f>IFERROR(INDEX('Mapping'!$F$2:$F$60,MATCH(B204,'Mapping'!$A$2:$A$60,0)),"")</f>
        <v/>
      </c>
    </row>
    <row r="205">
      <c r="A205" s="32" t="n">
        <v>45536</v>
      </c>
      <c r="B205" s="33" t="n">
        <v>4030</v>
      </c>
      <c r="C205" s="34" t="inlineStr">
        <is>
          <t>Overige personeelskosten</t>
        </is>
      </c>
      <c r="D205" s="34" t="inlineStr">
        <is>
          <t>Personeel</t>
        </is>
      </c>
      <c r="E205" s="34" t="inlineStr">
        <is>
          <t>Algemeen</t>
        </is>
      </c>
      <c r="F205" s="34" t="inlineStr"/>
      <c r="G205" s="35" t="n">
        <v>3080</v>
      </c>
      <c r="H205" s="35" t="n">
        <v>0</v>
      </c>
      <c r="I205" s="35">
        <f>G205-H205</f>
        <v/>
      </c>
      <c r="J205" s="33" t="n">
        <v>2024</v>
      </c>
      <c r="K205" s="33" t="n">
        <v>9</v>
      </c>
      <c r="L205" s="34" t="inlineStr">
        <is>
          <t>Winst- en verliesrekening</t>
        </is>
      </c>
      <c r="M205" s="34" t="inlineStr">
        <is>
          <t>Personeelskosten</t>
        </is>
      </c>
      <c r="N205" s="34" t="inlineStr">
        <is>
          <t>Overig personeel</t>
        </is>
      </c>
      <c r="O205" s="36">
        <f>IFERROR(INDEX('Mapping'!$F$2:$F$60,MATCH(B205,'Mapping'!$A$2:$A$60,0)),"")</f>
        <v/>
      </c>
    </row>
    <row r="206">
      <c r="A206" s="32" t="n">
        <v>45566</v>
      </c>
      <c r="B206" s="33" t="n">
        <v>4030</v>
      </c>
      <c r="C206" s="34" t="inlineStr">
        <is>
          <t>Overige personeelskosten</t>
        </is>
      </c>
      <c r="D206" s="34" t="inlineStr">
        <is>
          <t>Personeel</t>
        </is>
      </c>
      <c r="E206" s="34" t="inlineStr">
        <is>
          <t>Algemeen</t>
        </is>
      </c>
      <c r="F206" s="34" t="inlineStr"/>
      <c r="G206" s="35" t="n">
        <v>3150</v>
      </c>
      <c r="H206" s="35" t="n">
        <v>0</v>
      </c>
      <c r="I206" s="35">
        <f>G206-H206</f>
        <v/>
      </c>
      <c r="J206" s="33" t="n">
        <v>2024</v>
      </c>
      <c r="K206" s="33" t="n">
        <v>10</v>
      </c>
      <c r="L206" s="34" t="inlineStr">
        <is>
          <t>Winst- en verliesrekening</t>
        </is>
      </c>
      <c r="M206" s="34" t="inlineStr">
        <is>
          <t>Personeelskosten</t>
        </is>
      </c>
      <c r="N206" s="34" t="inlineStr">
        <is>
          <t>Overig personeel</t>
        </is>
      </c>
      <c r="O206" s="36">
        <f>IFERROR(INDEX('Mapping'!$F$2:$F$60,MATCH(B206,'Mapping'!$A$2:$A$60,0)),"")</f>
        <v/>
      </c>
    </row>
    <row r="207">
      <c r="A207" s="32" t="n">
        <v>45597</v>
      </c>
      <c r="B207" s="33" t="n">
        <v>4030</v>
      </c>
      <c r="C207" s="34" t="inlineStr">
        <is>
          <t>Overige personeelskosten</t>
        </is>
      </c>
      <c r="D207" s="34" t="inlineStr">
        <is>
          <t>Personeel</t>
        </is>
      </c>
      <c r="E207" s="34" t="inlineStr">
        <is>
          <t>Algemeen</t>
        </is>
      </c>
      <c r="F207" s="34" t="inlineStr"/>
      <c r="G207" s="35" t="n">
        <v>3010</v>
      </c>
      <c r="H207" s="35" t="n">
        <v>0</v>
      </c>
      <c r="I207" s="35">
        <f>G207-H207</f>
        <v/>
      </c>
      <c r="J207" s="33" t="n">
        <v>2024</v>
      </c>
      <c r="K207" s="33" t="n">
        <v>11</v>
      </c>
      <c r="L207" s="34" t="inlineStr">
        <is>
          <t>Winst- en verliesrekening</t>
        </is>
      </c>
      <c r="M207" s="34" t="inlineStr">
        <is>
          <t>Personeelskosten</t>
        </is>
      </c>
      <c r="N207" s="34" t="inlineStr">
        <is>
          <t>Overig personeel</t>
        </is>
      </c>
      <c r="O207" s="36">
        <f>IFERROR(INDEX('Mapping'!$F$2:$F$60,MATCH(B207,'Mapping'!$A$2:$A$60,0)),"")</f>
        <v/>
      </c>
    </row>
    <row r="208">
      <c r="A208" s="32" t="n">
        <v>45627</v>
      </c>
      <c r="B208" s="33" t="n">
        <v>4030</v>
      </c>
      <c r="C208" s="34" t="inlineStr">
        <is>
          <t>Overige personeelskosten</t>
        </is>
      </c>
      <c r="D208" s="34" t="inlineStr">
        <is>
          <t>Personeel</t>
        </is>
      </c>
      <c r="E208" s="34" t="inlineStr">
        <is>
          <t>Algemeen</t>
        </is>
      </c>
      <c r="F208" s="34" t="inlineStr"/>
      <c r="G208" s="35" t="n">
        <v>3640</v>
      </c>
      <c r="H208" s="35" t="n">
        <v>0</v>
      </c>
      <c r="I208" s="35">
        <f>G208-H208</f>
        <v/>
      </c>
      <c r="J208" s="33" t="n">
        <v>2024</v>
      </c>
      <c r="K208" s="33" t="n">
        <v>12</v>
      </c>
      <c r="L208" s="34" t="inlineStr">
        <is>
          <t>Winst- en verliesrekening</t>
        </is>
      </c>
      <c r="M208" s="34" t="inlineStr">
        <is>
          <t>Personeelskosten</t>
        </is>
      </c>
      <c r="N208" s="34" t="inlineStr">
        <is>
          <t>Overig personeel</t>
        </is>
      </c>
      <c r="O208" s="36">
        <f>IFERROR(INDEX('Mapping'!$F$2:$F$60,MATCH(B208,'Mapping'!$A$2:$A$60,0)),"")</f>
        <v/>
      </c>
    </row>
    <row r="209">
      <c r="A209" s="32" t="n">
        <v>45658</v>
      </c>
      <c r="B209" s="33" t="n">
        <v>4030</v>
      </c>
      <c r="C209" s="34" t="inlineStr">
        <is>
          <t>Overige personeelskosten</t>
        </is>
      </c>
      <c r="D209" s="34" t="inlineStr">
        <is>
          <t>Personeel</t>
        </is>
      </c>
      <c r="E209" s="34" t="inlineStr">
        <is>
          <t>Algemeen</t>
        </is>
      </c>
      <c r="F209" s="34" t="inlineStr"/>
      <c r="G209" s="35" t="n">
        <v>2590</v>
      </c>
      <c r="H209" s="35" t="n">
        <v>0</v>
      </c>
      <c r="I209" s="35">
        <f>G209-H209</f>
        <v/>
      </c>
      <c r="J209" s="33" t="n">
        <v>2025</v>
      </c>
      <c r="K209" s="33" t="n">
        <v>1</v>
      </c>
      <c r="L209" s="34" t="inlineStr">
        <is>
          <t>Winst- en verliesrekening</t>
        </is>
      </c>
      <c r="M209" s="34" t="inlineStr">
        <is>
          <t>Personeelskosten</t>
        </is>
      </c>
      <c r="N209" s="34" t="inlineStr">
        <is>
          <t>Overig personeel</t>
        </is>
      </c>
      <c r="O209" s="36">
        <f>IFERROR(INDEX('Mapping'!$F$2:$F$60,MATCH(B209,'Mapping'!$A$2:$A$60,0)),"")</f>
        <v/>
      </c>
    </row>
    <row r="210">
      <c r="A210" s="32" t="n">
        <v>45689</v>
      </c>
      <c r="B210" s="33" t="n">
        <v>4030</v>
      </c>
      <c r="C210" s="34" t="inlineStr">
        <is>
          <t>Overige personeelskosten</t>
        </is>
      </c>
      <c r="D210" s="34" t="inlineStr">
        <is>
          <t>Personeel</t>
        </is>
      </c>
      <c r="E210" s="34" t="inlineStr">
        <is>
          <t>Algemeen</t>
        </is>
      </c>
      <c r="F210" s="34" t="inlineStr"/>
      <c r="G210" s="35" t="n">
        <v>2590</v>
      </c>
      <c r="H210" s="35" t="n">
        <v>0</v>
      </c>
      <c r="I210" s="35">
        <f>G210-H210</f>
        <v/>
      </c>
      <c r="J210" s="33" t="n">
        <v>2025</v>
      </c>
      <c r="K210" s="33" t="n">
        <v>2</v>
      </c>
      <c r="L210" s="34" t="inlineStr">
        <is>
          <t>Winst- en verliesrekening</t>
        </is>
      </c>
      <c r="M210" s="34" t="inlineStr">
        <is>
          <t>Personeelskosten</t>
        </is>
      </c>
      <c r="N210" s="34" t="inlineStr">
        <is>
          <t>Overig personeel</t>
        </is>
      </c>
      <c r="O210" s="36">
        <f>IFERROR(INDEX('Mapping'!$F$2:$F$60,MATCH(B210,'Mapping'!$A$2:$A$60,0)),"")</f>
        <v/>
      </c>
    </row>
    <row r="211">
      <c r="A211" s="32" t="n">
        <v>45717</v>
      </c>
      <c r="B211" s="33" t="n">
        <v>4030</v>
      </c>
      <c r="C211" s="34" t="inlineStr">
        <is>
          <t>Overige personeelskosten</t>
        </is>
      </c>
      <c r="D211" s="34" t="inlineStr">
        <is>
          <t>Personeel</t>
        </is>
      </c>
      <c r="E211" s="34" t="inlineStr">
        <is>
          <t>Algemeen</t>
        </is>
      </c>
      <c r="F211" s="34" t="inlineStr"/>
      <c r="G211" s="35" t="n">
        <v>3256</v>
      </c>
      <c r="H211" s="35" t="n">
        <v>0</v>
      </c>
      <c r="I211" s="35">
        <f>G211-H211</f>
        <v/>
      </c>
      <c r="J211" s="33" t="n">
        <v>2025</v>
      </c>
      <c r="K211" s="33" t="n">
        <v>3</v>
      </c>
      <c r="L211" s="34" t="inlineStr">
        <is>
          <t>Winst- en verliesrekening</t>
        </is>
      </c>
      <c r="M211" s="34" t="inlineStr">
        <is>
          <t>Personeelskosten</t>
        </is>
      </c>
      <c r="N211" s="34" t="inlineStr">
        <is>
          <t>Overig personeel</t>
        </is>
      </c>
      <c r="O211" s="36">
        <f>IFERROR(INDEX('Mapping'!$F$2:$F$60,MATCH(B211,'Mapping'!$A$2:$A$60,0)),"")</f>
        <v/>
      </c>
    </row>
    <row r="212">
      <c r="A212" s="32" t="n">
        <v>45748</v>
      </c>
      <c r="B212" s="33" t="n">
        <v>4030</v>
      </c>
      <c r="C212" s="34" t="inlineStr">
        <is>
          <t>Overige personeelskosten</t>
        </is>
      </c>
      <c r="D212" s="34" t="inlineStr">
        <is>
          <t>Personeel</t>
        </is>
      </c>
      <c r="E212" s="34" t="inlineStr">
        <is>
          <t>Algemeen</t>
        </is>
      </c>
      <c r="F212" s="34" t="inlineStr"/>
      <c r="G212" s="35" t="n">
        <v>3034</v>
      </c>
      <c r="H212" s="35" t="n">
        <v>0</v>
      </c>
      <c r="I212" s="35">
        <f>G212-H212</f>
        <v/>
      </c>
      <c r="J212" s="33" t="n">
        <v>2025</v>
      </c>
      <c r="K212" s="33" t="n">
        <v>4</v>
      </c>
      <c r="L212" s="34" t="inlineStr">
        <is>
          <t>Winst- en verliesrekening</t>
        </is>
      </c>
      <c r="M212" s="34" t="inlineStr">
        <is>
          <t>Personeelskosten</t>
        </is>
      </c>
      <c r="N212" s="34" t="inlineStr">
        <is>
          <t>Overig personeel</t>
        </is>
      </c>
      <c r="O212" s="36">
        <f>IFERROR(INDEX('Mapping'!$F$2:$F$60,MATCH(B212,'Mapping'!$A$2:$A$60,0)),"")</f>
        <v/>
      </c>
    </row>
    <row r="213">
      <c r="A213" s="32" t="n">
        <v>45778</v>
      </c>
      <c r="B213" s="33" t="n">
        <v>4030</v>
      </c>
      <c r="C213" s="34" t="inlineStr">
        <is>
          <t>Overige personeelskosten</t>
        </is>
      </c>
      <c r="D213" s="34" t="inlineStr">
        <is>
          <t>Personeel</t>
        </is>
      </c>
      <c r="E213" s="34" t="inlineStr">
        <is>
          <t>Algemeen</t>
        </is>
      </c>
      <c r="F213" s="34" t="inlineStr"/>
      <c r="G213" s="35" t="n">
        <v>3182</v>
      </c>
      <c r="H213" s="35" t="n">
        <v>0</v>
      </c>
      <c r="I213" s="35">
        <f>G213-H213</f>
        <v/>
      </c>
      <c r="J213" s="33" t="n">
        <v>2025</v>
      </c>
      <c r="K213" s="33" t="n">
        <v>5</v>
      </c>
      <c r="L213" s="34" t="inlineStr">
        <is>
          <t>Winst- en verliesrekening</t>
        </is>
      </c>
      <c r="M213" s="34" t="inlineStr">
        <is>
          <t>Personeelskosten</t>
        </is>
      </c>
      <c r="N213" s="34" t="inlineStr">
        <is>
          <t>Overig personeel</t>
        </is>
      </c>
      <c r="O213" s="36">
        <f>IFERROR(INDEX('Mapping'!$F$2:$F$60,MATCH(B213,'Mapping'!$A$2:$A$60,0)),"")</f>
        <v/>
      </c>
    </row>
    <row r="214">
      <c r="A214" s="32" t="n">
        <v>45809</v>
      </c>
      <c r="B214" s="33" t="n">
        <v>4030</v>
      </c>
      <c r="C214" s="34" t="inlineStr">
        <is>
          <t>Overige personeelskosten</t>
        </is>
      </c>
      <c r="D214" s="34" t="inlineStr">
        <is>
          <t>Personeel</t>
        </is>
      </c>
      <c r="E214" s="34" t="inlineStr">
        <is>
          <t>Algemeen</t>
        </is>
      </c>
      <c r="F214" s="34" t="inlineStr"/>
      <c r="G214" s="35" t="n">
        <v>3330</v>
      </c>
      <c r="H214" s="35" t="n">
        <v>0</v>
      </c>
      <c r="I214" s="35">
        <f>G214-H214</f>
        <v/>
      </c>
      <c r="J214" s="33" t="n">
        <v>2025</v>
      </c>
      <c r="K214" s="33" t="n">
        <v>6</v>
      </c>
      <c r="L214" s="34" t="inlineStr">
        <is>
          <t>Winst- en verliesrekening</t>
        </is>
      </c>
      <c r="M214" s="34" t="inlineStr">
        <is>
          <t>Personeelskosten</t>
        </is>
      </c>
      <c r="N214" s="34" t="inlineStr">
        <is>
          <t>Overig personeel</t>
        </is>
      </c>
      <c r="O214" s="36">
        <f>IFERROR(INDEX('Mapping'!$F$2:$F$60,MATCH(B214,'Mapping'!$A$2:$A$60,0)),"")</f>
        <v/>
      </c>
    </row>
    <row r="215">
      <c r="A215" s="32" t="n">
        <v>45839</v>
      </c>
      <c r="B215" s="33" t="n">
        <v>4030</v>
      </c>
      <c r="C215" s="34" t="inlineStr">
        <is>
          <t>Overige personeelskosten</t>
        </is>
      </c>
      <c r="D215" s="34" t="inlineStr">
        <is>
          <t>Personeel</t>
        </is>
      </c>
      <c r="E215" s="34" t="inlineStr">
        <is>
          <t>Algemeen</t>
        </is>
      </c>
      <c r="F215" s="34" t="inlineStr"/>
      <c r="G215" s="35" t="n">
        <v>2812</v>
      </c>
      <c r="H215" s="35" t="n">
        <v>0</v>
      </c>
      <c r="I215" s="35">
        <f>G215-H215</f>
        <v/>
      </c>
      <c r="J215" s="33" t="n">
        <v>2025</v>
      </c>
      <c r="K215" s="33" t="n">
        <v>7</v>
      </c>
      <c r="L215" s="34" t="inlineStr">
        <is>
          <t>Winst- en verliesrekening</t>
        </is>
      </c>
      <c r="M215" s="34" t="inlineStr">
        <is>
          <t>Personeelskosten</t>
        </is>
      </c>
      <c r="N215" s="34" t="inlineStr">
        <is>
          <t>Overig personeel</t>
        </is>
      </c>
      <c r="O215" s="36">
        <f>IFERROR(INDEX('Mapping'!$F$2:$F$60,MATCH(B215,'Mapping'!$A$2:$A$60,0)),"")</f>
        <v/>
      </c>
    </row>
    <row r="216">
      <c r="A216" s="32" t="n">
        <v>45870</v>
      </c>
      <c r="B216" s="33" t="n">
        <v>4030</v>
      </c>
      <c r="C216" s="34" t="inlineStr">
        <is>
          <t>Overige personeelskosten</t>
        </is>
      </c>
      <c r="D216" s="34" t="inlineStr">
        <is>
          <t>Personeel</t>
        </is>
      </c>
      <c r="E216" s="34" t="inlineStr">
        <is>
          <t>Algemeen</t>
        </is>
      </c>
      <c r="F216" s="34" t="inlineStr"/>
      <c r="G216" s="35" t="n">
        <v>2590</v>
      </c>
      <c r="H216" s="35" t="n">
        <v>0</v>
      </c>
      <c r="I216" s="35">
        <f>G216-H216</f>
        <v/>
      </c>
      <c r="J216" s="33" t="n">
        <v>2025</v>
      </c>
      <c r="K216" s="33" t="n">
        <v>8</v>
      </c>
      <c r="L216" s="34" t="inlineStr">
        <is>
          <t>Winst- en verliesrekening</t>
        </is>
      </c>
      <c r="M216" s="34" t="inlineStr">
        <is>
          <t>Personeelskosten</t>
        </is>
      </c>
      <c r="N216" s="34" t="inlineStr">
        <is>
          <t>Overig personeel</t>
        </is>
      </c>
      <c r="O216" s="36">
        <f>IFERROR(INDEX('Mapping'!$F$2:$F$60,MATCH(B216,'Mapping'!$A$2:$A$60,0)),"")</f>
        <v/>
      </c>
    </row>
    <row r="217">
      <c r="A217" s="32" t="n">
        <v>45901</v>
      </c>
      <c r="B217" s="33" t="n">
        <v>4030</v>
      </c>
      <c r="C217" s="34" t="inlineStr">
        <is>
          <t>Overige personeelskosten</t>
        </is>
      </c>
      <c r="D217" s="34" t="inlineStr">
        <is>
          <t>Personeel</t>
        </is>
      </c>
      <c r="E217" s="34" t="inlineStr">
        <is>
          <t>Algemeen</t>
        </is>
      </c>
      <c r="F217" s="34" t="inlineStr"/>
      <c r="G217" s="35" t="n">
        <v>3256</v>
      </c>
      <c r="H217" s="35" t="n">
        <v>0</v>
      </c>
      <c r="I217" s="35">
        <f>G217-H217</f>
        <v/>
      </c>
      <c r="J217" s="33" t="n">
        <v>2025</v>
      </c>
      <c r="K217" s="33" t="n">
        <v>9</v>
      </c>
      <c r="L217" s="34" t="inlineStr">
        <is>
          <t>Winst- en verliesrekening</t>
        </is>
      </c>
      <c r="M217" s="34" t="inlineStr">
        <is>
          <t>Personeelskosten</t>
        </is>
      </c>
      <c r="N217" s="34" t="inlineStr">
        <is>
          <t>Overig personeel</t>
        </is>
      </c>
      <c r="O217" s="36">
        <f>IFERROR(INDEX('Mapping'!$F$2:$F$60,MATCH(B217,'Mapping'!$A$2:$A$60,0)),"")</f>
        <v/>
      </c>
    </row>
    <row r="218">
      <c r="A218" s="32" t="n">
        <v>45931</v>
      </c>
      <c r="B218" s="33" t="n">
        <v>4030</v>
      </c>
      <c r="C218" s="34" t="inlineStr">
        <is>
          <t>Overige personeelskosten</t>
        </is>
      </c>
      <c r="D218" s="34" t="inlineStr">
        <is>
          <t>Personeel</t>
        </is>
      </c>
      <c r="E218" s="34" t="inlineStr">
        <is>
          <t>Algemeen</t>
        </is>
      </c>
      <c r="F218" s="34" t="inlineStr"/>
      <c r="G218" s="35" t="n">
        <v>3330</v>
      </c>
      <c r="H218" s="35" t="n">
        <v>0</v>
      </c>
      <c r="I218" s="35">
        <f>G218-H218</f>
        <v/>
      </c>
      <c r="J218" s="33" t="n">
        <v>2025</v>
      </c>
      <c r="K218" s="33" t="n">
        <v>10</v>
      </c>
      <c r="L218" s="34" t="inlineStr">
        <is>
          <t>Winst- en verliesrekening</t>
        </is>
      </c>
      <c r="M218" s="34" t="inlineStr">
        <is>
          <t>Personeelskosten</t>
        </is>
      </c>
      <c r="N218" s="34" t="inlineStr">
        <is>
          <t>Overig personeel</t>
        </is>
      </c>
      <c r="O218" s="36">
        <f>IFERROR(INDEX('Mapping'!$F$2:$F$60,MATCH(B218,'Mapping'!$A$2:$A$60,0)),"")</f>
        <v/>
      </c>
    </row>
    <row r="219">
      <c r="A219" s="32" t="n">
        <v>45962</v>
      </c>
      <c r="B219" s="33" t="n">
        <v>4030</v>
      </c>
      <c r="C219" s="34" t="inlineStr">
        <is>
          <t>Overige personeelskosten</t>
        </is>
      </c>
      <c r="D219" s="34" t="inlineStr">
        <is>
          <t>Personeel</t>
        </is>
      </c>
      <c r="E219" s="34" t="inlineStr">
        <is>
          <t>Algemeen</t>
        </is>
      </c>
      <c r="F219" s="34" t="inlineStr"/>
      <c r="G219" s="35" t="n">
        <v>3182</v>
      </c>
      <c r="H219" s="35" t="n">
        <v>0</v>
      </c>
      <c r="I219" s="35">
        <f>G219-H219</f>
        <v/>
      </c>
      <c r="J219" s="33" t="n">
        <v>2025</v>
      </c>
      <c r="K219" s="33" t="n">
        <v>11</v>
      </c>
      <c r="L219" s="34" t="inlineStr">
        <is>
          <t>Winst- en verliesrekening</t>
        </is>
      </c>
      <c r="M219" s="34" t="inlineStr">
        <is>
          <t>Personeelskosten</t>
        </is>
      </c>
      <c r="N219" s="34" t="inlineStr">
        <is>
          <t>Overig personeel</t>
        </is>
      </c>
      <c r="O219" s="36">
        <f>IFERROR(INDEX('Mapping'!$F$2:$F$60,MATCH(B219,'Mapping'!$A$2:$A$60,0)),"")</f>
        <v/>
      </c>
    </row>
    <row r="220">
      <c r="A220" s="32" t="n">
        <v>45992</v>
      </c>
      <c r="B220" s="33" t="n">
        <v>4030</v>
      </c>
      <c r="C220" s="34" t="inlineStr">
        <is>
          <t>Overige personeelskosten</t>
        </is>
      </c>
      <c r="D220" s="34" t="inlineStr">
        <is>
          <t>Personeel</t>
        </is>
      </c>
      <c r="E220" s="34" t="inlineStr">
        <is>
          <t>Algemeen</t>
        </is>
      </c>
      <c r="F220" s="34" t="inlineStr"/>
      <c r="G220" s="35" t="n">
        <v>3848</v>
      </c>
      <c r="H220" s="35" t="n">
        <v>0</v>
      </c>
      <c r="I220" s="35">
        <f>G220-H220</f>
        <v/>
      </c>
      <c r="J220" s="33" t="n">
        <v>2025</v>
      </c>
      <c r="K220" s="33" t="n">
        <v>12</v>
      </c>
      <c r="L220" s="34" t="inlineStr">
        <is>
          <t>Winst- en verliesrekening</t>
        </is>
      </c>
      <c r="M220" s="34" t="inlineStr">
        <is>
          <t>Personeelskosten</t>
        </is>
      </c>
      <c r="N220" s="34" t="inlineStr">
        <is>
          <t>Overig personeel</t>
        </is>
      </c>
      <c r="O220" s="36">
        <f>IFERROR(INDEX('Mapping'!$F$2:$F$60,MATCH(B220,'Mapping'!$A$2:$A$60,0)),"")</f>
        <v/>
      </c>
    </row>
    <row r="221">
      <c r="A221" s="32" t="n">
        <v>45292</v>
      </c>
      <c r="B221" s="33" t="n">
        <v>4100</v>
      </c>
      <c r="C221" s="34" t="inlineStr">
        <is>
          <t>Huur bedrijfspand</t>
        </is>
      </c>
      <c r="D221" s="34" t="inlineStr">
        <is>
          <t>Huisvesting</t>
        </is>
      </c>
      <c r="E221" s="34" t="inlineStr">
        <is>
          <t>Algemeen</t>
        </is>
      </c>
      <c r="F221" s="34" t="inlineStr"/>
      <c r="G221" s="35" t="n">
        <v>4620</v>
      </c>
      <c r="H221" s="35" t="n">
        <v>0</v>
      </c>
      <c r="I221" s="35">
        <f>G221-H221</f>
        <v/>
      </c>
      <c r="J221" s="33" t="n">
        <v>2024</v>
      </c>
      <c r="K221" s="33" t="n">
        <v>1</v>
      </c>
      <c r="L221" s="34" t="inlineStr">
        <is>
          <t>Winst- en verliesrekening</t>
        </is>
      </c>
      <c r="M221" s="34" t="inlineStr">
        <is>
          <t>Huisvestingskosten</t>
        </is>
      </c>
      <c r="N221" s="34" t="inlineStr">
        <is>
          <t>Huur</t>
        </is>
      </c>
      <c r="O221" s="36">
        <f>IFERROR(INDEX('Mapping'!$F$2:$F$60,MATCH(B221,'Mapping'!$A$2:$A$60,0)),"")</f>
        <v/>
      </c>
    </row>
    <row r="222">
      <c r="A222" s="32" t="n">
        <v>45323</v>
      </c>
      <c r="B222" s="33" t="n">
        <v>4100</v>
      </c>
      <c r="C222" s="34" t="inlineStr">
        <is>
          <t>Huur bedrijfspand</t>
        </is>
      </c>
      <c r="D222" s="34" t="inlineStr">
        <is>
          <t>Huisvesting</t>
        </is>
      </c>
      <c r="E222" s="34" t="inlineStr">
        <is>
          <t>Algemeen</t>
        </is>
      </c>
      <c r="F222" s="34" t="inlineStr"/>
      <c r="G222" s="35" t="n">
        <v>4620</v>
      </c>
      <c r="H222" s="35" t="n">
        <v>0</v>
      </c>
      <c r="I222" s="35">
        <f>G222-H222</f>
        <v/>
      </c>
      <c r="J222" s="33" t="n">
        <v>2024</v>
      </c>
      <c r="K222" s="33" t="n">
        <v>2</v>
      </c>
      <c r="L222" s="34" t="inlineStr">
        <is>
          <t>Winst- en verliesrekening</t>
        </is>
      </c>
      <c r="M222" s="34" t="inlineStr">
        <is>
          <t>Huisvestingskosten</t>
        </is>
      </c>
      <c r="N222" s="34" t="inlineStr">
        <is>
          <t>Huur</t>
        </is>
      </c>
      <c r="O222" s="36">
        <f>IFERROR(INDEX('Mapping'!$F$2:$F$60,MATCH(B222,'Mapping'!$A$2:$A$60,0)),"")</f>
        <v/>
      </c>
    </row>
    <row r="223">
      <c r="A223" s="32" t="n">
        <v>45352</v>
      </c>
      <c r="B223" s="33" t="n">
        <v>4100</v>
      </c>
      <c r="C223" s="34" t="inlineStr">
        <is>
          <t>Huur bedrijfspand</t>
        </is>
      </c>
      <c r="D223" s="34" t="inlineStr">
        <is>
          <t>Huisvesting</t>
        </is>
      </c>
      <c r="E223" s="34" t="inlineStr">
        <is>
          <t>Algemeen</t>
        </is>
      </c>
      <c r="F223" s="34" t="inlineStr"/>
      <c r="G223" s="35" t="n">
        <v>5808</v>
      </c>
      <c r="H223" s="35" t="n">
        <v>0</v>
      </c>
      <c r="I223" s="35">
        <f>G223-H223</f>
        <v/>
      </c>
      <c r="J223" s="33" t="n">
        <v>2024</v>
      </c>
      <c r="K223" s="33" t="n">
        <v>3</v>
      </c>
      <c r="L223" s="34" t="inlineStr">
        <is>
          <t>Winst- en verliesrekening</t>
        </is>
      </c>
      <c r="M223" s="34" t="inlineStr">
        <is>
          <t>Huisvestingskosten</t>
        </is>
      </c>
      <c r="N223" s="34" t="inlineStr">
        <is>
          <t>Huur</t>
        </is>
      </c>
      <c r="O223" s="36">
        <f>IFERROR(INDEX('Mapping'!$F$2:$F$60,MATCH(B223,'Mapping'!$A$2:$A$60,0)),"")</f>
        <v/>
      </c>
    </row>
    <row r="224">
      <c r="A224" s="32" t="n">
        <v>45383</v>
      </c>
      <c r="B224" s="33" t="n">
        <v>4100</v>
      </c>
      <c r="C224" s="34" t="inlineStr">
        <is>
          <t>Huur bedrijfspand</t>
        </is>
      </c>
      <c r="D224" s="34" t="inlineStr">
        <is>
          <t>Huisvesting</t>
        </is>
      </c>
      <c r="E224" s="34" t="inlineStr">
        <is>
          <t>Algemeen</t>
        </is>
      </c>
      <c r="F224" s="34" t="inlineStr"/>
      <c r="G224" s="35" t="n">
        <v>5412</v>
      </c>
      <c r="H224" s="35" t="n">
        <v>0</v>
      </c>
      <c r="I224" s="35">
        <f>G224-H224</f>
        <v/>
      </c>
      <c r="J224" s="33" t="n">
        <v>2024</v>
      </c>
      <c r="K224" s="33" t="n">
        <v>4</v>
      </c>
      <c r="L224" s="34" t="inlineStr">
        <is>
          <t>Winst- en verliesrekening</t>
        </is>
      </c>
      <c r="M224" s="34" t="inlineStr">
        <is>
          <t>Huisvestingskosten</t>
        </is>
      </c>
      <c r="N224" s="34" t="inlineStr">
        <is>
          <t>Huur</t>
        </is>
      </c>
      <c r="O224" s="36">
        <f>IFERROR(INDEX('Mapping'!$F$2:$F$60,MATCH(B224,'Mapping'!$A$2:$A$60,0)),"")</f>
        <v/>
      </c>
    </row>
    <row r="225">
      <c r="A225" s="32" t="n">
        <v>45413</v>
      </c>
      <c r="B225" s="33" t="n">
        <v>4100</v>
      </c>
      <c r="C225" s="34" t="inlineStr">
        <is>
          <t>Huur bedrijfspand</t>
        </is>
      </c>
      <c r="D225" s="34" t="inlineStr">
        <is>
          <t>Huisvesting</t>
        </is>
      </c>
      <c r="E225" s="34" t="inlineStr">
        <is>
          <t>Algemeen</t>
        </is>
      </c>
      <c r="F225" s="34" t="inlineStr"/>
      <c r="G225" s="35" t="n">
        <v>5676</v>
      </c>
      <c r="H225" s="35" t="n">
        <v>0</v>
      </c>
      <c r="I225" s="35">
        <f>G225-H225</f>
        <v/>
      </c>
      <c r="J225" s="33" t="n">
        <v>2024</v>
      </c>
      <c r="K225" s="33" t="n">
        <v>5</v>
      </c>
      <c r="L225" s="34" t="inlineStr">
        <is>
          <t>Winst- en verliesrekening</t>
        </is>
      </c>
      <c r="M225" s="34" t="inlineStr">
        <is>
          <t>Huisvestingskosten</t>
        </is>
      </c>
      <c r="N225" s="34" t="inlineStr">
        <is>
          <t>Huur</t>
        </is>
      </c>
      <c r="O225" s="36">
        <f>IFERROR(INDEX('Mapping'!$F$2:$F$60,MATCH(B225,'Mapping'!$A$2:$A$60,0)),"")</f>
        <v/>
      </c>
    </row>
    <row r="226">
      <c r="A226" s="32" t="n">
        <v>45444</v>
      </c>
      <c r="B226" s="33" t="n">
        <v>4100</v>
      </c>
      <c r="C226" s="34" t="inlineStr">
        <is>
          <t>Huur bedrijfspand</t>
        </is>
      </c>
      <c r="D226" s="34" t="inlineStr">
        <is>
          <t>Huisvesting</t>
        </is>
      </c>
      <c r="E226" s="34" t="inlineStr">
        <is>
          <t>Algemeen</t>
        </is>
      </c>
      <c r="F226" s="34" t="inlineStr"/>
      <c r="G226" s="35" t="n">
        <v>5940</v>
      </c>
      <c r="H226" s="35" t="n">
        <v>0</v>
      </c>
      <c r="I226" s="35">
        <f>G226-H226</f>
        <v/>
      </c>
      <c r="J226" s="33" t="n">
        <v>2024</v>
      </c>
      <c r="K226" s="33" t="n">
        <v>6</v>
      </c>
      <c r="L226" s="34" t="inlineStr">
        <is>
          <t>Winst- en verliesrekening</t>
        </is>
      </c>
      <c r="M226" s="34" t="inlineStr">
        <is>
          <t>Huisvestingskosten</t>
        </is>
      </c>
      <c r="N226" s="34" t="inlineStr">
        <is>
          <t>Huur</t>
        </is>
      </c>
      <c r="O226" s="36">
        <f>IFERROR(INDEX('Mapping'!$F$2:$F$60,MATCH(B226,'Mapping'!$A$2:$A$60,0)),"")</f>
        <v/>
      </c>
    </row>
    <row r="227">
      <c r="A227" s="32" t="n">
        <v>45474</v>
      </c>
      <c r="B227" s="33" t="n">
        <v>4100</v>
      </c>
      <c r="C227" s="34" t="inlineStr">
        <is>
          <t>Huur bedrijfspand</t>
        </is>
      </c>
      <c r="D227" s="34" t="inlineStr">
        <is>
          <t>Huisvesting</t>
        </is>
      </c>
      <c r="E227" s="34" t="inlineStr">
        <is>
          <t>Algemeen</t>
        </is>
      </c>
      <c r="F227" s="34" t="inlineStr"/>
      <c r="G227" s="35" t="n">
        <v>5016</v>
      </c>
      <c r="H227" s="35" t="n">
        <v>0</v>
      </c>
      <c r="I227" s="35">
        <f>G227-H227</f>
        <v/>
      </c>
      <c r="J227" s="33" t="n">
        <v>2024</v>
      </c>
      <c r="K227" s="33" t="n">
        <v>7</v>
      </c>
      <c r="L227" s="34" t="inlineStr">
        <is>
          <t>Winst- en verliesrekening</t>
        </is>
      </c>
      <c r="M227" s="34" t="inlineStr">
        <is>
          <t>Huisvestingskosten</t>
        </is>
      </c>
      <c r="N227" s="34" t="inlineStr">
        <is>
          <t>Huur</t>
        </is>
      </c>
      <c r="O227" s="36">
        <f>IFERROR(INDEX('Mapping'!$F$2:$F$60,MATCH(B227,'Mapping'!$A$2:$A$60,0)),"")</f>
        <v/>
      </c>
    </row>
    <row r="228">
      <c r="A228" s="32" t="n">
        <v>45505</v>
      </c>
      <c r="B228" s="33" t="n">
        <v>4100</v>
      </c>
      <c r="C228" s="34" t="inlineStr">
        <is>
          <t>Huur bedrijfspand</t>
        </is>
      </c>
      <c r="D228" s="34" t="inlineStr">
        <is>
          <t>Huisvesting</t>
        </is>
      </c>
      <c r="E228" s="34" t="inlineStr">
        <is>
          <t>Algemeen</t>
        </is>
      </c>
      <c r="F228" s="34" t="inlineStr"/>
      <c r="G228" s="35" t="n">
        <v>4620</v>
      </c>
      <c r="H228" s="35" t="n">
        <v>0</v>
      </c>
      <c r="I228" s="35">
        <f>G228-H228</f>
        <v/>
      </c>
      <c r="J228" s="33" t="n">
        <v>2024</v>
      </c>
      <c r="K228" s="33" t="n">
        <v>8</v>
      </c>
      <c r="L228" s="34" t="inlineStr">
        <is>
          <t>Winst- en verliesrekening</t>
        </is>
      </c>
      <c r="M228" s="34" t="inlineStr">
        <is>
          <t>Huisvestingskosten</t>
        </is>
      </c>
      <c r="N228" s="34" t="inlineStr">
        <is>
          <t>Huur</t>
        </is>
      </c>
      <c r="O228" s="36">
        <f>IFERROR(INDEX('Mapping'!$F$2:$F$60,MATCH(B228,'Mapping'!$A$2:$A$60,0)),"")</f>
        <v/>
      </c>
    </row>
    <row r="229">
      <c r="A229" s="32" t="n">
        <v>45536</v>
      </c>
      <c r="B229" s="33" t="n">
        <v>4100</v>
      </c>
      <c r="C229" s="34" t="inlineStr">
        <is>
          <t>Huur bedrijfspand</t>
        </is>
      </c>
      <c r="D229" s="34" t="inlineStr">
        <is>
          <t>Huisvesting</t>
        </is>
      </c>
      <c r="E229" s="34" t="inlineStr">
        <is>
          <t>Algemeen</t>
        </is>
      </c>
      <c r="F229" s="34" t="inlineStr"/>
      <c r="G229" s="35" t="n">
        <v>5808</v>
      </c>
      <c r="H229" s="35" t="n">
        <v>0</v>
      </c>
      <c r="I229" s="35">
        <f>G229-H229</f>
        <v/>
      </c>
      <c r="J229" s="33" t="n">
        <v>2024</v>
      </c>
      <c r="K229" s="33" t="n">
        <v>9</v>
      </c>
      <c r="L229" s="34" t="inlineStr">
        <is>
          <t>Winst- en verliesrekening</t>
        </is>
      </c>
      <c r="M229" s="34" t="inlineStr">
        <is>
          <t>Huisvestingskosten</t>
        </is>
      </c>
      <c r="N229" s="34" t="inlineStr">
        <is>
          <t>Huur</t>
        </is>
      </c>
      <c r="O229" s="36">
        <f>IFERROR(INDEX('Mapping'!$F$2:$F$60,MATCH(B229,'Mapping'!$A$2:$A$60,0)),"")</f>
        <v/>
      </c>
    </row>
    <row r="230">
      <c r="A230" s="32" t="n">
        <v>45566</v>
      </c>
      <c r="B230" s="33" t="n">
        <v>4100</v>
      </c>
      <c r="C230" s="34" t="inlineStr">
        <is>
          <t>Huur bedrijfspand</t>
        </is>
      </c>
      <c r="D230" s="34" t="inlineStr">
        <is>
          <t>Huisvesting</t>
        </is>
      </c>
      <c r="E230" s="34" t="inlineStr">
        <is>
          <t>Algemeen</t>
        </is>
      </c>
      <c r="F230" s="34" t="inlineStr"/>
      <c r="G230" s="35" t="n">
        <v>5940</v>
      </c>
      <c r="H230" s="35" t="n">
        <v>0</v>
      </c>
      <c r="I230" s="35">
        <f>G230-H230</f>
        <v/>
      </c>
      <c r="J230" s="33" t="n">
        <v>2024</v>
      </c>
      <c r="K230" s="33" t="n">
        <v>10</v>
      </c>
      <c r="L230" s="34" t="inlineStr">
        <is>
          <t>Winst- en verliesrekening</t>
        </is>
      </c>
      <c r="M230" s="34" t="inlineStr">
        <is>
          <t>Huisvestingskosten</t>
        </is>
      </c>
      <c r="N230" s="34" t="inlineStr">
        <is>
          <t>Huur</t>
        </is>
      </c>
      <c r="O230" s="36">
        <f>IFERROR(INDEX('Mapping'!$F$2:$F$60,MATCH(B230,'Mapping'!$A$2:$A$60,0)),"")</f>
        <v/>
      </c>
    </row>
    <row r="231">
      <c r="A231" s="32" t="n">
        <v>45597</v>
      </c>
      <c r="B231" s="33" t="n">
        <v>4100</v>
      </c>
      <c r="C231" s="34" t="inlineStr">
        <is>
          <t>Huur bedrijfspand</t>
        </is>
      </c>
      <c r="D231" s="34" t="inlineStr">
        <is>
          <t>Huisvesting</t>
        </is>
      </c>
      <c r="E231" s="34" t="inlineStr">
        <is>
          <t>Algemeen</t>
        </is>
      </c>
      <c r="F231" s="34" t="inlineStr"/>
      <c r="G231" s="35" t="n">
        <v>5676</v>
      </c>
      <c r="H231" s="35" t="n">
        <v>0</v>
      </c>
      <c r="I231" s="35">
        <f>G231-H231</f>
        <v/>
      </c>
      <c r="J231" s="33" t="n">
        <v>2024</v>
      </c>
      <c r="K231" s="33" t="n">
        <v>11</v>
      </c>
      <c r="L231" s="34" t="inlineStr">
        <is>
          <t>Winst- en verliesrekening</t>
        </is>
      </c>
      <c r="M231" s="34" t="inlineStr">
        <is>
          <t>Huisvestingskosten</t>
        </is>
      </c>
      <c r="N231" s="34" t="inlineStr">
        <is>
          <t>Huur</t>
        </is>
      </c>
      <c r="O231" s="36">
        <f>IFERROR(INDEX('Mapping'!$F$2:$F$60,MATCH(B231,'Mapping'!$A$2:$A$60,0)),"")</f>
        <v/>
      </c>
    </row>
    <row r="232">
      <c r="A232" s="32" t="n">
        <v>45627</v>
      </c>
      <c r="B232" s="33" t="n">
        <v>4100</v>
      </c>
      <c r="C232" s="34" t="inlineStr">
        <is>
          <t>Huur bedrijfspand</t>
        </is>
      </c>
      <c r="D232" s="34" t="inlineStr">
        <is>
          <t>Huisvesting</t>
        </is>
      </c>
      <c r="E232" s="34" t="inlineStr">
        <is>
          <t>Algemeen</t>
        </is>
      </c>
      <c r="F232" s="34" t="inlineStr"/>
      <c r="G232" s="35" t="n">
        <v>6864</v>
      </c>
      <c r="H232" s="35" t="n">
        <v>0</v>
      </c>
      <c r="I232" s="35">
        <f>G232-H232</f>
        <v/>
      </c>
      <c r="J232" s="33" t="n">
        <v>2024</v>
      </c>
      <c r="K232" s="33" t="n">
        <v>12</v>
      </c>
      <c r="L232" s="34" t="inlineStr">
        <is>
          <t>Winst- en verliesrekening</t>
        </is>
      </c>
      <c r="M232" s="34" t="inlineStr">
        <is>
          <t>Huisvestingskosten</t>
        </is>
      </c>
      <c r="N232" s="34" t="inlineStr">
        <is>
          <t>Huur</t>
        </is>
      </c>
      <c r="O232" s="36">
        <f>IFERROR(INDEX('Mapping'!$F$2:$F$60,MATCH(B232,'Mapping'!$A$2:$A$60,0)),"")</f>
        <v/>
      </c>
    </row>
    <row r="233">
      <c r="A233" s="32" t="n">
        <v>45658</v>
      </c>
      <c r="B233" s="33" t="n">
        <v>4100</v>
      </c>
      <c r="C233" s="34" t="inlineStr">
        <is>
          <t>Huur bedrijfspand</t>
        </is>
      </c>
      <c r="D233" s="34" t="inlineStr">
        <is>
          <t>Huisvesting</t>
        </is>
      </c>
      <c r="E233" s="34" t="inlineStr">
        <is>
          <t>Algemeen</t>
        </is>
      </c>
      <c r="F233" s="34" t="inlineStr"/>
      <c r="G233" s="35" t="n">
        <v>4760</v>
      </c>
      <c r="H233" s="35" t="n">
        <v>0</v>
      </c>
      <c r="I233" s="35">
        <f>G233-H233</f>
        <v/>
      </c>
      <c r="J233" s="33" t="n">
        <v>2025</v>
      </c>
      <c r="K233" s="33" t="n">
        <v>1</v>
      </c>
      <c r="L233" s="34" t="inlineStr">
        <is>
          <t>Winst- en verliesrekening</t>
        </is>
      </c>
      <c r="M233" s="34" t="inlineStr">
        <is>
          <t>Huisvestingskosten</t>
        </is>
      </c>
      <c r="N233" s="34" t="inlineStr">
        <is>
          <t>Huur</t>
        </is>
      </c>
      <c r="O233" s="36">
        <f>IFERROR(INDEX('Mapping'!$F$2:$F$60,MATCH(B233,'Mapping'!$A$2:$A$60,0)),"")</f>
        <v/>
      </c>
    </row>
    <row r="234">
      <c r="A234" s="32" t="n">
        <v>45689</v>
      </c>
      <c r="B234" s="33" t="n">
        <v>4100</v>
      </c>
      <c r="C234" s="34" t="inlineStr">
        <is>
          <t>Huur bedrijfspand</t>
        </is>
      </c>
      <c r="D234" s="34" t="inlineStr">
        <is>
          <t>Huisvesting</t>
        </is>
      </c>
      <c r="E234" s="34" t="inlineStr">
        <is>
          <t>Algemeen</t>
        </is>
      </c>
      <c r="F234" s="34" t="inlineStr"/>
      <c r="G234" s="35" t="n">
        <v>4760</v>
      </c>
      <c r="H234" s="35" t="n">
        <v>0</v>
      </c>
      <c r="I234" s="35">
        <f>G234-H234</f>
        <v/>
      </c>
      <c r="J234" s="33" t="n">
        <v>2025</v>
      </c>
      <c r="K234" s="33" t="n">
        <v>2</v>
      </c>
      <c r="L234" s="34" t="inlineStr">
        <is>
          <t>Winst- en verliesrekening</t>
        </is>
      </c>
      <c r="M234" s="34" t="inlineStr">
        <is>
          <t>Huisvestingskosten</t>
        </is>
      </c>
      <c r="N234" s="34" t="inlineStr">
        <is>
          <t>Huur</t>
        </is>
      </c>
      <c r="O234" s="36">
        <f>IFERROR(INDEX('Mapping'!$F$2:$F$60,MATCH(B234,'Mapping'!$A$2:$A$60,0)),"")</f>
        <v/>
      </c>
    </row>
    <row r="235">
      <c r="A235" s="32" t="n">
        <v>45717</v>
      </c>
      <c r="B235" s="33" t="n">
        <v>4100</v>
      </c>
      <c r="C235" s="34" t="inlineStr">
        <is>
          <t>Huur bedrijfspand</t>
        </is>
      </c>
      <c r="D235" s="34" t="inlineStr">
        <is>
          <t>Huisvesting</t>
        </is>
      </c>
      <c r="E235" s="34" t="inlineStr">
        <is>
          <t>Algemeen</t>
        </is>
      </c>
      <c r="F235" s="34" t="inlineStr"/>
      <c r="G235" s="35" t="n">
        <v>5984</v>
      </c>
      <c r="H235" s="35" t="n">
        <v>0</v>
      </c>
      <c r="I235" s="35">
        <f>G235-H235</f>
        <v/>
      </c>
      <c r="J235" s="33" t="n">
        <v>2025</v>
      </c>
      <c r="K235" s="33" t="n">
        <v>3</v>
      </c>
      <c r="L235" s="34" t="inlineStr">
        <is>
          <t>Winst- en verliesrekening</t>
        </is>
      </c>
      <c r="M235" s="34" t="inlineStr">
        <is>
          <t>Huisvestingskosten</t>
        </is>
      </c>
      <c r="N235" s="34" t="inlineStr">
        <is>
          <t>Huur</t>
        </is>
      </c>
      <c r="O235" s="36">
        <f>IFERROR(INDEX('Mapping'!$F$2:$F$60,MATCH(B235,'Mapping'!$A$2:$A$60,0)),"")</f>
        <v/>
      </c>
    </row>
    <row r="236">
      <c r="A236" s="32" t="n">
        <v>45748</v>
      </c>
      <c r="B236" s="33" t="n">
        <v>4100</v>
      </c>
      <c r="C236" s="34" t="inlineStr">
        <is>
          <t>Huur bedrijfspand</t>
        </is>
      </c>
      <c r="D236" s="34" t="inlineStr">
        <is>
          <t>Huisvesting</t>
        </is>
      </c>
      <c r="E236" s="34" t="inlineStr">
        <is>
          <t>Algemeen</t>
        </is>
      </c>
      <c r="F236" s="34" t="inlineStr"/>
      <c r="G236" s="35" t="n">
        <v>5576</v>
      </c>
      <c r="H236" s="35" t="n">
        <v>0</v>
      </c>
      <c r="I236" s="35">
        <f>G236-H236</f>
        <v/>
      </c>
      <c r="J236" s="33" t="n">
        <v>2025</v>
      </c>
      <c r="K236" s="33" t="n">
        <v>4</v>
      </c>
      <c r="L236" s="34" t="inlineStr">
        <is>
          <t>Winst- en verliesrekening</t>
        </is>
      </c>
      <c r="M236" s="34" t="inlineStr">
        <is>
          <t>Huisvestingskosten</t>
        </is>
      </c>
      <c r="N236" s="34" t="inlineStr">
        <is>
          <t>Huur</t>
        </is>
      </c>
      <c r="O236" s="36">
        <f>IFERROR(INDEX('Mapping'!$F$2:$F$60,MATCH(B236,'Mapping'!$A$2:$A$60,0)),"")</f>
        <v/>
      </c>
    </row>
    <row r="237">
      <c r="A237" s="32" t="n">
        <v>45778</v>
      </c>
      <c r="B237" s="33" t="n">
        <v>4100</v>
      </c>
      <c r="C237" s="34" t="inlineStr">
        <is>
          <t>Huur bedrijfspand</t>
        </is>
      </c>
      <c r="D237" s="34" t="inlineStr">
        <is>
          <t>Huisvesting</t>
        </is>
      </c>
      <c r="E237" s="34" t="inlineStr">
        <is>
          <t>Algemeen</t>
        </is>
      </c>
      <c r="F237" s="34" t="inlineStr"/>
      <c r="G237" s="35" t="n">
        <v>5848</v>
      </c>
      <c r="H237" s="35" t="n">
        <v>0</v>
      </c>
      <c r="I237" s="35">
        <f>G237-H237</f>
        <v/>
      </c>
      <c r="J237" s="33" t="n">
        <v>2025</v>
      </c>
      <c r="K237" s="33" t="n">
        <v>5</v>
      </c>
      <c r="L237" s="34" t="inlineStr">
        <is>
          <t>Winst- en verliesrekening</t>
        </is>
      </c>
      <c r="M237" s="34" t="inlineStr">
        <is>
          <t>Huisvestingskosten</t>
        </is>
      </c>
      <c r="N237" s="34" t="inlineStr">
        <is>
          <t>Huur</t>
        </is>
      </c>
      <c r="O237" s="36">
        <f>IFERROR(INDEX('Mapping'!$F$2:$F$60,MATCH(B237,'Mapping'!$A$2:$A$60,0)),"")</f>
        <v/>
      </c>
    </row>
    <row r="238">
      <c r="A238" s="32" t="n">
        <v>45809</v>
      </c>
      <c r="B238" s="33" t="n">
        <v>4100</v>
      </c>
      <c r="C238" s="34" t="inlineStr">
        <is>
          <t>Huur bedrijfspand</t>
        </is>
      </c>
      <c r="D238" s="34" t="inlineStr">
        <is>
          <t>Huisvesting</t>
        </is>
      </c>
      <c r="E238" s="34" t="inlineStr">
        <is>
          <t>Algemeen</t>
        </is>
      </c>
      <c r="F238" s="34" t="inlineStr"/>
      <c r="G238" s="35" t="n">
        <v>6120</v>
      </c>
      <c r="H238" s="35" t="n">
        <v>0</v>
      </c>
      <c r="I238" s="35">
        <f>G238-H238</f>
        <v/>
      </c>
      <c r="J238" s="33" t="n">
        <v>2025</v>
      </c>
      <c r="K238" s="33" t="n">
        <v>6</v>
      </c>
      <c r="L238" s="34" t="inlineStr">
        <is>
          <t>Winst- en verliesrekening</t>
        </is>
      </c>
      <c r="M238" s="34" t="inlineStr">
        <is>
          <t>Huisvestingskosten</t>
        </is>
      </c>
      <c r="N238" s="34" t="inlineStr">
        <is>
          <t>Huur</t>
        </is>
      </c>
      <c r="O238" s="36">
        <f>IFERROR(INDEX('Mapping'!$F$2:$F$60,MATCH(B238,'Mapping'!$A$2:$A$60,0)),"")</f>
        <v/>
      </c>
    </row>
    <row r="239">
      <c r="A239" s="32" t="n">
        <v>45839</v>
      </c>
      <c r="B239" s="33" t="n">
        <v>4100</v>
      </c>
      <c r="C239" s="34" t="inlineStr">
        <is>
          <t>Huur bedrijfspand</t>
        </is>
      </c>
      <c r="D239" s="34" t="inlineStr">
        <is>
          <t>Huisvesting</t>
        </is>
      </c>
      <c r="E239" s="34" t="inlineStr">
        <is>
          <t>Algemeen</t>
        </is>
      </c>
      <c r="F239" s="34" t="inlineStr"/>
      <c r="G239" s="35" t="n">
        <v>5168</v>
      </c>
      <c r="H239" s="35" t="n">
        <v>0</v>
      </c>
      <c r="I239" s="35">
        <f>G239-H239</f>
        <v/>
      </c>
      <c r="J239" s="33" t="n">
        <v>2025</v>
      </c>
      <c r="K239" s="33" t="n">
        <v>7</v>
      </c>
      <c r="L239" s="34" t="inlineStr">
        <is>
          <t>Winst- en verliesrekening</t>
        </is>
      </c>
      <c r="M239" s="34" t="inlineStr">
        <is>
          <t>Huisvestingskosten</t>
        </is>
      </c>
      <c r="N239" s="34" t="inlineStr">
        <is>
          <t>Huur</t>
        </is>
      </c>
      <c r="O239" s="36">
        <f>IFERROR(INDEX('Mapping'!$F$2:$F$60,MATCH(B239,'Mapping'!$A$2:$A$60,0)),"")</f>
        <v/>
      </c>
    </row>
    <row r="240">
      <c r="A240" s="32" t="n">
        <v>45870</v>
      </c>
      <c r="B240" s="33" t="n">
        <v>4100</v>
      </c>
      <c r="C240" s="34" t="inlineStr">
        <is>
          <t>Huur bedrijfspand</t>
        </is>
      </c>
      <c r="D240" s="34" t="inlineStr">
        <is>
          <t>Huisvesting</t>
        </is>
      </c>
      <c r="E240" s="34" t="inlineStr">
        <is>
          <t>Algemeen</t>
        </is>
      </c>
      <c r="F240" s="34" t="inlineStr"/>
      <c r="G240" s="35" t="n">
        <v>4760</v>
      </c>
      <c r="H240" s="35" t="n">
        <v>0</v>
      </c>
      <c r="I240" s="35">
        <f>G240-H240</f>
        <v/>
      </c>
      <c r="J240" s="33" t="n">
        <v>2025</v>
      </c>
      <c r="K240" s="33" t="n">
        <v>8</v>
      </c>
      <c r="L240" s="34" t="inlineStr">
        <is>
          <t>Winst- en verliesrekening</t>
        </is>
      </c>
      <c r="M240" s="34" t="inlineStr">
        <is>
          <t>Huisvestingskosten</t>
        </is>
      </c>
      <c r="N240" s="34" t="inlineStr">
        <is>
          <t>Huur</t>
        </is>
      </c>
      <c r="O240" s="36">
        <f>IFERROR(INDEX('Mapping'!$F$2:$F$60,MATCH(B240,'Mapping'!$A$2:$A$60,0)),"")</f>
        <v/>
      </c>
    </row>
    <row r="241">
      <c r="A241" s="32" t="n">
        <v>45901</v>
      </c>
      <c r="B241" s="33" t="n">
        <v>4100</v>
      </c>
      <c r="C241" s="34" t="inlineStr">
        <is>
          <t>Huur bedrijfspand</t>
        </is>
      </c>
      <c r="D241" s="34" t="inlineStr">
        <is>
          <t>Huisvesting</t>
        </is>
      </c>
      <c r="E241" s="34" t="inlineStr">
        <is>
          <t>Algemeen</t>
        </is>
      </c>
      <c r="F241" s="34" t="inlineStr"/>
      <c r="G241" s="35" t="n">
        <v>5984</v>
      </c>
      <c r="H241" s="35" t="n">
        <v>0</v>
      </c>
      <c r="I241" s="35">
        <f>G241-H241</f>
        <v/>
      </c>
      <c r="J241" s="33" t="n">
        <v>2025</v>
      </c>
      <c r="K241" s="33" t="n">
        <v>9</v>
      </c>
      <c r="L241" s="34" t="inlineStr">
        <is>
          <t>Winst- en verliesrekening</t>
        </is>
      </c>
      <c r="M241" s="34" t="inlineStr">
        <is>
          <t>Huisvestingskosten</t>
        </is>
      </c>
      <c r="N241" s="34" t="inlineStr">
        <is>
          <t>Huur</t>
        </is>
      </c>
      <c r="O241" s="36">
        <f>IFERROR(INDEX('Mapping'!$F$2:$F$60,MATCH(B241,'Mapping'!$A$2:$A$60,0)),"")</f>
        <v/>
      </c>
    </row>
    <row r="242">
      <c r="A242" s="32" t="n">
        <v>45931</v>
      </c>
      <c r="B242" s="33" t="n">
        <v>4100</v>
      </c>
      <c r="C242" s="34" t="inlineStr">
        <is>
          <t>Huur bedrijfspand</t>
        </is>
      </c>
      <c r="D242" s="34" t="inlineStr">
        <is>
          <t>Huisvesting</t>
        </is>
      </c>
      <c r="E242" s="34" t="inlineStr">
        <is>
          <t>Algemeen</t>
        </is>
      </c>
      <c r="F242" s="34" t="inlineStr"/>
      <c r="G242" s="35" t="n">
        <v>6120</v>
      </c>
      <c r="H242" s="35" t="n">
        <v>0</v>
      </c>
      <c r="I242" s="35">
        <f>G242-H242</f>
        <v/>
      </c>
      <c r="J242" s="33" t="n">
        <v>2025</v>
      </c>
      <c r="K242" s="33" t="n">
        <v>10</v>
      </c>
      <c r="L242" s="34" t="inlineStr">
        <is>
          <t>Winst- en verliesrekening</t>
        </is>
      </c>
      <c r="M242" s="34" t="inlineStr">
        <is>
          <t>Huisvestingskosten</t>
        </is>
      </c>
      <c r="N242" s="34" t="inlineStr">
        <is>
          <t>Huur</t>
        </is>
      </c>
      <c r="O242" s="36">
        <f>IFERROR(INDEX('Mapping'!$F$2:$F$60,MATCH(B242,'Mapping'!$A$2:$A$60,0)),"")</f>
        <v/>
      </c>
    </row>
    <row r="243">
      <c r="A243" s="32" t="n">
        <v>45962</v>
      </c>
      <c r="B243" s="33" t="n">
        <v>4100</v>
      </c>
      <c r="C243" s="34" t="inlineStr">
        <is>
          <t>Huur bedrijfspand</t>
        </is>
      </c>
      <c r="D243" s="34" t="inlineStr">
        <is>
          <t>Huisvesting</t>
        </is>
      </c>
      <c r="E243" s="34" t="inlineStr">
        <is>
          <t>Algemeen</t>
        </is>
      </c>
      <c r="F243" s="34" t="inlineStr"/>
      <c r="G243" s="35" t="n">
        <v>5848</v>
      </c>
      <c r="H243" s="35" t="n">
        <v>0</v>
      </c>
      <c r="I243" s="35">
        <f>G243-H243</f>
        <v/>
      </c>
      <c r="J243" s="33" t="n">
        <v>2025</v>
      </c>
      <c r="K243" s="33" t="n">
        <v>11</v>
      </c>
      <c r="L243" s="34" t="inlineStr">
        <is>
          <t>Winst- en verliesrekening</t>
        </is>
      </c>
      <c r="M243" s="34" t="inlineStr">
        <is>
          <t>Huisvestingskosten</t>
        </is>
      </c>
      <c r="N243" s="34" t="inlineStr">
        <is>
          <t>Huur</t>
        </is>
      </c>
      <c r="O243" s="36">
        <f>IFERROR(INDEX('Mapping'!$F$2:$F$60,MATCH(B243,'Mapping'!$A$2:$A$60,0)),"")</f>
        <v/>
      </c>
    </row>
    <row r="244">
      <c r="A244" s="32" t="n">
        <v>45992</v>
      </c>
      <c r="B244" s="33" t="n">
        <v>4100</v>
      </c>
      <c r="C244" s="34" t="inlineStr">
        <is>
          <t>Huur bedrijfspand</t>
        </is>
      </c>
      <c r="D244" s="34" t="inlineStr">
        <is>
          <t>Huisvesting</t>
        </is>
      </c>
      <c r="E244" s="34" t="inlineStr">
        <is>
          <t>Algemeen</t>
        </is>
      </c>
      <c r="F244" s="34" t="inlineStr"/>
      <c r="G244" s="35" t="n">
        <v>7072</v>
      </c>
      <c r="H244" s="35" t="n">
        <v>0</v>
      </c>
      <c r="I244" s="35">
        <f>G244-H244</f>
        <v/>
      </c>
      <c r="J244" s="33" t="n">
        <v>2025</v>
      </c>
      <c r="K244" s="33" t="n">
        <v>12</v>
      </c>
      <c r="L244" s="34" t="inlineStr">
        <is>
          <t>Winst- en verliesrekening</t>
        </is>
      </c>
      <c r="M244" s="34" t="inlineStr">
        <is>
          <t>Huisvestingskosten</t>
        </is>
      </c>
      <c r="N244" s="34" t="inlineStr">
        <is>
          <t>Huur</t>
        </is>
      </c>
      <c r="O244" s="36">
        <f>IFERROR(INDEX('Mapping'!$F$2:$F$60,MATCH(B244,'Mapping'!$A$2:$A$60,0)),"")</f>
        <v/>
      </c>
    </row>
    <row r="245">
      <c r="A245" s="32" t="n">
        <v>45292</v>
      </c>
      <c r="B245" s="33" t="n">
        <v>4110</v>
      </c>
      <c r="C245" s="34" t="inlineStr">
        <is>
          <t>Energie en water</t>
        </is>
      </c>
      <c r="D245" s="34" t="inlineStr">
        <is>
          <t>Huisvesting</t>
        </is>
      </c>
      <c r="E245" s="34" t="inlineStr">
        <is>
          <t>Algemeen</t>
        </is>
      </c>
      <c r="F245" s="34" t="inlineStr"/>
      <c r="G245" s="35" t="n">
        <v>1260</v>
      </c>
      <c r="H245" s="35" t="n">
        <v>0</v>
      </c>
      <c r="I245" s="35">
        <f>G245-H245</f>
        <v/>
      </c>
      <c r="J245" s="33" t="n">
        <v>2024</v>
      </c>
      <c r="K245" s="33" t="n">
        <v>1</v>
      </c>
      <c r="L245" s="34" t="inlineStr">
        <is>
          <t>Winst- en verliesrekening</t>
        </is>
      </c>
      <c r="M245" s="34" t="inlineStr">
        <is>
          <t>Huisvestingskosten</t>
        </is>
      </c>
      <c r="N245" s="34" t="inlineStr">
        <is>
          <t>Energie</t>
        </is>
      </c>
      <c r="O245" s="36">
        <f>IFERROR(INDEX('Mapping'!$F$2:$F$60,MATCH(B245,'Mapping'!$A$2:$A$60,0)),"")</f>
        <v/>
      </c>
    </row>
    <row r="246">
      <c r="A246" s="32" t="n">
        <v>45323</v>
      </c>
      <c r="B246" s="33" t="n">
        <v>4110</v>
      </c>
      <c r="C246" s="34" t="inlineStr">
        <is>
          <t>Energie en water</t>
        </is>
      </c>
      <c r="D246" s="34" t="inlineStr">
        <is>
          <t>Huisvesting</t>
        </is>
      </c>
      <c r="E246" s="34" t="inlineStr">
        <is>
          <t>Algemeen</t>
        </is>
      </c>
      <c r="F246" s="34" t="inlineStr"/>
      <c r="G246" s="35" t="n">
        <v>1260</v>
      </c>
      <c r="H246" s="35" t="n">
        <v>0</v>
      </c>
      <c r="I246" s="35">
        <f>G246-H246</f>
        <v/>
      </c>
      <c r="J246" s="33" t="n">
        <v>2024</v>
      </c>
      <c r="K246" s="33" t="n">
        <v>2</v>
      </c>
      <c r="L246" s="34" t="inlineStr">
        <is>
          <t>Winst- en verliesrekening</t>
        </is>
      </c>
      <c r="M246" s="34" t="inlineStr">
        <is>
          <t>Huisvestingskosten</t>
        </is>
      </c>
      <c r="N246" s="34" t="inlineStr">
        <is>
          <t>Energie</t>
        </is>
      </c>
      <c r="O246" s="36">
        <f>IFERROR(INDEX('Mapping'!$F$2:$F$60,MATCH(B246,'Mapping'!$A$2:$A$60,0)),"")</f>
        <v/>
      </c>
    </row>
    <row r="247">
      <c r="A247" s="32" t="n">
        <v>45352</v>
      </c>
      <c r="B247" s="33" t="n">
        <v>4110</v>
      </c>
      <c r="C247" s="34" t="inlineStr">
        <is>
          <t>Energie en water</t>
        </is>
      </c>
      <c r="D247" s="34" t="inlineStr">
        <is>
          <t>Huisvesting</t>
        </is>
      </c>
      <c r="E247" s="34" t="inlineStr">
        <is>
          <t>Algemeen</t>
        </is>
      </c>
      <c r="F247" s="34" t="inlineStr"/>
      <c r="G247" s="35" t="n">
        <v>1584</v>
      </c>
      <c r="H247" s="35" t="n">
        <v>0</v>
      </c>
      <c r="I247" s="35">
        <f>G247-H247</f>
        <v/>
      </c>
      <c r="J247" s="33" t="n">
        <v>2024</v>
      </c>
      <c r="K247" s="33" t="n">
        <v>3</v>
      </c>
      <c r="L247" s="34" t="inlineStr">
        <is>
          <t>Winst- en verliesrekening</t>
        </is>
      </c>
      <c r="M247" s="34" t="inlineStr">
        <is>
          <t>Huisvestingskosten</t>
        </is>
      </c>
      <c r="N247" s="34" t="inlineStr">
        <is>
          <t>Energie</t>
        </is>
      </c>
      <c r="O247" s="36">
        <f>IFERROR(INDEX('Mapping'!$F$2:$F$60,MATCH(B247,'Mapping'!$A$2:$A$60,0)),"")</f>
        <v/>
      </c>
    </row>
    <row r="248">
      <c r="A248" s="32" t="n">
        <v>45383</v>
      </c>
      <c r="B248" s="33" t="n">
        <v>4110</v>
      </c>
      <c r="C248" s="34" t="inlineStr">
        <is>
          <t>Energie en water</t>
        </is>
      </c>
      <c r="D248" s="34" t="inlineStr">
        <is>
          <t>Huisvesting</t>
        </is>
      </c>
      <c r="E248" s="34" t="inlineStr">
        <is>
          <t>Algemeen</t>
        </is>
      </c>
      <c r="F248" s="34" t="inlineStr"/>
      <c r="G248" s="35" t="n">
        <v>1476</v>
      </c>
      <c r="H248" s="35" t="n">
        <v>0</v>
      </c>
      <c r="I248" s="35">
        <f>G248-H248</f>
        <v/>
      </c>
      <c r="J248" s="33" t="n">
        <v>2024</v>
      </c>
      <c r="K248" s="33" t="n">
        <v>4</v>
      </c>
      <c r="L248" s="34" t="inlineStr">
        <is>
          <t>Winst- en verliesrekening</t>
        </is>
      </c>
      <c r="M248" s="34" t="inlineStr">
        <is>
          <t>Huisvestingskosten</t>
        </is>
      </c>
      <c r="N248" s="34" t="inlineStr">
        <is>
          <t>Energie</t>
        </is>
      </c>
      <c r="O248" s="36">
        <f>IFERROR(INDEX('Mapping'!$F$2:$F$60,MATCH(B248,'Mapping'!$A$2:$A$60,0)),"")</f>
        <v/>
      </c>
    </row>
    <row r="249">
      <c r="A249" s="32" t="n">
        <v>45413</v>
      </c>
      <c r="B249" s="33" t="n">
        <v>4110</v>
      </c>
      <c r="C249" s="34" t="inlineStr">
        <is>
          <t>Energie en water</t>
        </is>
      </c>
      <c r="D249" s="34" t="inlineStr">
        <is>
          <t>Huisvesting</t>
        </is>
      </c>
      <c r="E249" s="34" t="inlineStr">
        <is>
          <t>Algemeen</t>
        </is>
      </c>
      <c r="F249" s="34" t="inlineStr"/>
      <c r="G249" s="35" t="n">
        <v>1548</v>
      </c>
      <c r="H249" s="35" t="n">
        <v>0</v>
      </c>
      <c r="I249" s="35">
        <f>G249-H249</f>
        <v/>
      </c>
      <c r="J249" s="33" t="n">
        <v>2024</v>
      </c>
      <c r="K249" s="33" t="n">
        <v>5</v>
      </c>
      <c r="L249" s="34" t="inlineStr">
        <is>
          <t>Winst- en verliesrekening</t>
        </is>
      </c>
      <c r="M249" s="34" t="inlineStr">
        <is>
          <t>Huisvestingskosten</t>
        </is>
      </c>
      <c r="N249" s="34" t="inlineStr">
        <is>
          <t>Energie</t>
        </is>
      </c>
      <c r="O249" s="36">
        <f>IFERROR(INDEX('Mapping'!$F$2:$F$60,MATCH(B249,'Mapping'!$A$2:$A$60,0)),"")</f>
        <v/>
      </c>
    </row>
    <row r="250">
      <c r="A250" s="32" t="n">
        <v>45444</v>
      </c>
      <c r="B250" s="33" t="n">
        <v>4110</v>
      </c>
      <c r="C250" s="34" t="inlineStr">
        <is>
          <t>Energie en water</t>
        </is>
      </c>
      <c r="D250" s="34" t="inlineStr">
        <is>
          <t>Huisvesting</t>
        </is>
      </c>
      <c r="E250" s="34" t="inlineStr">
        <is>
          <t>Algemeen</t>
        </is>
      </c>
      <c r="F250" s="34" t="inlineStr"/>
      <c r="G250" s="35" t="n">
        <v>1620</v>
      </c>
      <c r="H250" s="35" t="n">
        <v>0</v>
      </c>
      <c r="I250" s="35">
        <f>G250-H250</f>
        <v/>
      </c>
      <c r="J250" s="33" t="n">
        <v>2024</v>
      </c>
      <c r="K250" s="33" t="n">
        <v>6</v>
      </c>
      <c r="L250" s="34" t="inlineStr">
        <is>
          <t>Winst- en verliesrekening</t>
        </is>
      </c>
      <c r="M250" s="34" t="inlineStr">
        <is>
          <t>Huisvestingskosten</t>
        </is>
      </c>
      <c r="N250" s="34" t="inlineStr">
        <is>
          <t>Energie</t>
        </is>
      </c>
      <c r="O250" s="36">
        <f>IFERROR(INDEX('Mapping'!$F$2:$F$60,MATCH(B250,'Mapping'!$A$2:$A$60,0)),"")</f>
        <v/>
      </c>
    </row>
    <row r="251">
      <c r="A251" s="32" t="n">
        <v>45474</v>
      </c>
      <c r="B251" s="33" t="n">
        <v>4110</v>
      </c>
      <c r="C251" s="34" t="inlineStr">
        <is>
          <t>Energie en water</t>
        </is>
      </c>
      <c r="D251" s="34" t="inlineStr">
        <is>
          <t>Huisvesting</t>
        </is>
      </c>
      <c r="E251" s="34" t="inlineStr">
        <is>
          <t>Algemeen</t>
        </is>
      </c>
      <c r="F251" s="34" t="inlineStr"/>
      <c r="G251" s="35" t="n">
        <v>1368</v>
      </c>
      <c r="H251" s="35" t="n">
        <v>0</v>
      </c>
      <c r="I251" s="35">
        <f>G251-H251</f>
        <v/>
      </c>
      <c r="J251" s="33" t="n">
        <v>2024</v>
      </c>
      <c r="K251" s="33" t="n">
        <v>7</v>
      </c>
      <c r="L251" s="34" t="inlineStr">
        <is>
          <t>Winst- en verliesrekening</t>
        </is>
      </c>
      <c r="M251" s="34" t="inlineStr">
        <is>
          <t>Huisvestingskosten</t>
        </is>
      </c>
      <c r="N251" s="34" t="inlineStr">
        <is>
          <t>Energie</t>
        </is>
      </c>
      <c r="O251" s="36">
        <f>IFERROR(INDEX('Mapping'!$F$2:$F$60,MATCH(B251,'Mapping'!$A$2:$A$60,0)),"")</f>
        <v/>
      </c>
    </row>
    <row r="252">
      <c r="A252" s="32" t="n">
        <v>45505</v>
      </c>
      <c r="B252" s="33" t="n">
        <v>4110</v>
      </c>
      <c r="C252" s="34" t="inlineStr">
        <is>
          <t>Energie en water</t>
        </is>
      </c>
      <c r="D252" s="34" t="inlineStr">
        <is>
          <t>Huisvesting</t>
        </is>
      </c>
      <c r="E252" s="34" t="inlineStr">
        <is>
          <t>Algemeen</t>
        </is>
      </c>
      <c r="F252" s="34" t="inlineStr"/>
      <c r="G252" s="35" t="n">
        <v>1260</v>
      </c>
      <c r="H252" s="35" t="n">
        <v>0</v>
      </c>
      <c r="I252" s="35">
        <f>G252-H252</f>
        <v/>
      </c>
      <c r="J252" s="33" t="n">
        <v>2024</v>
      </c>
      <c r="K252" s="33" t="n">
        <v>8</v>
      </c>
      <c r="L252" s="34" t="inlineStr">
        <is>
          <t>Winst- en verliesrekening</t>
        </is>
      </c>
      <c r="M252" s="34" t="inlineStr">
        <is>
          <t>Huisvestingskosten</t>
        </is>
      </c>
      <c r="N252" s="34" t="inlineStr">
        <is>
          <t>Energie</t>
        </is>
      </c>
      <c r="O252" s="36">
        <f>IFERROR(INDEX('Mapping'!$F$2:$F$60,MATCH(B252,'Mapping'!$A$2:$A$60,0)),"")</f>
        <v/>
      </c>
    </row>
    <row r="253">
      <c r="A253" s="32" t="n">
        <v>45536</v>
      </c>
      <c r="B253" s="33" t="n">
        <v>4110</v>
      </c>
      <c r="C253" s="34" t="inlineStr">
        <is>
          <t>Energie en water</t>
        </is>
      </c>
      <c r="D253" s="34" t="inlineStr">
        <is>
          <t>Huisvesting</t>
        </is>
      </c>
      <c r="E253" s="34" t="inlineStr">
        <is>
          <t>Algemeen</t>
        </is>
      </c>
      <c r="F253" s="34" t="inlineStr"/>
      <c r="G253" s="35" t="n">
        <v>1584</v>
      </c>
      <c r="H253" s="35" t="n">
        <v>0</v>
      </c>
      <c r="I253" s="35">
        <f>G253-H253</f>
        <v/>
      </c>
      <c r="J253" s="33" t="n">
        <v>2024</v>
      </c>
      <c r="K253" s="33" t="n">
        <v>9</v>
      </c>
      <c r="L253" s="34" t="inlineStr">
        <is>
          <t>Winst- en verliesrekening</t>
        </is>
      </c>
      <c r="M253" s="34" t="inlineStr">
        <is>
          <t>Huisvestingskosten</t>
        </is>
      </c>
      <c r="N253" s="34" t="inlineStr">
        <is>
          <t>Energie</t>
        </is>
      </c>
      <c r="O253" s="36">
        <f>IFERROR(INDEX('Mapping'!$F$2:$F$60,MATCH(B253,'Mapping'!$A$2:$A$60,0)),"")</f>
        <v/>
      </c>
    </row>
    <row r="254">
      <c r="A254" s="32" t="n">
        <v>45566</v>
      </c>
      <c r="B254" s="33" t="n">
        <v>4110</v>
      </c>
      <c r="C254" s="34" t="inlineStr">
        <is>
          <t>Energie en water</t>
        </is>
      </c>
      <c r="D254" s="34" t="inlineStr">
        <is>
          <t>Huisvesting</t>
        </is>
      </c>
      <c r="E254" s="34" t="inlineStr">
        <is>
          <t>Algemeen</t>
        </is>
      </c>
      <c r="F254" s="34" t="inlineStr"/>
      <c r="G254" s="35" t="n">
        <v>1620</v>
      </c>
      <c r="H254" s="35" t="n">
        <v>0</v>
      </c>
      <c r="I254" s="35">
        <f>G254-H254</f>
        <v/>
      </c>
      <c r="J254" s="33" t="n">
        <v>2024</v>
      </c>
      <c r="K254" s="33" t="n">
        <v>10</v>
      </c>
      <c r="L254" s="34" t="inlineStr">
        <is>
          <t>Winst- en verliesrekening</t>
        </is>
      </c>
      <c r="M254" s="34" t="inlineStr">
        <is>
          <t>Huisvestingskosten</t>
        </is>
      </c>
      <c r="N254" s="34" t="inlineStr">
        <is>
          <t>Energie</t>
        </is>
      </c>
      <c r="O254" s="36">
        <f>IFERROR(INDEX('Mapping'!$F$2:$F$60,MATCH(B254,'Mapping'!$A$2:$A$60,0)),"")</f>
        <v/>
      </c>
    </row>
    <row r="255">
      <c r="A255" s="32" t="n">
        <v>45597</v>
      </c>
      <c r="B255" s="33" t="n">
        <v>4110</v>
      </c>
      <c r="C255" s="34" t="inlineStr">
        <is>
          <t>Energie en water</t>
        </is>
      </c>
      <c r="D255" s="34" t="inlineStr">
        <is>
          <t>Huisvesting</t>
        </is>
      </c>
      <c r="E255" s="34" t="inlineStr">
        <is>
          <t>Algemeen</t>
        </is>
      </c>
      <c r="F255" s="34" t="inlineStr"/>
      <c r="G255" s="35" t="n">
        <v>1548</v>
      </c>
      <c r="H255" s="35" t="n">
        <v>0</v>
      </c>
      <c r="I255" s="35">
        <f>G255-H255</f>
        <v/>
      </c>
      <c r="J255" s="33" t="n">
        <v>2024</v>
      </c>
      <c r="K255" s="33" t="n">
        <v>11</v>
      </c>
      <c r="L255" s="34" t="inlineStr">
        <is>
          <t>Winst- en verliesrekening</t>
        </is>
      </c>
      <c r="M255" s="34" t="inlineStr">
        <is>
          <t>Huisvestingskosten</t>
        </is>
      </c>
      <c r="N255" s="34" t="inlineStr">
        <is>
          <t>Energie</t>
        </is>
      </c>
      <c r="O255" s="36">
        <f>IFERROR(INDEX('Mapping'!$F$2:$F$60,MATCH(B255,'Mapping'!$A$2:$A$60,0)),"")</f>
        <v/>
      </c>
    </row>
    <row r="256">
      <c r="A256" s="32" t="n">
        <v>45627</v>
      </c>
      <c r="B256" s="33" t="n">
        <v>4110</v>
      </c>
      <c r="C256" s="34" t="inlineStr">
        <is>
          <t>Energie en water</t>
        </is>
      </c>
      <c r="D256" s="34" t="inlineStr">
        <is>
          <t>Huisvesting</t>
        </is>
      </c>
      <c r="E256" s="34" t="inlineStr">
        <is>
          <t>Algemeen</t>
        </is>
      </c>
      <c r="F256" s="34" t="inlineStr"/>
      <c r="G256" s="35" t="n">
        <v>1872</v>
      </c>
      <c r="H256" s="35" t="n">
        <v>0</v>
      </c>
      <c r="I256" s="35">
        <f>G256-H256</f>
        <v/>
      </c>
      <c r="J256" s="33" t="n">
        <v>2024</v>
      </c>
      <c r="K256" s="33" t="n">
        <v>12</v>
      </c>
      <c r="L256" s="34" t="inlineStr">
        <is>
          <t>Winst- en verliesrekening</t>
        </is>
      </c>
      <c r="M256" s="34" t="inlineStr">
        <is>
          <t>Huisvestingskosten</t>
        </is>
      </c>
      <c r="N256" s="34" t="inlineStr">
        <is>
          <t>Energie</t>
        </is>
      </c>
      <c r="O256" s="36">
        <f>IFERROR(INDEX('Mapping'!$F$2:$F$60,MATCH(B256,'Mapping'!$A$2:$A$60,0)),"")</f>
        <v/>
      </c>
    </row>
    <row r="257">
      <c r="A257" s="32" t="n">
        <v>45658</v>
      </c>
      <c r="B257" s="33" t="n">
        <v>4110</v>
      </c>
      <c r="C257" s="34" t="inlineStr">
        <is>
          <t>Energie en water</t>
        </is>
      </c>
      <c r="D257" s="34" t="inlineStr">
        <is>
          <t>Huisvesting</t>
        </is>
      </c>
      <c r="E257" s="34" t="inlineStr">
        <is>
          <t>Algemeen</t>
        </is>
      </c>
      <c r="F257" s="34" t="inlineStr"/>
      <c r="G257" s="35" t="n">
        <v>1400</v>
      </c>
      <c r="H257" s="35" t="n">
        <v>0</v>
      </c>
      <c r="I257" s="35">
        <f>G257-H257</f>
        <v/>
      </c>
      <c r="J257" s="33" t="n">
        <v>2025</v>
      </c>
      <c r="K257" s="33" t="n">
        <v>1</v>
      </c>
      <c r="L257" s="34" t="inlineStr">
        <is>
          <t>Winst- en verliesrekening</t>
        </is>
      </c>
      <c r="M257" s="34" t="inlineStr">
        <is>
          <t>Huisvestingskosten</t>
        </is>
      </c>
      <c r="N257" s="34" t="inlineStr">
        <is>
          <t>Energie</t>
        </is>
      </c>
      <c r="O257" s="36">
        <f>IFERROR(INDEX('Mapping'!$F$2:$F$60,MATCH(B257,'Mapping'!$A$2:$A$60,0)),"")</f>
        <v/>
      </c>
    </row>
    <row r="258">
      <c r="A258" s="32" t="n">
        <v>45689</v>
      </c>
      <c r="B258" s="33" t="n">
        <v>4110</v>
      </c>
      <c r="C258" s="34" t="inlineStr">
        <is>
          <t>Energie en water</t>
        </is>
      </c>
      <c r="D258" s="34" t="inlineStr">
        <is>
          <t>Huisvesting</t>
        </is>
      </c>
      <c r="E258" s="34" t="inlineStr">
        <is>
          <t>Algemeen</t>
        </is>
      </c>
      <c r="F258" s="34" t="inlineStr"/>
      <c r="G258" s="35" t="n">
        <v>1400</v>
      </c>
      <c r="H258" s="35" t="n">
        <v>0</v>
      </c>
      <c r="I258" s="35">
        <f>G258-H258</f>
        <v/>
      </c>
      <c r="J258" s="33" t="n">
        <v>2025</v>
      </c>
      <c r="K258" s="33" t="n">
        <v>2</v>
      </c>
      <c r="L258" s="34" t="inlineStr">
        <is>
          <t>Winst- en verliesrekening</t>
        </is>
      </c>
      <c r="M258" s="34" t="inlineStr">
        <is>
          <t>Huisvestingskosten</t>
        </is>
      </c>
      <c r="N258" s="34" t="inlineStr">
        <is>
          <t>Energie</t>
        </is>
      </c>
      <c r="O258" s="36">
        <f>IFERROR(INDEX('Mapping'!$F$2:$F$60,MATCH(B258,'Mapping'!$A$2:$A$60,0)),"")</f>
        <v/>
      </c>
    </row>
    <row r="259">
      <c r="A259" s="32" t="n">
        <v>45717</v>
      </c>
      <c r="B259" s="33" t="n">
        <v>4110</v>
      </c>
      <c r="C259" s="34" t="inlineStr">
        <is>
          <t>Energie en water</t>
        </is>
      </c>
      <c r="D259" s="34" t="inlineStr">
        <is>
          <t>Huisvesting</t>
        </is>
      </c>
      <c r="E259" s="34" t="inlineStr">
        <is>
          <t>Algemeen</t>
        </is>
      </c>
      <c r="F259" s="34" t="inlineStr"/>
      <c r="G259" s="35" t="n">
        <v>1760</v>
      </c>
      <c r="H259" s="35" t="n">
        <v>0</v>
      </c>
      <c r="I259" s="35">
        <f>G259-H259</f>
        <v/>
      </c>
      <c r="J259" s="33" t="n">
        <v>2025</v>
      </c>
      <c r="K259" s="33" t="n">
        <v>3</v>
      </c>
      <c r="L259" s="34" t="inlineStr">
        <is>
          <t>Winst- en verliesrekening</t>
        </is>
      </c>
      <c r="M259" s="34" t="inlineStr">
        <is>
          <t>Huisvestingskosten</t>
        </is>
      </c>
      <c r="N259" s="34" t="inlineStr">
        <is>
          <t>Energie</t>
        </is>
      </c>
      <c r="O259" s="36">
        <f>IFERROR(INDEX('Mapping'!$F$2:$F$60,MATCH(B259,'Mapping'!$A$2:$A$60,0)),"")</f>
        <v/>
      </c>
    </row>
    <row r="260">
      <c r="A260" s="32" t="n">
        <v>45748</v>
      </c>
      <c r="B260" s="33" t="n">
        <v>4110</v>
      </c>
      <c r="C260" s="34" t="inlineStr">
        <is>
          <t>Energie en water</t>
        </is>
      </c>
      <c r="D260" s="34" t="inlineStr">
        <is>
          <t>Huisvesting</t>
        </is>
      </c>
      <c r="E260" s="34" t="inlineStr">
        <is>
          <t>Algemeen</t>
        </is>
      </c>
      <c r="F260" s="34" t="inlineStr"/>
      <c r="G260" s="35" t="n">
        <v>1640</v>
      </c>
      <c r="H260" s="35" t="n">
        <v>0</v>
      </c>
      <c r="I260" s="35">
        <f>G260-H260</f>
        <v/>
      </c>
      <c r="J260" s="33" t="n">
        <v>2025</v>
      </c>
      <c r="K260" s="33" t="n">
        <v>4</v>
      </c>
      <c r="L260" s="34" t="inlineStr">
        <is>
          <t>Winst- en verliesrekening</t>
        </is>
      </c>
      <c r="M260" s="34" t="inlineStr">
        <is>
          <t>Huisvestingskosten</t>
        </is>
      </c>
      <c r="N260" s="34" t="inlineStr">
        <is>
          <t>Energie</t>
        </is>
      </c>
      <c r="O260" s="36">
        <f>IFERROR(INDEX('Mapping'!$F$2:$F$60,MATCH(B260,'Mapping'!$A$2:$A$60,0)),"")</f>
        <v/>
      </c>
    </row>
    <row r="261">
      <c r="A261" s="32" t="n">
        <v>45778</v>
      </c>
      <c r="B261" s="33" t="n">
        <v>4110</v>
      </c>
      <c r="C261" s="34" t="inlineStr">
        <is>
          <t>Energie en water</t>
        </is>
      </c>
      <c r="D261" s="34" t="inlineStr">
        <is>
          <t>Huisvesting</t>
        </is>
      </c>
      <c r="E261" s="34" t="inlineStr">
        <is>
          <t>Algemeen</t>
        </is>
      </c>
      <c r="F261" s="34" t="inlineStr"/>
      <c r="G261" s="35" t="n">
        <v>1720</v>
      </c>
      <c r="H261" s="35" t="n">
        <v>0</v>
      </c>
      <c r="I261" s="35">
        <f>G261-H261</f>
        <v/>
      </c>
      <c r="J261" s="33" t="n">
        <v>2025</v>
      </c>
      <c r="K261" s="33" t="n">
        <v>5</v>
      </c>
      <c r="L261" s="34" t="inlineStr">
        <is>
          <t>Winst- en verliesrekening</t>
        </is>
      </c>
      <c r="M261" s="34" t="inlineStr">
        <is>
          <t>Huisvestingskosten</t>
        </is>
      </c>
      <c r="N261" s="34" t="inlineStr">
        <is>
          <t>Energie</t>
        </is>
      </c>
      <c r="O261" s="36">
        <f>IFERROR(INDEX('Mapping'!$F$2:$F$60,MATCH(B261,'Mapping'!$A$2:$A$60,0)),"")</f>
        <v/>
      </c>
    </row>
    <row r="262">
      <c r="A262" s="32" t="n">
        <v>45809</v>
      </c>
      <c r="B262" s="33" t="n">
        <v>4110</v>
      </c>
      <c r="C262" s="34" t="inlineStr">
        <is>
          <t>Energie en water</t>
        </is>
      </c>
      <c r="D262" s="34" t="inlineStr">
        <is>
          <t>Huisvesting</t>
        </is>
      </c>
      <c r="E262" s="34" t="inlineStr">
        <is>
          <t>Algemeen</t>
        </is>
      </c>
      <c r="F262" s="34" t="inlineStr"/>
      <c r="G262" s="35" t="n">
        <v>1800</v>
      </c>
      <c r="H262" s="35" t="n">
        <v>0</v>
      </c>
      <c r="I262" s="35">
        <f>G262-H262</f>
        <v/>
      </c>
      <c r="J262" s="33" t="n">
        <v>2025</v>
      </c>
      <c r="K262" s="33" t="n">
        <v>6</v>
      </c>
      <c r="L262" s="34" t="inlineStr">
        <is>
          <t>Winst- en verliesrekening</t>
        </is>
      </c>
      <c r="M262" s="34" t="inlineStr">
        <is>
          <t>Huisvestingskosten</t>
        </is>
      </c>
      <c r="N262" s="34" t="inlineStr">
        <is>
          <t>Energie</t>
        </is>
      </c>
      <c r="O262" s="36">
        <f>IFERROR(INDEX('Mapping'!$F$2:$F$60,MATCH(B262,'Mapping'!$A$2:$A$60,0)),"")</f>
        <v/>
      </c>
    </row>
    <row r="263">
      <c r="A263" s="32" t="n">
        <v>45839</v>
      </c>
      <c r="B263" s="33" t="n">
        <v>4110</v>
      </c>
      <c r="C263" s="34" t="inlineStr">
        <is>
          <t>Energie en water</t>
        </is>
      </c>
      <c r="D263" s="34" t="inlineStr">
        <is>
          <t>Huisvesting</t>
        </is>
      </c>
      <c r="E263" s="34" t="inlineStr">
        <is>
          <t>Algemeen</t>
        </is>
      </c>
      <c r="F263" s="34" t="inlineStr"/>
      <c r="G263" s="35" t="n">
        <v>1520</v>
      </c>
      <c r="H263" s="35" t="n">
        <v>0</v>
      </c>
      <c r="I263" s="35">
        <f>G263-H263</f>
        <v/>
      </c>
      <c r="J263" s="33" t="n">
        <v>2025</v>
      </c>
      <c r="K263" s="33" t="n">
        <v>7</v>
      </c>
      <c r="L263" s="34" t="inlineStr">
        <is>
          <t>Winst- en verliesrekening</t>
        </is>
      </c>
      <c r="M263" s="34" t="inlineStr">
        <is>
          <t>Huisvestingskosten</t>
        </is>
      </c>
      <c r="N263" s="34" t="inlineStr">
        <is>
          <t>Energie</t>
        </is>
      </c>
      <c r="O263" s="36">
        <f>IFERROR(INDEX('Mapping'!$F$2:$F$60,MATCH(B263,'Mapping'!$A$2:$A$60,0)),"")</f>
        <v/>
      </c>
    </row>
    <row r="264">
      <c r="A264" s="32" t="n">
        <v>45870</v>
      </c>
      <c r="B264" s="33" t="n">
        <v>4110</v>
      </c>
      <c r="C264" s="34" t="inlineStr">
        <is>
          <t>Energie en water</t>
        </is>
      </c>
      <c r="D264" s="34" t="inlineStr">
        <is>
          <t>Huisvesting</t>
        </is>
      </c>
      <c r="E264" s="34" t="inlineStr">
        <is>
          <t>Algemeen</t>
        </is>
      </c>
      <c r="F264" s="34" t="inlineStr"/>
      <c r="G264" s="35" t="n">
        <v>1400</v>
      </c>
      <c r="H264" s="35" t="n">
        <v>0</v>
      </c>
      <c r="I264" s="35">
        <f>G264-H264</f>
        <v/>
      </c>
      <c r="J264" s="33" t="n">
        <v>2025</v>
      </c>
      <c r="K264" s="33" t="n">
        <v>8</v>
      </c>
      <c r="L264" s="34" t="inlineStr">
        <is>
          <t>Winst- en verliesrekening</t>
        </is>
      </c>
      <c r="M264" s="34" t="inlineStr">
        <is>
          <t>Huisvestingskosten</t>
        </is>
      </c>
      <c r="N264" s="34" t="inlineStr">
        <is>
          <t>Energie</t>
        </is>
      </c>
      <c r="O264" s="36">
        <f>IFERROR(INDEX('Mapping'!$F$2:$F$60,MATCH(B264,'Mapping'!$A$2:$A$60,0)),"")</f>
        <v/>
      </c>
    </row>
    <row r="265">
      <c r="A265" s="32" t="n">
        <v>45901</v>
      </c>
      <c r="B265" s="33" t="n">
        <v>4110</v>
      </c>
      <c r="C265" s="34" t="inlineStr">
        <is>
          <t>Energie en water</t>
        </is>
      </c>
      <c r="D265" s="34" t="inlineStr">
        <is>
          <t>Huisvesting</t>
        </is>
      </c>
      <c r="E265" s="34" t="inlineStr">
        <is>
          <t>Algemeen</t>
        </is>
      </c>
      <c r="F265" s="34" t="inlineStr"/>
      <c r="G265" s="35" t="n">
        <v>1760</v>
      </c>
      <c r="H265" s="35" t="n">
        <v>0</v>
      </c>
      <c r="I265" s="35">
        <f>G265-H265</f>
        <v/>
      </c>
      <c r="J265" s="33" t="n">
        <v>2025</v>
      </c>
      <c r="K265" s="33" t="n">
        <v>9</v>
      </c>
      <c r="L265" s="34" t="inlineStr">
        <is>
          <t>Winst- en verliesrekening</t>
        </is>
      </c>
      <c r="M265" s="34" t="inlineStr">
        <is>
          <t>Huisvestingskosten</t>
        </is>
      </c>
      <c r="N265" s="34" t="inlineStr">
        <is>
          <t>Energie</t>
        </is>
      </c>
      <c r="O265" s="36">
        <f>IFERROR(INDEX('Mapping'!$F$2:$F$60,MATCH(B265,'Mapping'!$A$2:$A$60,0)),"")</f>
        <v/>
      </c>
    </row>
    <row r="266">
      <c r="A266" s="32" t="n">
        <v>45931</v>
      </c>
      <c r="B266" s="33" t="n">
        <v>4110</v>
      </c>
      <c r="C266" s="34" t="inlineStr">
        <is>
          <t>Energie en water</t>
        </is>
      </c>
      <c r="D266" s="34" t="inlineStr">
        <is>
          <t>Huisvesting</t>
        </is>
      </c>
      <c r="E266" s="34" t="inlineStr">
        <is>
          <t>Algemeen</t>
        </is>
      </c>
      <c r="F266" s="34" t="inlineStr"/>
      <c r="G266" s="35" t="n">
        <v>1800</v>
      </c>
      <c r="H266" s="35" t="n">
        <v>0</v>
      </c>
      <c r="I266" s="35">
        <f>G266-H266</f>
        <v/>
      </c>
      <c r="J266" s="33" t="n">
        <v>2025</v>
      </c>
      <c r="K266" s="33" t="n">
        <v>10</v>
      </c>
      <c r="L266" s="34" t="inlineStr">
        <is>
          <t>Winst- en verliesrekening</t>
        </is>
      </c>
      <c r="M266" s="34" t="inlineStr">
        <is>
          <t>Huisvestingskosten</t>
        </is>
      </c>
      <c r="N266" s="34" t="inlineStr">
        <is>
          <t>Energie</t>
        </is>
      </c>
      <c r="O266" s="36">
        <f>IFERROR(INDEX('Mapping'!$F$2:$F$60,MATCH(B266,'Mapping'!$A$2:$A$60,0)),"")</f>
        <v/>
      </c>
    </row>
    <row r="267">
      <c r="A267" s="32" t="n">
        <v>45962</v>
      </c>
      <c r="B267" s="33" t="n">
        <v>4110</v>
      </c>
      <c r="C267" s="34" t="inlineStr">
        <is>
          <t>Energie en water</t>
        </is>
      </c>
      <c r="D267" s="34" t="inlineStr">
        <is>
          <t>Huisvesting</t>
        </is>
      </c>
      <c r="E267" s="34" t="inlineStr">
        <is>
          <t>Algemeen</t>
        </is>
      </c>
      <c r="F267" s="34" t="inlineStr"/>
      <c r="G267" s="35" t="n">
        <v>1720</v>
      </c>
      <c r="H267" s="35" t="n">
        <v>0</v>
      </c>
      <c r="I267" s="35">
        <f>G267-H267</f>
        <v/>
      </c>
      <c r="J267" s="33" t="n">
        <v>2025</v>
      </c>
      <c r="K267" s="33" t="n">
        <v>11</v>
      </c>
      <c r="L267" s="34" t="inlineStr">
        <is>
          <t>Winst- en verliesrekening</t>
        </is>
      </c>
      <c r="M267" s="34" t="inlineStr">
        <is>
          <t>Huisvestingskosten</t>
        </is>
      </c>
      <c r="N267" s="34" t="inlineStr">
        <is>
          <t>Energie</t>
        </is>
      </c>
      <c r="O267" s="36">
        <f>IFERROR(INDEX('Mapping'!$F$2:$F$60,MATCH(B267,'Mapping'!$A$2:$A$60,0)),"")</f>
        <v/>
      </c>
    </row>
    <row r="268">
      <c r="A268" s="32" t="n">
        <v>45992</v>
      </c>
      <c r="B268" s="33" t="n">
        <v>4110</v>
      </c>
      <c r="C268" s="34" t="inlineStr">
        <is>
          <t>Energie en water</t>
        </is>
      </c>
      <c r="D268" s="34" t="inlineStr">
        <is>
          <t>Huisvesting</t>
        </is>
      </c>
      <c r="E268" s="34" t="inlineStr">
        <is>
          <t>Algemeen</t>
        </is>
      </c>
      <c r="F268" s="34" t="inlineStr"/>
      <c r="G268" s="35" t="n">
        <v>2080</v>
      </c>
      <c r="H268" s="35" t="n">
        <v>0</v>
      </c>
      <c r="I268" s="35">
        <f>G268-H268</f>
        <v/>
      </c>
      <c r="J268" s="33" t="n">
        <v>2025</v>
      </c>
      <c r="K268" s="33" t="n">
        <v>12</v>
      </c>
      <c r="L268" s="34" t="inlineStr">
        <is>
          <t>Winst- en verliesrekening</t>
        </is>
      </c>
      <c r="M268" s="34" t="inlineStr">
        <is>
          <t>Huisvestingskosten</t>
        </is>
      </c>
      <c r="N268" s="34" t="inlineStr">
        <is>
          <t>Energie</t>
        </is>
      </c>
      <c r="O268" s="36">
        <f>IFERROR(INDEX('Mapping'!$F$2:$F$60,MATCH(B268,'Mapping'!$A$2:$A$60,0)),"")</f>
        <v/>
      </c>
    </row>
    <row r="269">
      <c r="A269" s="32" t="n">
        <v>45292</v>
      </c>
      <c r="B269" s="33" t="n">
        <v>4120</v>
      </c>
      <c r="C269" s="34" t="inlineStr">
        <is>
          <t>Onderhoud pand</t>
        </is>
      </c>
      <c r="D269" s="34" t="inlineStr">
        <is>
          <t>Huisvesting</t>
        </is>
      </c>
      <c r="E269" s="34" t="inlineStr">
        <is>
          <t>Algemeen</t>
        </is>
      </c>
      <c r="F269" s="34" t="inlineStr"/>
      <c r="G269" s="35" t="n">
        <v>560</v>
      </c>
      <c r="H269" s="35" t="n">
        <v>0</v>
      </c>
      <c r="I269" s="35">
        <f>G269-H269</f>
        <v/>
      </c>
      <c r="J269" s="33" t="n">
        <v>2024</v>
      </c>
      <c r="K269" s="33" t="n">
        <v>1</v>
      </c>
      <c r="L269" s="34" t="inlineStr">
        <is>
          <t>Winst- en verliesrekening</t>
        </is>
      </c>
      <c r="M269" s="34" t="inlineStr">
        <is>
          <t>Huisvestingskosten</t>
        </is>
      </c>
      <c r="N269" s="34" t="inlineStr">
        <is>
          <t>Onderhoud</t>
        </is>
      </c>
      <c r="O269" s="36">
        <f>IFERROR(INDEX('Mapping'!$F$2:$F$60,MATCH(B269,'Mapping'!$A$2:$A$60,0)),"")</f>
        <v/>
      </c>
    </row>
    <row r="270">
      <c r="A270" s="32" t="n">
        <v>45323</v>
      </c>
      <c r="B270" s="33" t="n">
        <v>4120</v>
      </c>
      <c r="C270" s="34" t="inlineStr">
        <is>
          <t>Onderhoud pand</t>
        </is>
      </c>
      <c r="D270" s="34" t="inlineStr">
        <is>
          <t>Huisvesting</t>
        </is>
      </c>
      <c r="E270" s="34" t="inlineStr">
        <is>
          <t>Algemeen</t>
        </is>
      </c>
      <c r="F270" s="34" t="inlineStr"/>
      <c r="G270" s="35" t="n">
        <v>560</v>
      </c>
      <c r="H270" s="35" t="n">
        <v>0</v>
      </c>
      <c r="I270" s="35">
        <f>G270-H270</f>
        <v/>
      </c>
      <c r="J270" s="33" t="n">
        <v>2024</v>
      </c>
      <c r="K270" s="33" t="n">
        <v>2</v>
      </c>
      <c r="L270" s="34" t="inlineStr">
        <is>
          <t>Winst- en verliesrekening</t>
        </is>
      </c>
      <c r="M270" s="34" t="inlineStr">
        <is>
          <t>Huisvestingskosten</t>
        </is>
      </c>
      <c r="N270" s="34" t="inlineStr">
        <is>
          <t>Onderhoud</t>
        </is>
      </c>
      <c r="O270" s="36">
        <f>IFERROR(INDEX('Mapping'!$F$2:$F$60,MATCH(B270,'Mapping'!$A$2:$A$60,0)),"")</f>
        <v/>
      </c>
    </row>
    <row r="271">
      <c r="A271" s="32" t="n">
        <v>45352</v>
      </c>
      <c r="B271" s="33" t="n">
        <v>4120</v>
      </c>
      <c r="C271" s="34" t="inlineStr">
        <is>
          <t>Onderhoud pand</t>
        </is>
      </c>
      <c r="D271" s="34" t="inlineStr">
        <is>
          <t>Huisvesting</t>
        </is>
      </c>
      <c r="E271" s="34" t="inlineStr">
        <is>
          <t>Algemeen</t>
        </is>
      </c>
      <c r="F271" s="34" t="inlineStr"/>
      <c r="G271" s="35" t="n">
        <v>704</v>
      </c>
      <c r="H271" s="35" t="n">
        <v>0</v>
      </c>
      <c r="I271" s="35">
        <f>G271-H271</f>
        <v/>
      </c>
      <c r="J271" s="33" t="n">
        <v>2024</v>
      </c>
      <c r="K271" s="33" t="n">
        <v>3</v>
      </c>
      <c r="L271" s="34" t="inlineStr">
        <is>
          <t>Winst- en verliesrekening</t>
        </is>
      </c>
      <c r="M271" s="34" t="inlineStr">
        <is>
          <t>Huisvestingskosten</t>
        </is>
      </c>
      <c r="N271" s="34" t="inlineStr">
        <is>
          <t>Onderhoud</t>
        </is>
      </c>
      <c r="O271" s="36">
        <f>IFERROR(INDEX('Mapping'!$F$2:$F$60,MATCH(B271,'Mapping'!$A$2:$A$60,0)),"")</f>
        <v/>
      </c>
    </row>
    <row r="272">
      <c r="A272" s="32" t="n">
        <v>45383</v>
      </c>
      <c r="B272" s="33" t="n">
        <v>4120</v>
      </c>
      <c r="C272" s="34" t="inlineStr">
        <is>
          <t>Onderhoud pand</t>
        </is>
      </c>
      <c r="D272" s="34" t="inlineStr">
        <is>
          <t>Huisvesting</t>
        </is>
      </c>
      <c r="E272" s="34" t="inlineStr">
        <is>
          <t>Algemeen</t>
        </is>
      </c>
      <c r="F272" s="34" t="inlineStr"/>
      <c r="G272" s="35" t="n">
        <v>656</v>
      </c>
      <c r="H272" s="35" t="n">
        <v>0</v>
      </c>
      <c r="I272" s="35">
        <f>G272-H272</f>
        <v/>
      </c>
      <c r="J272" s="33" t="n">
        <v>2024</v>
      </c>
      <c r="K272" s="33" t="n">
        <v>4</v>
      </c>
      <c r="L272" s="34" t="inlineStr">
        <is>
          <t>Winst- en verliesrekening</t>
        </is>
      </c>
      <c r="M272" s="34" t="inlineStr">
        <is>
          <t>Huisvestingskosten</t>
        </is>
      </c>
      <c r="N272" s="34" t="inlineStr">
        <is>
          <t>Onderhoud</t>
        </is>
      </c>
      <c r="O272" s="36">
        <f>IFERROR(INDEX('Mapping'!$F$2:$F$60,MATCH(B272,'Mapping'!$A$2:$A$60,0)),"")</f>
        <v/>
      </c>
    </row>
    <row r="273">
      <c r="A273" s="32" t="n">
        <v>45413</v>
      </c>
      <c r="B273" s="33" t="n">
        <v>4120</v>
      </c>
      <c r="C273" s="34" t="inlineStr">
        <is>
          <t>Onderhoud pand</t>
        </is>
      </c>
      <c r="D273" s="34" t="inlineStr">
        <is>
          <t>Huisvesting</t>
        </is>
      </c>
      <c r="E273" s="34" t="inlineStr">
        <is>
          <t>Algemeen</t>
        </is>
      </c>
      <c r="F273" s="34" t="inlineStr"/>
      <c r="G273" s="35" t="n">
        <v>688</v>
      </c>
      <c r="H273" s="35" t="n">
        <v>0</v>
      </c>
      <c r="I273" s="35">
        <f>G273-H273</f>
        <v/>
      </c>
      <c r="J273" s="33" t="n">
        <v>2024</v>
      </c>
      <c r="K273" s="33" t="n">
        <v>5</v>
      </c>
      <c r="L273" s="34" t="inlineStr">
        <is>
          <t>Winst- en verliesrekening</t>
        </is>
      </c>
      <c r="M273" s="34" t="inlineStr">
        <is>
          <t>Huisvestingskosten</t>
        </is>
      </c>
      <c r="N273" s="34" t="inlineStr">
        <is>
          <t>Onderhoud</t>
        </is>
      </c>
      <c r="O273" s="36">
        <f>IFERROR(INDEX('Mapping'!$F$2:$F$60,MATCH(B273,'Mapping'!$A$2:$A$60,0)),"")</f>
        <v/>
      </c>
    </row>
    <row r="274">
      <c r="A274" s="32" t="n">
        <v>45444</v>
      </c>
      <c r="B274" s="33" t="n">
        <v>4120</v>
      </c>
      <c r="C274" s="34" t="inlineStr">
        <is>
          <t>Onderhoud pand</t>
        </is>
      </c>
      <c r="D274" s="34" t="inlineStr">
        <is>
          <t>Huisvesting</t>
        </is>
      </c>
      <c r="E274" s="34" t="inlineStr">
        <is>
          <t>Algemeen</t>
        </is>
      </c>
      <c r="F274" s="34" t="inlineStr"/>
      <c r="G274" s="35" t="n">
        <v>720</v>
      </c>
      <c r="H274" s="35" t="n">
        <v>0</v>
      </c>
      <c r="I274" s="35">
        <f>G274-H274</f>
        <v/>
      </c>
      <c r="J274" s="33" t="n">
        <v>2024</v>
      </c>
      <c r="K274" s="33" t="n">
        <v>6</v>
      </c>
      <c r="L274" s="34" t="inlineStr">
        <is>
          <t>Winst- en verliesrekening</t>
        </is>
      </c>
      <c r="M274" s="34" t="inlineStr">
        <is>
          <t>Huisvestingskosten</t>
        </is>
      </c>
      <c r="N274" s="34" t="inlineStr">
        <is>
          <t>Onderhoud</t>
        </is>
      </c>
      <c r="O274" s="36">
        <f>IFERROR(INDEX('Mapping'!$F$2:$F$60,MATCH(B274,'Mapping'!$A$2:$A$60,0)),"")</f>
        <v/>
      </c>
    </row>
    <row r="275">
      <c r="A275" s="32" t="n">
        <v>45474</v>
      </c>
      <c r="B275" s="33" t="n">
        <v>4120</v>
      </c>
      <c r="C275" s="34" t="inlineStr">
        <is>
          <t>Onderhoud pand</t>
        </is>
      </c>
      <c r="D275" s="34" t="inlineStr">
        <is>
          <t>Huisvesting</t>
        </is>
      </c>
      <c r="E275" s="34" t="inlineStr">
        <is>
          <t>Algemeen</t>
        </is>
      </c>
      <c r="F275" s="34" t="inlineStr"/>
      <c r="G275" s="35" t="n">
        <v>608</v>
      </c>
      <c r="H275" s="35" t="n">
        <v>0</v>
      </c>
      <c r="I275" s="35">
        <f>G275-H275</f>
        <v/>
      </c>
      <c r="J275" s="33" t="n">
        <v>2024</v>
      </c>
      <c r="K275" s="33" t="n">
        <v>7</v>
      </c>
      <c r="L275" s="34" t="inlineStr">
        <is>
          <t>Winst- en verliesrekening</t>
        </is>
      </c>
      <c r="M275" s="34" t="inlineStr">
        <is>
          <t>Huisvestingskosten</t>
        </is>
      </c>
      <c r="N275" s="34" t="inlineStr">
        <is>
          <t>Onderhoud</t>
        </is>
      </c>
      <c r="O275" s="36">
        <f>IFERROR(INDEX('Mapping'!$F$2:$F$60,MATCH(B275,'Mapping'!$A$2:$A$60,0)),"")</f>
        <v/>
      </c>
    </row>
    <row r="276">
      <c r="A276" s="32" t="n">
        <v>45505</v>
      </c>
      <c r="B276" s="33" t="n">
        <v>4120</v>
      </c>
      <c r="C276" s="34" t="inlineStr">
        <is>
          <t>Onderhoud pand</t>
        </is>
      </c>
      <c r="D276" s="34" t="inlineStr">
        <is>
          <t>Huisvesting</t>
        </is>
      </c>
      <c r="E276" s="34" t="inlineStr">
        <is>
          <t>Algemeen</t>
        </is>
      </c>
      <c r="F276" s="34" t="inlineStr"/>
      <c r="G276" s="35" t="n">
        <v>560</v>
      </c>
      <c r="H276" s="35" t="n">
        <v>0</v>
      </c>
      <c r="I276" s="35">
        <f>G276-H276</f>
        <v/>
      </c>
      <c r="J276" s="33" t="n">
        <v>2024</v>
      </c>
      <c r="K276" s="33" t="n">
        <v>8</v>
      </c>
      <c r="L276" s="34" t="inlineStr">
        <is>
          <t>Winst- en verliesrekening</t>
        </is>
      </c>
      <c r="M276" s="34" t="inlineStr">
        <is>
          <t>Huisvestingskosten</t>
        </is>
      </c>
      <c r="N276" s="34" t="inlineStr">
        <is>
          <t>Onderhoud</t>
        </is>
      </c>
      <c r="O276" s="36">
        <f>IFERROR(INDEX('Mapping'!$F$2:$F$60,MATCH(B276,'Mapping'!$A$2:$A$60,0)),"")</f>
        <v/>
      </c>
    </row>
    <row r="277">
      <c r="A277" s="32" t="n">
        <v>45536</v>
      </c>
      <c r="B277" s="33" t="n">
        <v>4120</v>
      </c>
      <c r="C277" s="34" t="inlineStr">
        <is>
          <t>Onderhoud pand</t>
        </is>
      </c>
      <c r="D277" s="34" t="inlineStr">
        <is>
          <t>Huisvesting</t>
        </is>
      </c>
      <c r="E277" s="34" t="inlineStr">
        <is>
          <t>Algemeen</t>
        </is>
      </c>
      <c r="F277" s="34" t="inlineStr"/>
      <c r="G277" s="35" t="n">
        <v>704</v>
      </c>
      <c r="H277" s="35" t="n">
        <v>0</v>
      </c>
      <c r="I277" s="35">
        <f>G277-H277</f>
        <v/>
      </c>
      <c r="J277" s="33" t="n">
        <v>2024</v>
      </c>
      <c r="K277" s="33" t="n">
        <v>9</v>
      </c>
      <c r="L277" s="34" t="inlineStr">
        <is>
          <t>Winst- en verliesrekening</t>
        </is>
      </c>
      <c r="M277" s="34" t="inlineStr">
        <is>
          <t>Huisvestingskosten</t>
        </is>
      </c>
      <c r="N277" s="34" t="inlineStr">
        <is>
          <t>Onderhoud</t>
        </is>
      </c>
      <c r="O277" s="36">
        <f>IFERROR(INDEX('Mapping'!$F$2:$F$60,MATCH(B277,'Mapping'!$A$2:$A$60,0)),"")</f>
        <v/>
      </c>
    </row>
    <row r="278">
      <c r="A278" s="32" t="n">
        <v>45566</v>
      </c>
      <c r="B278" s="33" t="n">
        <v>4120</v>
      </c>
      <c r="C278" s="34" t="inlineStr">
        <is>
          <t>Onderhoud pand</t>
        </is>
      </c>
      <c r="D278" s="34" t="inlineStr">
        <is>
          <t>Huisvesting</t>
        </is>
      </c>
      <c r="E278" s="34" t="inlineStr">
        <is>
          <t>Algemeen</t>
        </is>
      </c>
      <c r="F278" s="34" t="inlineStr"/>
      <c r="G278" s="35" t="n">
        <v>720</v>
      </c>
      <c r="H278" s="35" t="n">
        <v>0</v>
      </c>
      <c r="I278" s="35">
        <f>G278-H278</f>
        <v/>
      </c>
      <c r="J278" s="33" t="n">
        <v>2024</v>
      </c>
      <c r="K278" s="33" t="n">
        <v>10</v>
      </c>
      <c r="L278" s="34" t="inlineStr">
        <is>
          <t>Winst- en verliesrekening</t>
        </is>
      </c>
      <c r="M278" s="34" t="inlineStr">
        <is>
          <t>Huisvestingskosten</t>
        </is>
      </c>
      <c r="N278" s="34" t="inlineStr">
        <is>
          <t>Onderhoud</t>
        </is>
      </c>
      <c r="O278" s="36">
        <f>IFERROR(INDEX('Mapping'!$F$2:$F$60,MATCH(B278,'Mapping'!$A$2:$A$60,0)),"")</f>
        <v/>
      </c>
    </row>
    <row r="279">
      <c r="A279" s="32" t="n">
        <v>45597</v>
      </c>
      <c r="B279" s="33" t="n">
        <v>4120</v>
      </c>
      <c r="C279" s="34" t="inlineStr">
        <is>
          <t>Onderhoud pand</t>
        </is>
      </c>
      <c r="D279" s="34" t="inlineStr">
        <is>
          <t>Huisvesting</t>
        </is>
      </c>
      <c r="E279" s="34" t="inlineStr">
        <is>
          <t>Algemeen</t>
        </is>
      </c>
      <c r="F279" s="34" t="inlineStr"/>
      <c r="G279" s="35" t="n">
        <v>688</v>
      </c>
      <c r="H279" s="35" t="n">
        <v>0</v>
      </c>
      <c r="I279" s="35">
        <f>G279-H279</f>
        <v/>
      </c>
      <c r="J279" s="33" t="n">
        <v>2024</v>
      </c>
      <c r="K279" s="33" t="n">
        <v>11</v>
      </c>
      <c r="L279" s="34" t="inlineStr">
        <is>
          <t>Winst- en verliesrekening</t>
        </is>
      </c>
      <c r="M279" s="34" t="inlineStr">
        <is>
          <t>Huisvestingskosten</t>
        </is>
      </c>
      <c r="N279" s="34" t="inlineStr">
        <is>
          <t>Onderhoud</t>
        </is>
      </c>
      <c r="O279" s="36">
        <f>IFERROR(INDEX('Mapping'!$F$2:$F$60,MATCH(B279,'Mapping'!$A$2:$A$60,0)),"")</f>
        <v/>
      </c>
    </row>
    <row r="280">
      <c r="A280" s="32" t="n">
        <v>45627</v>
      </c>
      <c r="B280" s="33" t="n">
        <v>4120</v>
      </c>
      <c r="C280" s="34" t="inlineStr">
        <is>
          <t>Onderhoud pand</t>
        </is>
      </c>
      <c r="D280" s="34" t="inlineStr">
        <is>
          <t>Huisvesting</t>
        </is>
      </c>
      <c r="E280" s="34" t="inlineStr">
        <is>
          <t>Algemeen</t>
        </is>
      </c>
      <c r="F280" s="34" t="inlineStr"/>
      <c r="G280" s="35" t="n">
        <v>832</v>
      </c>
      <c r="H280" s="35" t="n">
        <v>0</v>
      </c>
      <c r="I280" s="35">
        <f>G280-H280</f>
        <v/>
      </c>
      <c r="J280" s="33" t="n">
        <v>2024</v>
      </c>
      <c r="K280" s="33" t="n">
        <v>12</v>
      </c>
      <c r="L280" s="34" t="inlineStr">
        <is>
          <t>Winst- en verliesrekening</t>
        </is>
      </c>
      <c r="M280" s="34" t="inlineStr">
        <is>
          <t>Huisvestingskosten</t>
        </is>
      </c>
      <c r="N280" s="34" t="inlineStr">
        <is>
          <t>Onderhoud</t>
        </is>
      </c>
      <c r="O280" s="36">
        <f>IFERROR(INDEX('Mapping'!$F$2:$F$60,MATCH(B280,'Mapping'!$A$2:$A$60,0)),"")</f>
        <v/>
      </c>
    </row>
    <row r="281">
      <c r="A281" s="32" t="n">
        <v>45658</v>
      </c>
      <c r="B281" s="33" t="n">
        <v>4120</v>
      </c>
      <c r="C281" s="34" t="inlineStr">
        <is>
          <t>Onderhoud pand</t>
        </is>
      </c>
      <c r="D281" s="34" t="inlineStr">
        <is>
          <t>Huisvesting</t>
        </is>
      </c>
      <c r="E281" s="34" t="inlineStr">
        <is>
          <t>Algemeen</t>
        </is>
      </c>
      <c r="F281" s="34" t="inlineStr"/>
      <c r="G281" s="35" t="n">
        <v>560</v>
      </c>
      <c r="H281" s="35" t="n">
        <v>0</v>
      </c>
      <c r="I281" s="35">
        <f>G281-H281</f>
        <v/>
      </c>
      <c r="J281" s="33" t="n">
        <v>2025</v>
      </c>
      <c r="K281" s="33" t="n">
        <v>1</v>
      </c>
      <c r="L281" s="34" t="inlineStr">
        <is>
          <t>Winst- en verliesrekening</t>
        </is>
      </c>
      <c r="M281" s="34" t="inlineStr">
        <is>
          <t>Huisvestingskosten</t>
        </is>
      </c>
      <c r="N281" s="34" t="inlineStr">
        <is>
          <t>Onderhoud</t>
        </is>
      </c>
      <c r="O281" s="36">
        <f>IFERROR(INDEX('Mapping'!$F$2:$F$60,MATCH(B281,'Mapping'!$A$2:$A$60,0)),"")</f>
        <v/>
      </c>
    </row>
    <row r="282">
      <c r="A282" s="32" t="n">
        <v>45689</v>
      </c>
      <c r="B282" s="33" t="n">
        <v>4120</v>
      </c>
      <c r="C282" s="34" t="inlineStr">
        <is>
          <t>Onderhoud pand</t>
        </is>
      </c>
      <c r="D282" s="34" t="inlineStr">
        <is>
          <t>Huisvesting</t>
        </is>
      </c>
      <c r="E282" s="34" t="inlineStr">
        <is>
          <t>Algemeen</t>
        </is>
      </c>
      <c r="F282" s="34" t="inlineStr"/>
      <c r="G282" s="35" t="n">
        <v>560</v>
      </c>
      <c r="H282" s="35" t="n">
        <v>0</v>
      </c>
      <c r="I282" s="35">
        <f>G282-H282</f>
        <v/>
      </c>
      <c r="J282" s="33" t="n">
        <v>2025</v>
      </c>
      <c r="K282" s="33" t="n">
        <v>2</v>
      </c>
      <c r="L282" s="34" t="inlineStr">
        <is>
          <t>Winst- en verliesrekening</t>
        </is>
      </c>
      <c r="M282" s="34" t="inlineStr">
        <is>
          <t>Huisvestingskosten</t>
        </is>
      </c>
      <c r="N282" s="34" t="inlineStr">
        <is>
          <t>Onderhoud</t>
        </is>
      </c>
      <c r="O282" s="36">
        <f>IFERROR(INDEX('Mapping'!$F$2:$F$60,MATCH(B282,'Mapping'!$A$2:$A$60,0)),"")</f>
        <v/>
      </c>
    </row>
    <row r="283">
      <c r="A283" s="32" t="n">
        <v>45717</v>
      </c>
      <c r="B283" s="33" t="n">
        <v>4120</v>
      </c>
      <c r="C283" s="34" t="inlineStr">
        <is>
          <t>Onderhoud pand</t>
        </is>
      </c>
      <c r="D283" s="34" t="inlineStr">
        <is>
          <t>Huisvesting</t>
        </is>
      </c>
      <c r="E283" s="34" t="inlineStr">
        <is>
          <t>Algemeen</t>
        </is>
      </c>
      <c r="F283" s="34" t="inlineStr"/>
      <c r="G283" s="35" t="n">
        <v>704</v>
      </c>
      <c r="H283" s="35" t="n">
        <v>0</v>
      </c>
      <c r="I283" s="35">
        <f>G283-H283</f>
        <v/>
      </c>
      <c r="J283" s="33" t="n">
        <v>2025</v>
      </c>
      <c r="K283" s="33" t="n">
        <v>3</v>
      </c>
      <c r="L283" s="34" t="inlineStr">
        <is>
          <t>Winst- en verliesrekening</t>
        </is>
      </c>
      <c r="M283" s="34" t="inlineStr">
        <is>
          <t>Huisvestingskosten</t>
        </is>
      </c>
      <c r="N283" s="34" t="inlineStr">
        <is>
          <t>Onderhoud</t>
        </is>
      </c>
      <c r="O283" s="36">
        <f>IFERROR(INDEX('Mapping'!$F$2:$F$60,MATCH(B283,'Mapping'!$A$2:$A$60,0)),"")</f>
        <v/>
      </c>
    </row>
    <row r="284">
      <c r="A284" s="32" t="n">
        <v>45748</v>
      </c>
      <c r="B284" s="33" t="n">
        <v>4120</v>
      </c>
      <c r="C284" s="34" t="inlineStr">
        <is>
          <t>Onderhoud pand</t>
        </is>
      </c>
      <c r="D284" s="34" t="inlineStr">
        <is>
          <t>Huisvesting</t>
        </is>
      </c>
      <c r="E284" s="34" t="inlineStr">
        <is>
          <t>Algemeen</t>
        </is>
      </c>
      <c r="F284" s="34" t="inlineStr"/>
      <c r="G284" s="35" t="n">
        <v>656</v>
      </c>
      <c r="H284" s="35" t="n">
        <v>0</v>
      </c>
      <c r="I284" s="35">
        <f>G284-H284</f>
        <v/>
      </c>
      <c r="J284" s="33" t="n">
        <v>2025</v>
      </c>
      <c r="K284" s="33" t="n">
        <v>4</v>
      </c>
      <c r="L284" s="34" t="inlineStr">
        <is>
          <t>Winst- en verliesrekening</t>
        </is>
      </c>
      <c r="M284" s="34" t="inlineStr">
        <is>
          <t>Huisvestingskosten</t>
        </is>
      </c>
      <c r="N284" s="34" t="inlineStr">
        <is>
          <t>Onderhoud</t>
        </is>
      </c>
      <c r="O284" s="36">
        <f>IFERROR(INDEX('Mapping'!$F$2:$F$60,MATCH(B284,'Mapping'!$A$2:$A$60,0)),"")</f>
        <v/>
      </c>
    </row>
    <row r="285">
      <c r="A285" s="32" t="n">
        <v>45778</v>
      </c>
      <c r="B285" s="33" t="n">
        <v>4120</v>
      </c>
      <c r="C285" s="34" t="inlineStr">
        <is>
          <t>Onderhoud pand</t>
        </is>
      </c>
      <c r="D285" s="34" t="inlineStr">
        <is>
          <t>Huisvesting</t>
        </is>
      </c>
      <c r="E285" s="34" t="inlineStr">
        <is>
          <t>Algemeen</t>
        </is>
      </c>
      <c r="F285" s="34" t="inlineStr"/>
      <c r="G285" s="35" t="n">
        <v>688</v>
      </c>
      <c r="H285" s="35" t="n">
        <v>0</v>
      </c>
      <c r="I285" s="35">
        <f>G285-H285</f>
        <v/>
      </c>
      <c r="J285" s="33" t="n">
        <v>2025</v>
      </c>
      <c r="K285" s="33" t="n">
        <v>5</v>
      </c>
      <c r="L285" s="34" t="inlineStr">
        <is>
          <t>Winst- en verliesrekening</t>
        </is>
      </c>
      <c r="M285" s="34" t="inlineStr">
        <is>
          <t>Huisvestingskosten</t>
        </is>
      </c>
      <c r="N285" s="34" t="inlineStr">
        <is>
          <t>Onderhoud</t>
        </is>
      </c>
      <c r="O285" s="36">
        <f>IFERROR(INDEX('Mapping'!$F$2:$F$60,MATCH(B285,'Mapping'!$A$2:$A$60,0)),"")</f>
        <v/>
      </c>
    </row>
    <row r="286">
      <c r="A286" s="32" t="n">
        <v>45809</v>
      </c>
      <c r="B286" s="33" t="n">
        <v>4120</v>
      </c>
      <c r="C286" s="34" t="inlineStr">
        <is>
          <t>Onderhoud pand</t>
        </is>
      </c>
      <c r="D286" s="34" t="inlineStr">
        <is>
          <t>Huisvesting</t>
        </is>
      </c>
      <c r="E286" s="34" t="inlineStr">
        <is>
          <t>Algemeen</t>
        </is>
      </c>
      <c r="F286" s="34" t="inlineStr"/>
      <c r="G286" s="35" t="n">
        <v>720</v>
      </c>
      <c r="H286" s="35" t="n">
        <v>0</v>
      </c>
      <c r="I286" s="35">
        <f>G286-H286</f>
        <v/>
      </c>
      <c r="J286" s="33" t="n">
        <v>2025</v>
      </c>
      <c r="K286" s="33" t="n">
        <v>6</v>
      </c>
      <c r="L286" s="34" t="inlineStr">
        <is>
          <t>Winst- en verliesrekening</t>
        </is>
      </c>
      <c r="M286" s="34" t="inlineStr">
        <is>
          <t>Huisvestingskosten</t>
        </is>
      </c>
      <c r="N286" s="34" t="inlineStr">
        <is>
          <t>Onderhoud</t>
        </is>
      </c>
      <c r="O286" s="36">
        <f>IFERROR(INDEX('Mapping'!$F$2:$F$60,MATCH(B286,'Mapping'!$A$2:$A$60,0)),"")</f>
        <v/>
      </c>
    </row>
    <row r="287">
      <c r="A287" s="32" t="n">
        <v>45839</v>
      </c>
      <c r="B287" s="33" t="n">
        <v>4120</v>
      </c>
      <c r="C287" s="34" t="inlineStr">
        <is>
          <t>Onderhoud pand</t>
        </is>
      </c>
      <c r="D287" s="34" t="inlineStr">
        <is>
          <t>Huisvesting</t>
        </is>
      </c>
      <c r="E287" s="34" t="inlineStr">
        <is>
          <t>Algemeen</t>
        </is>
      </c>
      <c r="F287" s="34" t="inlineStr"/>
      <c r="G287" s="35" t="n">
        <v>608</v>
      </c>
      <c r="H287" s="35" t="n">
        <v>0</v>
      </c>
      <c r="I287" s="35">
        <f>G287-H287</f>
        <v/>
      </c>
      <c r="J287" s="33" t="n">
        <v>2025</v>
      </c>
      <c r="K287" s="33" t="n">
        <v>7</v>
      </c>
      <c r="L287" s="34" t="inlineStr">
        <is>
          <t>Winst- en verliesrekening</t>
        </is>
      </c>
      <c r="M287" s="34" t="inlineStr">
        <is>
          <t>Huisvestingskosten</t>
        </is>
      </c>
      <c r="N287" s="34" t="inlineStr">
        <is>
          <t>Onderhoud</t>
        </is>
      </c>
      <c r="O287" s="36">
        <f>IFERROR(INDEX('Mapping'!$F$2:$F$60,MATCH(B287,'Mapping'!$A$2:$A$60,0)),"")</f>
        <v/>
      </c>
    </row>
    <row r="288">
      <c r="A288" s="32" t="n">
        <v>45870</v>
      </c>
      <c r="B288" s="33" t="n">
        <v>4120</v>
      </c>
      <c r="C288" s="34" t="inlineStr">
        <is>
          <t>Onderhoud pand</t>
        </is>
      </c>
      <c r="D288" s="34" t="inlineStr">
        <is>
          <t>Huisvesting</t>
        </is>
      </c>
      <c r="E288" s="34" t="inlineStr">
        <is>
          <t>Algemeen</t>
        </is>
      </c>
      <c r="F288" s="34" t="inlineStr"/>
      <c r="G288" s="35" t="n">
        <v>560</v>
      </c>
      <c r="H288" s="35" t="n">
        <v>0</v>
      </c>
      <c r="I288" s="35">
        <f>G288-H288</f>
        <v/>
      </c>
      <c r="J288" s="33" t="n">
        <v>2025</v>
      </c>
      <c r="K288" s="33" t="n">
        <v>8</v>
      </c>
      <c r="L288" s="34" t="inlineStr">
        <is>
          <t>Winst- en verliesrekening</t>
        </is>
      </c>
      <c r="M288" s="34" t="inlineStr">
        <is>
          <t>Huisvestingskosten</t>
        </is>
      </c>
      <c r="N288" s="34" t="inlineStr">
        <is>
          <t>Onderhoud</t>
        </is>
      </c>
      <c r="O288" s="36">
        <f>IFERROR(INDEX('Mapping'!$F$2:$F$60,MATCH(B288,'Mapping'!$A$2:$A$60,0)),"")</f>
        <v/>
      </c>
    </row>
    <row r="289">
      <c r="A289" s="32" t="n">
        <v>45901</v>
      </c>
      <c r="B289" s="33" t="n">
        <v>4120</v>
      </c>
      <c r="C289" s="34" t="inlineStr">
        <is>
          <t>Onderhoud pand</t>
        </is>
      </c>
      <c r="D289" s="34" t="inlineStr">
        <is>
          <t>Huisvesting</t>
        </is>
      </c>
      <c r="E289" s="34" t="inlineStr">
        <is>
          <t>Algemeen</t>
        </is>
      </c>
      <c r="F289" s="34" t="inlineStr"/>
      <c r="G289" s="35" t="n">
        <v>704</v>
      </c>
      <c r="H289" s="35" t="n">
        <v>0</v>
      </c>
      <c r="I289" s="35">
        <f>G289-H289</f>
        <v/>
      </c>
      <c r="J289" s="33" t="n">
        <v>2025</v>
      </c>
      <c r="K289" s="33" t="n">
        <v>9</v>
      </c>
      <c r="L289" s="34" t="inlineStr">
        <is>
          <t>Winst- en verliesrekening</t>
        </is>
      </c>
      <c r="M289" s="34" t="inlineStr">
        <is>
          <t>Huisvestingskosten</t>
        </is>
      </c>
      <c r="N289" s="34" t="inlineStr">
        <is>
          <t>Onderhoud</t>
        </is>
      </c>
      <c r="O289" s="36">
        <f>IFERROR(INDEX('Mapping'!$F$2:$F$60,MATCH(B289,'Mapping'!$A$2:$A$60,0)),"")</f>
        <v/>
      </c>
    </row>
    <row r="290">
      <c r="A290" s="32" t="n">
        <v>45931</v>
      </c>
      <c r="B290" s="33" t="n">
        <v>4120</v>
      </c>
      <c r="C290" s="34" t="inlineStr">
        <is>
          <t>Onderhoud pand</t>
        </is>
      </c>
      <c r="D290" s="34" t="inlineStr">
        <is>
          <t>Huisvesting</t>
        </is>
      </c>
      <c r="E290" s="34" t="inlineStr">
        <is>
          <t>Algemeen</t>
        </is>
      </c>
      <c r="F290" s="34" t="inlineStr"/>
      <c r="G290" s="35" t="n">
        <v>720</v>
      </c>
      <c r="H290" s="35" t="n">
        <v>0</v>
      </c>
      <c r="I290" s="35">
        <f>G290-H290</f>
        <v/>
      </c>
      <c r="J290" s="33" t="n">
        <v>2025</v>
      </c>
      <c r="K290" s="33" t="n">
        <v>10</v>
      </c>
      <c r="L290" s="34" t="inlineStr">
        <is>
          <t>Winst- en verliesrekening</t>
        </is>
      </c>
      <c r="M290" s="34" t="inlineStr">
        <is>
          <t>Huisvestingskosten</t>
        </is>
      </c>
      <c r="N290" s="34" t="inlineStr">
        <is>
          <t>Onderhoud</t>
        </is>
      </c>
      <c r="O290" s="36">
        <f>IFERROR(INDEX('Mapping'!$F$2:$F$60,MATCH(B290,'Mapping'!$A$2:$A$60,0)),"")</f>
        <v/>
      </c>
    </row>
    <row r="291">
      <c r="A291" s="32" t="n">
        <v>45962</v>
      </c>
      <c r="B291" s="33" t="n">
        <v>4120</v>
      </c>
      <c r="C291" s="34" t="inlineStr">
        <is>
          <t>Onderhoud pand</t>
        </is>
      </c>
      <c r="D291" s="34" t="inlineStr">
        <is>
          <t>Huisvesting</t>
        </is>
      </c>
      <c r="E291" s="34" t="inlineStr">
        <is>
          <t>Algemeen</t>
        </is>
      </c>
      <c r="F291" s="34" t="inlineStr"/>
      <c r="G291" s="35" t="n">
        <v>688</v>
      </c>
      <c r="H291" s="35" t="n">
        <v>0</v>
      </c>
      <c r="I291" s="35">
        <f>G291-H291</f>
        <v/>
      </c>
      <c r="J291" s="33" t="n">
        <v>2025</v>
      </c>
      <c r="K291" s="33" t="n">
        <v>11</v>
      </c>
      <c r="L291" s="34" t="inlineStr">
        <is>
          <t>Winst- en verliesrekening</t>
        </is>
      </c>
      <c r="M291" s="34" t="inlineStr">
        <is>
          <t>Huisvestingskosten</t>
        </is>
      </c>
      <c r="N291" s="34" t="inlineStr">
        <is>
          <t>Onderhoud</t>
        </is>
      </c>
      <c r="O291" s="36">
        <f>IFERROR(INDEX('Mapping'!$F$2:$F$60,MATCH(B291,'Mapping'!$A$2:$A$60,0)),"")</f>
        <v/>
      </c>
    </row>
    <row r="292">
      <c r="A292" s="32" t="n">
        <v>45992</v>
      </c>
      <c r="B292" s="33" t="n">
        <v>4120</v>
      </c>
      <c r="C292" s="34" t="inlineStr">
        <is>
          <t>Onderhoud pand</t>
        </is>
      </c>
      <c r="D292" s="34" t="inlineStr">
        <is>
          <t>Huisvesting</t>
        </is>
      </c>
      <c r="E292" s="34" t="inlineStr">
        <is>
          <t>Algemeen</t>
        </is>
      </c>
      <c r="F292" s="34" t="inlineStr"/>
      <c r="G292" s="35" t="n">
        <v>832</v>
      </c>
      <c r="H292" s="35" t="n">
        <v>0</v>
      </c>
      <c r="I292" s="35">
        <f>G292-H292</f>
        <v/>
      </c>
      <c r="J292" s="33" t="n">
        <v>2025</v>
      </c>
      <c r="K292" s="33" t="n">
        <v>12</v>
      </c>
      <c r="L292" s="34" t="inlineStr">
        <is>
          <t>Winst- en verliesrekening</t>
        </is>
      </c>
      <c r="M292" s="34" t="inlineStr">
        <is>
          <t>Huisvestingskosten</t>
        </is>
      </c>
      <c r="N292" s="34" t="inlineStr">
        <is>
          <t>Onderhoud</t>
        </is>
      </c>
      <c r="O292" s="36">
        <f>IFERROR(INDEX('Mapping'!$F$2:$F$60,MATCH(B292,'Mapping'!$A$2:$A$60,0)),"")</f>
        <v/>
      </c>
    </row>
    <row r="293">
      <c r="A293" s="32" t="n">
        <v>45292</v>
      </c>
      <c r="B293" s="33" t="n">
        <v>4200</v>
      </c>
      <c r="C293" s="34" t="inlineStr">
        <is>
          <t>Brandstofkosten</t>
        </is>
      </c>
      <c r="D293" s="34" t="inlineStr">
        <is>
          <t>Wagenpark</t>
        </is>
      </c>
      <c r="E293" s="34" t="inlineStr">
        <is>
          <t>Algemeen</t>
        </is>
      </c>
      <c r="F293" s="34" t="inlineStr"/>
      <c r="G293" s="35" t="n">
        <v>1400</v>
      </c>
      <c r="H293" s="35" t="n">
        <v>0</v>
      </c>
      <c r="I293" s="35">
        <f>G293-H293</f>
        <v/>
      </c>
      <c r="J293" s="33" t="n">
        <v>2024</v>
      </c>
      <c r="K293" s="33" t="n">
        <v>1</v>
      </c>
      <c r="L293" s="34" t="inlineStr">
        <is>
          <t>Winst- en verliesrekening</t>
        </is>
      </c>
      <c r="M293" s="34" t="inlineStr">
        <is>
          <t>Autokosten</t>
        </is>
      </c>
      <c r="N293" s="34" t="inlineStr">
        <is>
          <t>Brandstof</t>
        </is>
      </c>
      <c r="O293" s="36">
        <f>IFERROR(INDEX('Mapping'!$F$2:$F$60,MATCH(B293,'Mapping'!$A$2:$A$60,0)),"")</f>
        <v/>
      </c>
    </row>
    <row r="294">
      <c r="A294" s="32" t="n">
        <v>45323</v>
      </c>
      <c r="B294" s="33" t="n">
        <v>4200</v>
      </c>
      <c r="C294" s="34" t="inlineStr">
        <is>
          <t>Brandstofkosten</t>
        </is>
      </c>
      <c r="D294" s="34" t="inlineStr">
        <is>
          <t>Wagenpark</t>
        </is>
      </c>
      <c r="E294" s="34" t="inlineStr">
        <is>
          <t>Algemeen</t>
        </is>
      </c>
      <c r="F294" s="34" t="inlineStr"/>
      <c r="G294" s="35" t="n">
        <v>1400</v>
      </c>
      <c r="H294" s="35" t="n">
        <v>0</v>
      </c>
      <c r="I294" s="35">
        <f>G294-H294</f>
        <v/>
      </c>
      <c r="J294" s="33" t="n">
        <v>2024</v>
      </c>
      <c r="K294" s="33" t="n">
        <v>2</v>
      </c>
      <c r="L294" s="34" t="inlineStr">
        <is>
          <t>Winst- en verliesrekening</t>
        </is>
      </c>
      <c r="M294" s="34" t="inlineStr">
        <is>
          <t>Autokosten</t>
        </is>
      </c>
      <c r="N294" s="34" t="inlineStr">
        <is>
          <t>Brandstof</t>
        </is>
      </c>
      <c r="O294" s="36">
        <f>IFERROR(INDEX('Mapping'!$F$2:$F$60,MATCH(B294,'Mapping'!$A$2:$A$60,0)),"")</f>
        <v/>
      </c>
    </row>
    <row r="295">
      <c r="A295" s="32" t="n">
        <v>45352</v>
      </c>
      <c r="B295" s="33" t="n">
        <v>4200</v>
      </c>
      <c r="C295" s="34" t="inlineStr">
        <is>
          <t>Brandstofkosten</t>
        </is>
      </c>
      <c r="D295" s="34" t="inlineStr">
        <is>
          <t>Wagenpark</t>
        </is>
      </c>
      <c r="E295" s="34" t="inlineStr">
        <is>
          <t>Algemeen</t>
        </is>
      </c>
      <c r="F295" s="34" t="inlineStr"/>
      <c r="G295" s="35" t="n">
        <v>1760</v>
      </c>
      <c r="H295" s="35" t="n">
        <v>0</v>
      </c>
      <c r="I295" s="35">
        <f>G295-H295</f>
        <v/>
      </c>
      <c r="J295" s="33" t="n">
        <v>2024</v>
      </c>
      <c r="K295" s="33" t="n">
        <v>3</v>
      </c>
      <c r="L295" s="34" t="inlineStr">
        <is>
          <t>Winst- en verliesrekening</t>
        </is>
      </c>
      <c r="M295" s="34" t="inlineStr">
        <is>
          <t>Autokosten</t>
        </is>
      </c>
      <c r="N295" s="34" t="inlineStr">
        <is>
          <t>Brandstof</t>
        </is>
      </c>
      <c r="O295" s="36">
        <f>IFERROR(INDEX('Mapping'!$F$2:$F$60,MATCH(B295,'Mapping'!$A$2:$A$60,0)),"")</f>
        <v/>
      </c>
    </row>
    <row r="296">
      <c r="A296" s="32" t="n">
        <v>45383</v>
      </c>
      <c r="B296" s="33" t="n">
        <v>4200</v>
      </c>
      <c r="C296" s="34" t="inlineStr">
        <is>
          <t>Brandstofkosten</t>
        </is>
      </c>
      <c r="D296" s="34" t="inlineStr">
        <is>
          <t>Wagenpark</t>
        </is>
      </c>
      <c r="E296" s="34" t="inlineStr">
        <is>
          <t>Algemeen</t>
        </is>
      </c>
      <c r="F296" s="34" t="inlineStr"/>
      <c r="G296" s="35" t="n">
        <v>1640</v>
      </c>
      <c r="H296" s="35" t="n">
        <v>0</v>
      </c>
      <c r="I296" s="35">
        <f>G296-H296</f>
        <v/>
      </c>
      <c r="J296" s="33" t="n">
        <v>2024</v>
      </c>
      <c r="K296" s="33" t="n">
        <v>4</v>
      </c>
      <c r="L296" s="34" t="inlineStr">
        <is>
          <t>Winst- en verliesrekening</t>
        </is>
      </c>
      <c r="M296" s="34" t="inlineStr">
        <is>
          <t>Autokosten</t>
        </is>
      </c>
      <c r="N296" s="34" t="inlineStr">
        <is>
          <t>Brandstof</t>
        </is>
      </c>
      <c r="O296" s="36">
        <f>IFERROR(INDEX('Mapping'!$F$2:$F$60,MATCH(B296,'Mapping'!$A$2:$A$60,0)),"")</f>
        <v/>
      </c>
    </row>
    <row r="297">
      <c r="A297" s="32" t="n">
        <v>45413</v>
      </c>
      <c r="B297" s="33" t="n">
        <v>4200</v>
      </c>
      <c r="C297" s="34" t="inlineStr">
        <is>
          <t>Brandstofkosten</t>
        </is>
      </c>
      <c r="D297" s="34" t="inlineStr">
        <is>
          <t>Wagenpark</t>
        </is>
      </c>
      <c r="E297" s="34" t="inlineStr">
        <is>
          <t>Algemeen</t>
        </is>
      </c>
      <c r="F297" s="34" t="inlineStr"/>
      <c r="G297" s="35" t="n">
        <v>1720</v>
      </c>
      <c r="H297" s="35" t="n">
        <v>0</v>
      </c>
      <c r="I297" s="35">
        <f>G297-H297</f>
        <v/>
      </c>
      <c r="J297" s="33" t="n">
        <v>2024</v>
      </c>
      <c r="K297" s="33" t="n">
        <v>5</v>
      </c>
      <c r="L297" s="34" t="inlineStr">
        <is>
          <t>Winst- en verliesrekening</t>
        </is>
      </c>
      <c r="M297" s="34" t="inlineStr">
        <is>
          <t>Autokosten</t>
        </is>
      </c>
      <c r="N297" s="34" t="inlineStr">
        <is>
          <t>Brandstof</t>
        </is>
      </c>
      <c r="O297" s="36">
        <f>IFERROR(INDEX('Mapping'!$F$2:$F$60,MATCH(B297,'Mapping'!$A$2:$A$60,0)),"")</f>
        <v/>
      </c>
    </row>
    <row r="298">
      <c r="A298" s="32" t="n">
        <v>45444</v>
      </c>
      <c r="B298" s="33" t="n">
        <v>4200</v>
      </c>
      <c r="C298" s="34" t="inlineStr">
        <is>
          <t>Brandstofkosten</t>
        </is>
      </c>
      <c r="D298" s="34" t="inlineStr">
        <is>
          <t>Wagenpark</t>
        </is>
      </c>
      <c r="E298" s="34" t="inlineStr">
        <is>
          <t>Algemeen</t>
        </is>
      </c>
      <c r="F298" s="34" t="inlineStr"/>
      <c r="G298" s="35" t="n">
        <v>1800</v>
      </c>
      <c r="H298" s="35" t="n">
        <v>0</v>
      </c>
      <c r="I298" s="35">
        <f>G298-H298</f>
        <v/>
      </c>
      <c r="J298" s="33" t="n">
        <v>2024</v>
      </c>
      <c r="K298" s="33" t="n">
        <v>6</v>
      </c>
      <c r="L298" s="34" t="inlineStr">
        <is>
          <t>Winst- en verliesrekening</t>
        </is>
      </c>
      <c r="M298" s="34" t="inlineStr">
        <is>
          <t>Autokosten</t>
        </is>
      </c>
      <c r="N298" s="34" t="inlineStr">
        <is>
          <t>Brandstof</t>
        </is>
      </c>
      <c r="O298" s="36">
        <f>IFERROR(INDEX('Mapping'!$F$2:$F$60,MATCH(B298,'Mapping'!$A$2:$A$60,0)),"")</f>
        <v/>
      </c>
    </row>
    <row r="299">
      <c r="A299" s="32" t="n">
        <v>45474</v>
      </c>
      <c r="B299" s="33" t="n">
        <v>4200</v>
      </c>
      <c r="C299" s="34" t="inlineStr">
        <is>
          <t>Brandstofkosten</t>
        </is>
      </c>
      <c r="D299" s="34" t="inlineStr">
        <is>
          <t>Wagenpark</t>
        </is>
      </c>
      <c r="E299" s="34" t="inlineStr">
        <is>
          <t>Algemeen</t>
        </is>
      </c>
      <c r="F299" s="34" t="inlineStr"/>
      <c r="G299" s="35" t="n">
        <v>1520</v>
      </c>
      <c r="H299" s="35" t="n">
        <v>0</v>
      </c>
      <c r="I299" s="35">
        <f>G299-H299</f>
        <v/>
      </c>
      <c r="J299" s="33" t="n">
        <v>2024</v>
      </c>
      <c r="K299" s="33" t="n">
        <v>7</v>
      </c>
      <c r="L299" s="34" t="inlineStr">
        <is>
          <t>Winst- en verliesrekening</t>
        </is>
      </c>
      <c r="M299" s="34" t="inlineStr">
        <is>
          <t>Autokosten</t>
        </is>
      </c>
      <c r="N299" s="34" t="inlineStr">
        <is>
          <t>Brandstof</t>
        </is>
      </c>
      <c r="O299" s="36">
        <f>IFERROR(INDEX('Mapping'!$F$2:$F$60,MATCH(B299,'Mapping'!$A$2:$A$60,0)),"")</f>
        <v/>
      </c>
    </row>
    <row r="300">
      <c r="A300" s="32" t="n">
        <v>45505</v>
      </c>
      <c r="B300" s="33" t="n">
        <v>4200</v>
      </c>
      <c r="C300" s="34" t="inlineStr">
        <is>
          <t>Brandstofkosten</t>
        </is>
      </c>
      <c r="D300" s="34" t="inlineStr">
        <is>
          <t>Wagenpark</t>
        </is>
      </c>
      <c r="E300" s="34" t="inlineStr">
        <is>
          <t>Algemeen</t>
        </is>
      </c>
      <c r="F300" s="34" t="inlineStr"/>
      <c r="G300" s="35" t="n">
        <v>1400</v>
      </c>
      <c r="H300" s="35" t="n">
        <v>0</v>
      </c>
      <c r="I300" s="35">
        <f>G300-H300</f>
        <v/>
      </c>
      <c r="J300" s="33" t="n">
        <v>2024</v>
      </c>
      <c r="K300" s="33" t="n">
        <v>8</v>
      </c>
      <c r="L300" s="34" t="inlineStr">
        <is>
          <t>Winst- en verliesrekening</t>
        </is>
      </c>
      <c r="M300" s="34" t="inlineStr">
        <is>
          <t>Autokosten</t>
        </is>
      </c>
      <c r="N300" s="34" t="inlineStr">
        <is>
          <t>Brandstof</t>
        </is>
      </c>
      <c r="O300" s="36">
        <f>IFERROR(INDEX('Mapping'!$F$2:$F$60,MATCH(B300,'Mapping'!$A$2:$A$60,0)),"")</f>
        <v/>
      </c>
    </row>
    <row r="301">
      <c r="A301" s="32" t="n">
        <v>45536</v>
      </c>
      <c r="B301" s="33" t="n">
        <v>4200</v>
      </c>
      <c r="C301" s="34" t="inlineStr">
        <is>
          <t>Brandstofkosten</t>
        </is>
      </c>
      <c r="D301" s="34" t="inlineStr">
        <is>
          <t>Wagenpark</t>
        </is>
      </c>
      <c r="E301" s="34" t="inlineStr">
        <is>
          <t>Algemeen</t>
        </is>
      </c>
      <c r="F301" s="34" t="inlineStr"/>
      <c r="G301" s="35" t="n">
        <v>1760</v>
      </c>
      <c r="H301" s="35" t="n">
        <v>0</v>
      </c>
      <c r="I301" s="35">
        <f>G301-H301</f>
        <v/>
      </c>
      <c r="J301" s="33" t="n">
        <v>2024</v>
      </c>
      <c r="K301" s="33" t="n">
        <v>9</v>
      </c>
      <c r="L301" s="34" t="inlineStr">
        <is>
          <t>Winst- en verliesrekening</t>
        </is>
      </c>
      <c r="M301" s="34" t="inlineStr">
        <is>
          <t>Autokosten</t>
        </is>
      </c>
      <c r="N301" s="34" t="inlineStr">
        <is>
          <t>Brandstof</t>
        </is>
      </c>
      <c r="O301" s="36">
        <f>IFERROR(INDEX('Mapping'!$F$2:$F$60,MATCH(B301,'Mapping'!$A$2:$A$60,0)),"")</f>
        <v/>
      </c>
    </row>
    <row r="302">
      <c r="A302" s="32" t="n">
        <v>45566</v>
      </c>
      <c r="B302" s="33" t="n">
        <v>4200</v>
      </c>
      <c r="C302" s="34" t="inlineStr">
        <is>
          <t>Brandstofkosten</t>
        </is>
      </c>
      <c r="D302" s="34" t="inlineStr">
        <is>
          <t>Wagenpark</t>
        </is>
      </c>
      <c r="E302" s="34" t="inlineStr">
        <is>
          <t>Algemeen</t>
        </is>
      </c>
      <c r="F302" s="34" t="inlineStr"/>
      <c r="G302" s="35" t="n">
        <v>1800</v>
      </c>
      <c r="H302" s="35" t="n">
        <v>0</v>
      </c>
      <c r="I302" s="35">
        <f>G302-H302</f>
        <v/>
      </c>
      <c r="J302" s="33" t="n">
        <v>2024</v>
      </c>
      <c r="K302" s="33" t="n">
        <v>10</v>
      </c>
      <c r="L302" s="34" t="inlineStr">
        <is>
          <t>Winst- en verliesrekening</t>
        </is>
      </c>
      <c r="M302" s="34" t="inlineStr">
        <is>
          <t>Autokosten</t>
        </is>
      </c>
      <c r="N302" s="34" t="inlineStr">
        <is>
          <t>Brandstof</t>
        </is>
      </c>
      <c r="O302" s="36">
        <f>IFERROR(INDEX('Mapping'!$F$2:$F$60,MATCH(B302,'Mapping'!$A$2:$A$60,0)),"")</f>
        <v/>
      </c>
    </row>
    <row r="303">
      <c r="A303" s="32" t="n">
        <v>45597</v>
      </c>
      <c r="B303" s="33" t="n">
        <v>4200</v>
      </c>
      <c r="C303" s="34" t="inlineStr">
        <is>
          <t>Brandstofkosten</t>
        </is>
      </c>
      <c r="D303" s="34" t="inlineStr">
        <is>
          <t>Wagenpark</t>
        </is>
      </c>
      <c r="E303" s="34" t="inlineStr">
        <is>
          <t>Algemeen</t>
        </is>
      </c>
      <c r="F303" s="34" t="inlineStr"/>
      <c r="G303" s="35" t="n">
        <v>1720</v>
      </c>
      <c r="H303" s="35" t="n">
        <v>0</v>
      </c>
      <c r="I303" s="35">
        <f>G303-H303</f>
        <v/>
      </c>
      <c r="J303" s="33" t="n">
        <v>2024</v>
      </c>
      <c r="K303" s="33" t="n">
        <v>11</v>
      </c>
      <c r="L303" s="34" t="inlineStr">
        <is>
          <t>Winst- en verliesrekening</t>
        </is>
      </c>
      <c r="M303" s="34" t="inlineStr">
        <is>
          <t>Autokosten</t>
        </is>
      </c>
      <c r="N303" s="34" t="inlineStr">
        <is>
          <t>Brandstof</t>
        </is>
      </c>
      <c r="O303" s="36">
        <f>IFERROR(INDEX('Mapping'!$F$2:$F$60,MATCH(B303,'Mapping'!$A$2:$A$60,0)),"")</f>
        <v/>
      </c>
    </row>
    <row r="304">
      <c r="A304" s="32" t="n">
        <v>45627</v>
      </c>
      <c r="B304" s="33" t="n">
        <v>4200</v>
      </c>
      <c r="C304" s="34" t="inlineStr">
        <is>
          <t>Brandstofkosten</t>
        </is>
      </c>
      <c r="D304" s="34" t="inlineStr">
        <is>
          <t>Wagenpark</t>
        </is>
      </c>
      <c r="E304" s="34" t="inlineStr">
        <is>
          <t>Algemeen</t>
        </is>
      </c>
      <c r="F304" s="34" t="inlineStr"/>
      <c r="G304" s="35" t="n">
        <v>2080</v>
      </c>
      <c r="H304" s="35" t="n">
        <v>0</v>
      </c>
      <c r="I304" s="35">
        <f>G304-H304</f>
        <v/>
      </c>
      <c r="J304" s="33" t="n">
        <v>2024</v>
      </c>
      <c r="K304" s="33" t="n">
        <v>12</v>
      </c>
      <c r="L304" s="34" t="inlineStr">
        <is>
          <t>Winst- en verliesrekening</t>
        </is>
      </c>
      <c r="M304" s="34" t="inlineStr">
        <is>
          <t>Autokosten</t>
        </is>
      </c>
      <c r="N304" s="34" t="inlineStr">
        <is>
          <t>Brandstof</t>
        </is>
      </c>
      <c r="O304" s="36">
        <f>IFERROR(INDEX('Mapping'!$F$2:$F$60,MATCH(B304,'Mapping'!$A$2:$A$60,0)),"")</f>
        <v/>
      </c>
    </row>
    <row r="305">
      <c r="A305" s="32" t="n">
        <v>45658</v>
      </c>
      <c r="B305" s="33" t="n">
        <v>4200</v>
      </c>
      <c r="C305" s="34" t="inlineStr">
        <is>
          <t>Brandstofkosten</t>
        </is>
      </c>
      <c r="D305" s="34" t="inlineStr">
        <is>
          <t>Wagenpark</t>
        </is>
      </c>
      <c r="E305" s="34" t="inlineStr">
        <is>
          <t>Algemeen</t>
        </is>
      </c>
      <c r="F305" s="34" t="inlineStr"/>
      <c r="G305" s="35" t="n">
        <v>1470</v>
      </c>
      <c r="H305" s="35" t="n">
        <v>0</v>
      </c>
      <c r="I305" s="35">
        <f>G305-H305</f>
        <v/>
      </c>
      <c r="J305" s="33" t="n">
        <v>2025</v>
      </c>
      <c r="K305" s="33" t="n">
        <v>1</v>
      </c>
      <c r="L305" s="34" t="inlineStr">
        <is>
          <t>Winst- en verliesrekening</t>
        </is>
      </c>
      <c r="M305" s="34" t="inlineStr">
        <is>
          <t>Autokosten</t>
        </is>
      </c>
      <c r="N305" s="34" t="inlineStr">
        <is>
          <t>Brandstof</t>
        </is>
      </c>
      <c r="O305" s="36">
        <f>IFERROR(INDEX('Mapping'!$F$2:$F$60,MATCH(B305,'Mapping'!$A$2:$A$60,0)),"")</f>
        <v/>
      </c>
    </row>
    <row r="306">
      <c r="A306" s="32" t="n">
        <v>45689</v>
      </c>
      <c r="B306" s="33" t="n">
        <v>4200</v>
      </c>
      <c r="C306" s="34" t="inlineStr">
        <is>
          <t>Brandstofkosten</t>
        </is>
      </c>
      <c r="D306" s="34" t="inlineStr">
        <is>
          <t>Wagenpark</t>
        </is>
      </c>
      <c r="E306" s="34" t="inlineStr">
        <is>
          <t>Algemeen</t>
        </is>
      </c>
      <c r="F306" s="34" t="inlineStr"/>
      <c r="G306" s="35" t="n">
        <v>1470</v>
      </c>
      <c r="H306" s="35" t="n">
        <v>0</v>
      </c>
      <c r="I306" s="35">
        <f>G306-H306</f>
        <v/>
      </c>
      <c r="J306" s="33" t="n">
        <v>2025</v>
      </c>
      <c r="K306" s="33" t="n">
        <v>2</v>
      </c>
      <c r="L306" s="34" t="inlineStr">
        <is>
          <t>Winst- en verliesrekening</t>
        </is>
      </c>
      <c r="M306" s="34" t="inlineStr">
        <is>
          <t>Autokosten</t>
        </is>
      </c>
      <c r="N306" s="34" t="inlineStr">
        <is>
          <t>Brandstof</t>
        </is>
      </c>
      <c r="O306" s="36">
        <f>IFERROR(INDEX('Mapping'!$F$2:$F$60,MATCH(B306,'Mapping'!$A$2:$A$60,0)),"")</f>
        <v/>
      </c>
    </row>
    <row r="307">
      <c r="A307" s="32" t="n">
        <v>45717</v>
      </c>
      <c r="B307" s="33" t="n">
        <v>4200</v>
      </c>
      <c r="C307" s="34" t="inlineStr">
        <is>
          <t>Brandstofkosten</t>
        </is>
      </c>
      <c r="D307" s="34" t="inlineStr">
        <is>
          <t>Wagenpark</t>
        </is>
      </c>
      <c r="E307" s="34" t="inlineStr">
        <is>
          <t>Algemeen</t>
        </is>
      </c>
      <c r="F307" s="34" t="inlineStr"/>
      <c r="G307" s="35" t="n">
        <v>1848</v>
      </c>
      <c r="H307" s="35" t="n">
        <v>0</v>
      </c>
      <c r="I307" s="35">
        <f>G307-H307</f>
        <v/>
      </c>
      <c r="J307" s="33" t="n">
        <v>2025</v>
      </c>
      <c r="K307" s="33" t="n">
        <v>3</v>
      </c>
      <c r="L307" s="34" t="inlineStr">
        <is>
          <t>Winst- en verliesrekening</t>
        </is>
      </c>
      <c r="M307" s="34" t="inlineStr">
        <is>
          <t>Autokosten</t>
        </is>
      </c>
      <c r="N307" s="34" t="inlineStr">
        <is>
          <t>Brandstof</t>
        </is>
      </c>
      <c r="O307" s="36">
        <f>IFERROR(INDEX('Mapping'!$F$2:$F$60,MATCH(B307,'Mapping'!$A$2:$A$60,0)),"")</f>
        <v/>
      </c>
    </row>
    <row r="308">
      <c r="A308" s="32" t="n">
        <v>45748</v>
      </c>
      <c r="B308" s="33" t="n">
        <v>4200</v>
      </c>
      <c r="C308" s="34" t="inlineStr">
        <is>
          <t>Brandstofkosten</t>
        </is>
      </c>
      <c r="D308" s="34" t="inlineStr">
        <is>
          <t>Wagenpark</t>
        </is>
      </c>
      <c r="E308" s="34" t="inlineStr">
        <is>
          <t>Algemeen</t>
        </is>
      </c>
      <c r="F308" s="34" t="inlineStr"/>
      <c r="G308" s="35" t="n">
        <v>1722</v>
      </c>
      <c r="H308" s="35" t="n">
        <v>0</v>
      </c>
      <c r="I308" s="35">
        <f>G308-H308</f>
        <v/>
      </c>
      <c r="J308" s="33" t="n">
        <v>2025</v>
      </c>
      <c r="K308" s="33" t="n">
        <v>4</v>
      </c>
      <c r="L308" s="34" t="inlineStr">
        <is>
          <t>Winst- en verliesrekening</t>
        </is>
      </c>
      <c r="M308" s="34" t="inlineStr">
        <is>
          <t>Autokosten</t>
        </is>
      </c>
      <c r="N308" s="34" t="inlineStr">
        <is>
          <t>Brandstof</t>
        </is>
      </c>
      <c r="O308" s="36">
        <f>IFERROR(INDEX('Mapping'!$F$2:$F$60,MATCH(B308,'Mapping'!$A$2:$A$60,0)),"")</f>
        <v/>
      </c>
    </row>
    <row r="309">
      <c r="A309" s="32" t="n">
        <v>45778</v>
      </c>
      <c r="B309" s="33" t="n">
        <v>4200</v>
      </c>
      <c r="C309" s="34" t="inlineStr">
        <is>
          <t>Brandstofkosten</t>
        </is>
      </c>
      <c r="D309" s="34" t="inlineStr">
        <is>
          <t>Wagenpark</t>
        </is>
      </c>
      <c r="E309" s="34" t="inlineStr">
        <is>
          <t>Algemeen</t>
        </is>
      </c>
      <c r="F309" s="34" t="inlineStr"/>
      <c r="G309" s="35" t="n">
        <v>1806</v>
      </c>
      <c r="H309" s="35" t="n">
        <v>0</v>
      </c>
      <c r="I309" s="35">
        <f>G309-H309</f>
        <v/>
      </c>
      <c r="J309" s="33" t="n">
        <v>2025</v>
      </c>
      <c r="K309" s="33" t="n">
        <v>5</v>
      </c>
      <c r="L309" s="34" t="inlineStr">
        <is>
          <t>Winst- en verliesrekening</t>
        </is>
      </c>
      <c r="M309" s="34" t="inlineStr">
        <is>
          <t>Autokosten</t>
        </is>
      </c>
      <c r="N309" s="34" t="inlineStr">
        <is>
          <t>Brandstof</t>
        </is>
      </c>
      <c r="O309" s="36">
        <f>IFERROR(INDEX('Mapping'!$F$2:$F$60,MATCH(B309,'Mapping'!$A$2:$A$60,0)),"")</f>
        <v/>
      </c>
    </row>
    <row r="310">
      <c r="A310" s="32" t="n">
        <v>45809</v>
      </c>
      <c r="B310" s="33" t="n">
        <v>4200</v>
      </c>
      <c r="C310" s="34" t="inlineStr">
        <is>
          <t>Brandstofkosten</t>
        </is>
      </c>
      <c r="D310" s="34" t="inlineStr">
        <is>
          <t>Wagenpark</t>
        </is>
      </c>
      <c r="E310" s="34" t="inlineStr">
        <is>
          <t>Algemeen</t>
        </is>
      </c>
      <c r="F310" s="34" t="inlineStr"/>
      <c r="G310" s="35" t="n">
        <v>1890</v>
      </c>
      <c r="H310" s="35" t="n">
        <v>0</v>
      </c>
      <c r="I310" s="35">
        <f>G310-H310</f>
        <v/>
      </c>
      <c r="J310" s="33" t="n">
        <v>2025</v>
      </c>
      <c r="K310" s="33" t="n">
        <v>6</v>
      </c>
      <c r="L310" s="34" t="inlineStr">
        <is>
          <t>Winst- en verliesrekening</t>
        </is>
      </c>
      <c r="M310" s="34" t="inlineStr">
        <is>
          <t>Autokosten</t>
        </is>
      </c>
      <c r="N310" s="34" t="inlineStr">
        <is>
          <t>Brandstof</t>
        </is>
      </c>
      <c r="O310" s="36">
        <f>IFERROR(INDEX('Mapping'!$F$2:$F$60,MATCH(B310,'Mapping'!$A$2:$A$60,0)),"")</f>
        <v/>
      </c>
    </row>
    <row r="311">
      <c r="A311" s="32" t="n">
        <v>45839</v>
      </c>
      <c r="B311" s="33" t="n">
        <v>4200</v>
      </c>
      <c r="C311" s="34" t="inlineStr">
        <is>
          <t>Brandstofkosten</t>
        </is>
      </c>
      <c r="D311" s="34" t="inlineStr">
        <is>
          <t>Wagenpark</t>
        </is>
      </c>
      <c r="E311" s="34" t="inlineStr">
        <is>
          <t>Algemeen</t>
        </is>
      </c>
      <c r="F311" s="34" t="inlineStr"/>
      <c r="G311" s="35" t="n">
        <v>1596</v>
      </c>
      <c r="H311" s="35" t="n">
        <v>0</v>
      </c>
      <c r="I311" s="35">
        <f>G311-H311</f>
        <v/>
      </c>
      <c r="J311" s="33" t="n">
        <v>2025</v>
      </c>
      <c r="K311" s="33" t="n">
        <v>7</v>
      </c>
      <c r="L311" s="34" t="inlineStr">
        <is>
          <t>Winst- en verliesrekening</t>
        </is>
      </c>
      <c r="M311" s="34" t="inlineStr">
        <is>
          <t>Autokosten</t>
        </is>
      </c>
      <c r="N311" s="34" t="inlineStr">
        <is>
          <t>Brandstof</t>
        </is>
      </c>
      <c r="O311" s="36">
        <f>IFERROR(INDEX('Mapping'!$F$2:$F$60,MATCH(B311,'Mapping'!$A$2:$A$60,0)),"")</f>
        <v/>
      </c>
    </row>
    <row r="312">
      <c r="A312" s="32" t="n">
        <v>45870</v>
      </c>
      <c r="B312" s="33" t="n">
        <v>4200</v>
      </c>
      <c r="C312" s="34" t="inlineStr">
        <is>
          <t>Brandstofkosten</t>
        </is>
      </c>
      <c r="D312" s="34" t="inlineStr">
        <is>
          <t>Wagenpark</t>
        </is>
      </c>
      <c r="E312" s="34" t="inlineStr">
        <is>
          <t>Algemeen</t>
        </is>
      </c>
      <c r="F312" s="34" t="inlineStr"/>
      <c r="G312" s="35" t="n">
        <v>1470</v>
      </c>
      <c r="H312" s="35" t="n">
        <v>0</v>
      </c>
      <c r="I312" s="35">
        <f>G312-H312</f>
        <v/>
      </c>
      <c r="J312" s="33" t="n">
        <v>2025</v>
      </c>
      <c r="K312" s="33" t="n">
        <v>8</v>
      </c>
      <c r="L312" s="34" t="inlineStr">
        <is>
          <t>Winst- en verliesrekening</t>
        </is>
      </c>
      <c r="M312" s="34" t="inlineStr">
        <is>
          <t>Autokosten</t>
        </is>
      </c>
      <c r="N312" s="34" t="inlineStr">
        <is>
          <t>Brandstof</t>
        </is>
      </c>
      <c r="O312" s="36">
        <f>IFERROR(INDEX('Mapping'!$F$2:$F$60,MATCH(B312,'Mapping'!$A$2:$A$60,0)),"")</f>
        <v/>
      </c>
    </row>
    <row r="313">
      <c r="A313" s="32" t="n">
        <v>45901</v>
      </c>
      <c r="B313" s="33" t="n">
        <v>4200</v>
      </c>
      <c r="C313" s="34" t="inlineStr">
        <is>
          <t>Brandstofkosten</t>
        </is>
      </c>
      <c r="D313" s="34" t="inlineStr">
        <is>
          <t>Wagenpark</t>
        </is>
      </c>
      <c r="E313" s="34" t="inlineStr">
        <is>
          <t>Algemeen</t>
        </is>
      </c>
      <c r="F313" s="34" t="inlineStr"/>
      <c r="G313" s="35" t="n">
        <v>1848</v>
      </c>
      <c r="H313" s="35" t="n">
        <v>0</v>
      </c>
      <c r="I313" s="35">
        <f>G313-H313</f>
        <v/>
      </c>
      <c r="J313" s="33" t="n">
        <v>2025</v>
      </c>
      <c r="K313" s="33" t="n">
        <v>9</v>
      </c>
      <c r="L313" s="34" t="inlineStr">
        <is>
          <t>Winst- en verliesrekening</t>
        </is>
      </c>
      <c r="M313" s="34" t="inlineStr">
        <is>
          <t>Autokosten</t>
        </is>
      </c>
      <c r="N313" s="34" t="inlineStr">
        <is>
          <t>Brandstof</t>
        </is>
      </c>
      <c r="O313" s="36">
        <f>IFERROR(INDEX('Mapping'!$F$2:$F$60,MATCH(B313,'Mapping'!$A$2:$A$60,0)),"")</f>
        <v/>
      </c>
    </row>
    <row r="314">
      <c r="A314" s="32" t="n">
        <v>45931</v>
      </c>
      <c r="B314" s="33" t="n">
        <v>4200</v>
      </c>
      <c r="C314" s="34" t="inlineStr">
        <is>
          <t>Brandstofkosten</t>
        </is>
      </c>
      <c r="D314" s="34" t="inlineStr">
        <is>
          <t>Wagenpark</t>
        </is>
      </c>
      <c r="E314" s="34" t="inlineStr">
        <is>
          <t>Algemeen</t>
        </is>
      </c>
      <c r="F314" s="34" t="inlineStr"/>
      <c r="G314" s="35" t="n">
        <v>1890</v>
      </c>
      <c r="H314" s="35" t="n">
        <v>0</v>
      </c>
      <c r="I314" s="35">
        <f>G314-H314</f>
        <v/>
      </c>
      <c r="J314" s="33" t="n">
        <v>2025</v>
      </c>
      <c r="K314" s="33" t="n">
        <v>10</v>
      </c>
      <c r="L314" s="34" t="inlineStr">
        <is>
          <t>Winst- en verliesrekening</t>
        </is>
      </c>
      <c r="M314" s="34" t="inlineStr">
        <is>
          <t>Autokosten</t>
        </is>
      </c>
      <c r="N314" s="34" t="inlineStr">
        <is>
          <t>Brandstof</t>
        </is>
      </c>
      <c r="O314" s="36">
        <f>IFERROR(INDEX('Mapping'!$F$2:$F$60,MATCH(B314,'Mapping'!$A$2:$A$60,0)),"")</f>
        <v/>
      </c>
    </row>
    <row r="315">
      <c r="A315" s="32" t="n">
        <v>45962</v>
      </c>
      <c r="B315" s="33" t="n">
        <v>4200</v>
      </c>
      <c r="C315" s="34" t="inlineStr">
        <is>
          <t>Brandstofkosten</t>
        </is>
      </c>
      <c r="D315" s="34" t="inlineStr">
        <is>
          <t>Wagenpark</t>
        </is>
      </c>
      <c r="E315" s="34" t="inlineStr">
        <is>
          <t>Algemeen</t>
        </is>
      </c>
      <c r="F315" s="34" t="inlineStr"/>
      <c r="G315" s="35" t="n">
        <v>1806</v>
      </c>
      <c r="H315" s="35" t="n">
        <v>0</v>
      </c>
      <c r="I315" s="35">
        <f>G315-H315</f>
        <v/>
      </c>
      <c r="J315" s="33" t="n">
        <v>2025</v>
      </c>
      <c r="K315" s="33" t="n">
        <v>11</v>
      </c>
      <c r="L315" s="34" t="inlineStr">
        <is>
          <t>Winst- en verliesrekening</t>
        </is>
      </c>
      <c r="M315" s="34" t="inlineStr">
        <is>
          <t>Autokosten</t>
        </is>
      </c>
      <c r="N315" s="34" t="inlineStr">
        <is>
          <t>Brandstof</t>
        </is>
      </c>
      <c r="O315" s="36">
        <f>IFERROR(INDEX('Mapping'!$F$2:$F$60,MATCH(B315,'Mapping'!$A$2:$A$60,0)),"")</f>
        <v/>
      </c>
    </row>
    <row r="316">
      <c r="A316" s="32" t="n">
        <v>45992</v>
      </c>
      <c r="B316" s="33" t="n">
        <v>4200</v>
      </c>
      <c r="C316" s="34" t="inlineStr">
        <is>
          <t>Brandstofkosten</t>
        </is>
      </c>
      <c r="D316" s="34" t="inlineStr">
        <is>
          <t>Wagenpark</t>
        </is>
      </c>
      <c r="E316" s="34" t="inlineStr">
        <is>
          <t>Algemeen</t>
        </is>
      </c>
      <c r="F316" s="34" t="inlineStr"/>
      <c r="G316" s="35" t="n">
        <v>2184</v>
      </c>
      <c r="H316" s="35" t="n">
        <v>0</v>
      </c>
      <c r="I316" s="35">
        <f>G316-H316</f>
        <v/>
      </c>
      <c r="J316" s="33" t="n">
        <v>2025</v>
      </c>
      <c r="K316" s="33" t="n">
        <v>12</v>
      </c>
      <c r="L316" s="34" t="inlineStr">
        <is>
          <t>Winst- en verliesrekening</t>
        </is>
      </c>
      <c r="M316" s="34" t="inlineStr">
        <is>
          <t>Autokosten</t>
        </is>
      </c>
      <c r="N316" s="34" t="inlineStr">
        <is>
          <t>Brandstof</t>
        </is>
      </c>
      <c r="O316" s="36">
        <f>IFERROR(INDEX('Mapping'!$F$2:$F$60,MATCH(B316,'Mapping'!$A$2:$A$60,0)),"")</f>
        <v/>
      </c>
    </row>
    <row r="317">
      <c r="A317" s="32" t="n">
        <v>45292</v>
      </c>
      <c r="B317" s="33" t="n">
        <v>4210</v>
      </c>
      <c r="C317" s="34" t="inlineStr">
        <is>
          <t>Onderhoud vervoermiddelen</t>
        </is>
      </c>
      <c r="D317" s="34" t="inlineStr">
        <is>
          <t>Wagenpark</t>
        </is>
      </c>
      <c r="E317" s="34" t="inlineStr">
        <is>
          <t>Algemeen</t>
        </is>
      </c>
      <c r="F317" s="34" t="inlineStr"/>
      <c r="G317" s="35" t="n">
        <v>700</v>
      </c>
      <c r="H317" s="35" t="n">
        <v>0</v>
      </c>
      <c r="I317" s="35">
        <f>G317-H317</f>
        <v/>
      </c>
      <c r="J317" s="33" t="n">
        <v>2024</v>
      </c>
      <c r="K317" s="33" t="n">
        <v>1</v>
      </c>
      <c r="L317" s="34" t="inlineStr">
        <is>
          <t>Winst- en verliesrekening</t>
        </is>
      </c>
      <c r="M317" s="34" t="inlineStr">
        <is>
          <t>Autokosten</t>
        </is>
      </c>
      <c r="N317" s="34" t="inlineStr">
        <is>
          <t>Onderhoud auto</t>
        </is>
      </c>
      <c r="O317" s="36">
        <f>IFERROR(INDEX('Mapping'!$F$2:$F$60,MATCH(B317,'Mapping'!$A$2:$A$60,0)),"")</f>
        <v/>
      </c>
    </row>
    <row r="318">
      <c r="A318" s="32" t="n">
        <v>45323</v>
      </c>
      <c r="B318" s="33" t="n">
        <v>4210</v>
      </c>
      <c r="C318" s="34" t="inlineStr">
        <is>
          <t>Onderhoud vervoermiddelen</t>
        </is>
      </c>
      <c r="D318" s="34" t="inlineStr">
        <is>
          <t>Wagenpark</t>
        </is>
      </c>
      <c r="E318" s="34" t="inlineStr">
        <is>
          <t>Algemeen</t>
        </is>
      </c>
      <c r="F318" s="34" t="inlineStr"/>
      <c r="G318" s="35" t="n">
        <v>700</v>
      </c>
      <c r="H318" s="35" t="n">
        <v>0</v>
      </c>
      <c r="I318" s="35">
        <f>G318-H318</f>
        <v/>
      </c>
      <c r="J318" s="33" t="n">
        <v>2024</v>
      </c>
      <c r="K318" s="33" t="n">
        <v>2</v>
      </c>
      <c r="L318" s="34" t="inlineStr">
        <is>
          <t>Winst- en verliesrekening</t>
        </is>
      </c>
      <c r="M318" s="34" t="inlineStr">
        <is>
          <t>Autokosten</t>
        </is>
      </c>
      <c r="N318" s="34" t="inlineStr">
        <is>
          <t>Onderhoud auto</t>
        </is>
      </c>
      <c r="O318" s="36">
        <f>IFERROR(INDEX('Mapping'!$F$2:$F$60,MATCH(B318,'Mapping'!$A$2:$A$60,0)),"")</f>
        <v/>
      </c>
    </row>
    <row r="319">
      <c r="A319" s="32" t="n">
        <v>45352</v>
      </c>
      <c r="B319" s="33" t="n">
        <v>4210</v>
      </c>
      <c r="C319" s="34" t="inlineStr">
        <is>
          <t>Onderhoud vervoermiddelen</t>
        </is>
      </c>
      <c r="D319" s="34" t="inlineStr">
        <is>
          <t>Wagenpark</t>
        </is>
      </c>
      <c r="E319" s="34" t="inlineStr">
        <is>
          <t>Algemeen</t>
        </is>
      </c>
      <c r="F319" s="34" t="inlineStr"/>
      <c r="G319" s="35" t="n">
        <v>880</v>
      </c>
      <c r="H319" s="35" t="n">
        <v>0</v>
      </c>
      <c r="I319" s="35">
        <f>G319-H319</f>
        <v/>
      </c>
      <c r="J319" s="33" t="n">
        <v>2024</v>
      </c>
      <c r="K319" s="33" t="n">
        <v>3</v>
      </c>
      <c r="L319" s="34" t="inlineStr">
        <is>
          <t>Winst- en verliesrekening</t>
        </is>
      </c>
      <c r="M319" s="34" t="inlineStr">
        <is>
          <t>Autokosten</t>
        </is>
      </c>
      <c r="N319" s="34" t="inlineStr">
        <is>
          <t>Onderhoud auto</t>
        </is>
      </c>
      <c r="O319" s="36">
        <f>IFERROR(INDEX('Mapping'!$F$2:$F$60,MATCH(B319,'Mapping'!$A$2:$A$60,0)),"")</f>
        <v/>
      </c>
    </row>
    <row r="320">
      <c r="A320" s="32" t="n">
        <v>45383</v>
      </c>
      <c r="B320" s="33" t="n">
        <v>4210</v>
      </c>
      <c r="C320" s="34" t="inlineStr">
        <is>
          <t>Onderhoud vervoermiddelen</t>
        </is>
      </c>
      <c r="D320" s="34" t="inlineStr">
        <is>
          <t>Wagenpark</t>
        </is>
      </c>
      <c r="E320" s="34" t="inlineStr">
        <is>
          <t>Algemeen</t>
        </is>
      </c>
      <c r="F320" s="34" t="inlineStr"/>
      <c r="G320" s="35" t="n">
        <v>820</v>
      </c>
      <c r="H320" s="35" t="n">
        <v>0</v>
      </c>
      <c r="I320" s="35">
        <f>G320-H320</f>
        <v/>
      </c>
      <c r="J320" s="33" t="n">
        <v>2024</v>
      </c>
      <c r="K320" s="33" t="n">
        <v>4</v>
      </c>
      <c r="L320" s="34" t="inlineStr">
        <is>
          <t>Winst- en verliesrekening</t>
        </is>
      </c>
      <c r="M320" s="34" t="inlineStr">
        <is>
          <t>Autokosten</t>
        </is>
      </c>
      <c r="N320" s="34" t="inlineStr">
        <is>
          <t>Onderhoud auto</t>
        </is>
      </c>
      <c r="O320" s="36">
        <f>IFERROR(INDEX('Mapping'!$F$2:$F$60,MATCH(B320,'Mapping'!$A$2:$A$60,0)),"")</f>
        <v/>
      </c>
    </row>
    <row r="321">
      <c r="A321" s="32" t="n">
        <v>45413</v>
      </c>
      <c r="B321" s="33" t="n">
        <v>4210</v>
      </c>
      <c r="C321" s="34" t="inlineStr">
        <is>
          <t>Onderhoud vervoermiddelen</t>
        </is>
      </c>
      <c r="D321" s="34" t="inlineStr">
        <is>
          <t>Wagenpark</t>
        </is>
      </c>
      <c r="E321" s="34" t="inlineStr">
        <is>
          <t>Algemeen</t>
        </is>
      </c>
      <c r="F321" s="34" t="inlineStr"/>
      <c r="G321" s="35" t="n">
        <v>860</v>
      </c>
      <c r="H321" s="35" t="n">
        <v>0</v>
      </c>
      <c r="I321" s="35">
        <f>G321-H321</f>
        <v/>
      </c>
      <c r="J321" s="33" t="n">
        <v>2024</v>
      </c>
      <c r="K321" s="33" t="n">
        <v>5</v>
      </c>
      <c r="L321" s="34" t="inlineStr">
        <is>
          <t>Winst- en verliesrekening</t>
        </is>
      </c>
      <c r="M321" s="34" t="inlineStr">
        <is>
          <t>Autokosten</t>
        </is>
      </c>
      <c r="N321" s="34" t="inlineStr">
        <is>
          <t>Onderhoud auto</t>
        </is>
      </c>
      <c r="O321" s="36">
        <f>IFERROR(INDEX('Mapping'!$F$2:$F$60,MATCH(B321,'Mapping'!$A$2:$A$60,0)),"")</f>
        <v/>
      </c>
    </row>
    <row r="322">
      <c r="A322" s="32" t="n">
        <v>45444</v>
      </c>
      <c r="B322" s="33" t="n">
        <v>4210</v>
      </c>
      <c r="C322" s="34" t="inlineStr">
        <is>
          <t>Onderhoud vervoermiddelen</t>
        </is>
      </c>
      <c r="D322" s="34" t="inlineStr">
        <is>
          <t>Wagenpark</t>
        </is>
      </c>
      <c r="E322" s="34" t="inlineStr">
        <is>
          <t>Algemeen</t>
        </is>
      </c>
      <c r="F322" s="34" t="inlineStr"/>
      <c r="G322" s="35" t="n">
        <v>900</v>
      </c>
      <c r="H322" s="35" t="n">
        <v>0</v>
      </c>
      <c r="I322" s="35">
        <f>G322-H322</f>
        <v/>
      </c>
      <c r="J322" s="33" t="n">
        <v>2024</v>
      </c>
      <c r="K322" s="33" t="n">
        <v>6</v>
      </c>
      <c r="L322" s="34" t="inlineStr">
        <is>
          <t>Winst- en verliesrekening</t>
        </is>
      </c>
      <c r="M322" s="34" t="inlineStr">
        <is>
          <t>Autokosten</t>
        </is>
      </c>
      <c r="N322" s="34" t="inlineStr">
        <is>
          <t>Onderhoud auto</t>
        </is>
      </c>
      <c r="O322" s="36">
        <f>IFERROR(INDEX('Mapping'!$F$2:$F$60,MATCH(B322,'Mapping'!$A$2:$A$60,0)),"")</f>
        <v/>
      </c>
    </row>
    <row r="323">
      <c r="A323" s="32" t="n">
        <v>45474</v>
      </c>
      <c r="B323" s="33" t="n">
        <v>4210</v>
      </c>
      <c r="C323" s="34" t="inlineStr">
        <is>
          <t>Onderhoud vervoermiddelen</t>
        </is>
      </c>
      <c r="D323" s="34" t="inlineStr">
        <is>
          <t>Wagenpark</t>
        </is>
      </c>
      <c r="E323" s="34" t="inlineStr">
        <is>
          <t>Algemeen</t>
        </is>
      </c>
      <c r="F323" s="34" t="inlineStr"/>
      <c r="G323" s="35" t="n">
        <v>760</v>
      </c>
      <c r="H323" s="35" t="n">
        <v>0</v>
      </c>
      <c r="I323" s="35">
        <f>G323-H323</f>
        <v/>
      </c>
      <c r="J323" s="33" t="n">
        <v>2024</v>
      </c>
      <c r="K323" s="33" t="n">
        <v>7</v>
      </c>
      <c r="L323" s="34" t="inlineStr">
        <is>
          <t>Winst- en verliesrekening</t>
        </is>
      </c>
      <c r="M323" s="34" t="inlineStr">
        <is>
          <t>Autokosten</t>
        </is>
      </c>
      <c r="N323" s="34" t="inlineStr">
        <is>
          <t>Onderhoud auto</t>
        </is>
      </c>
      <c r="O323" s="36">
        <f>IFERROR(INDEX('Mapping'!$F$2:$F$60,MATCH(B323,'Mapping'!$A$2:$A$60,0)),"")</f>
        <v/>
      </c>
    </row>
    <row r="324">
      <c r="A324" s="32" t="n">
        <v>45505</v>
      </c>
      <c r="B324" s="33" t="n">
        <v>4210</v>
      </c>
      <c r="C324" s="34" t="inlineStr">
        <is>
          <t>Onderhoud vervoermiddelen</t>
        </is>
      </c>
      <c r="D324" s="34" t="inlineStr">
        <is>
          <t>Wagenpark</t>
        </is>
      </c>
      <c r="E324" s="34" t="inlineStr">
        <is>
          <t>Algemeen</t>
        </is>
      </c>
      <c r="F324" s="34" t="inlineStr"/>
      <c r="G324" s="35" t="n">
        <v>700</v>
      </c>
      <c r="H324" s="35" t="n">
        <v>0</v>
      </c>
      <c r="I324" s="35">
        <f>G324-H324</f>
        <v/>
      </c>
      <c r="J324" s="33" t="n">
        <v>2024</v>
      </c>
      <c r="K324" s="33" t="n">
        <v>8</v>
      </c>
      <c r="L324" s="34" t="inlineStr">
        <is>
          <t>Winst- en verliesrekening</t>
        </is>
      </c>
      <c r="M324" s="34" t="inlineStr">
        <is>
          <t>Autokosten</t>
        </is>
      </c>
      <c r="N324" s="34" t="inlineStr">
        <is>
          <t>Onderhoud auto</t>
        </is>
      </c>
      <c r="O324" s="36">
        <f>IFERROR(INDEX('Mapping'!$F$2:$F$60,MATCH(B324,'Mapping'!$A$2:$A$60,0)),"")</f>
        <v/>
      </c>
    </row>
    <row r="325">
      <c r="A325" s="32" t="n">
        <v>45536</v>
      </c>
      <c r="B325" s="33" t="n">
        <v>4210</v>
      </c>
      <c r="C325" s="34" t="inlineStr">
        <is>
          <t>Onderhoud vervoermiddelen</t>
        </is>
      </c>
      <c r="D325" s="34" t="inlineStr">
        <is>
          <t>Wagenpark</t>
        </is>
      </c>
      <c r="E325" s="34" t="inlineStr">
        <is>
          <t>Algemeen</t>
        </is>
      </c>
      <c r="F325" s="34" t="inlineStr"/>
      <c r="G325" s="35" t="n">
        <v>880</v>
      </c>
      <c r="H325" s="35" t="n">
        <v>0</v>
      </c>
      <c r="I325" s="35">
        <f>G325-H325</f>
        <v/>
      </c>
      <c r="J325" s="33" t="n">
        <v>2024</v>
      </c>
      <c r="K325" s="33" t="n">
        <v>9</v>
      </c>
      <c r="L325" s="34" t="inlineStr">
        <is>
          <t>Winst- en verliesrekening</t>
        </is>
      </c>
      <c r="M325" s="34" t="inlineStr">
        <is>
          <t>Autokosten</t>
        </is>
      </c>
      <c r="N325" s="34" t="inlineStr">
        <is>
          <t>Onderhoud auto</t>
        </is>
      </c>
      <c r="O325" s="36">
        <f>IFERROR(INDEX('Mapping'!$F$2:$F$60,MATCH(B325,'Mapping'!$A$2:$A$60,0)),"")</f>
        <v/>
      </c>
    </row>
    <row r="326">
      <c r="A326" s="32" t="n">
        <v>45566</v>
      </c>
      <c r="B326" s="33" t="n">
        <v>4210</v>
      </c>
      <c r="C326" s="34" t="inlineStr">
        <is>
          <t>Onderhoud vervoermiddelen</t>
        </is>
      </c>
      <c r="D326" s="34" t="inlineStr">
        <is>
          <t>Wagenpark</t>
        </is>
      </c>
      <c r="E326" s="34" t="inlineStr">
        <is>
          <t>Algemeen</t>
        </is>
      </c>
      <c r="F326" s="34" t="inlineStr"/>
      <c r="G326" s="35" t="n">
        <v>900</v>
      </c>
      <c r="H326" s="35" t="n">
        <v>0</v>
      </c>
      <c r="I326" s="35">
        <f>G326-H326</f>
        <v/>
      </c>
      <c r="J326" s="33" t="n">
        <v>2024</v>
      </c>
      <c r="K326" s="33" t="n">
        <v>10</v>
      </c>
      <c r="L326" s="34" t="inlineStr">
        <is>
          <t>Winst- en verliesrekening</t>
        </is>
      </c>
      <c r="M326" s="34" t="inlineStr">
        <is>
          <t>Autokosten</t>
        </is>
      </c>
      <c r="N326" s="34" t="inlineStr">
        <is>
          <t>Onderhoud auto</t>
        </is>
      </c>
      <c r="O326" s="36">
        <f>IFERROR(INDEX('Mapping'!$F$2:$F$60,MATCH(B326,'Mapping'!$A$2:$A$60,0)),"")</f>
        <v/>
      </c>
    </row>
    <row r="327">
      <c r="A327" s="32" t="n">
        <v>45597</v>
      </c>
      <c r="B327" s="33" t="n">
        <v>4210</v>
      </c>
      <c r="C327" s="34" t="inlineStr">
        <is>
          <t>Onderhoud vervoermiddelen</t>
        </is>
      </c>
      <c r="D327" s="34" t="inlineStr">
        <is>
          <t>Wagenpark</t>
        </is>
      </c>
      <c r="E327" s="34" t="inlineStr">
        <is>
          <t>Algemeen</t>
        </is>
      </c>
      <c r="F327" s="34" t="inlineStr"/>
      <c r="G327" s="35" t="n">
        <v>860</v>
      </c>
      <c r="H327" s="35" t="n">
        <v>0</v>
      </c>
      <c r="I327" s="35">
        <f>G327-H327</f>
        <v/>
      </c>
      <c r="J327" s="33" t="n">
        <v>2024</v>
      </c>
      <c r="K327" s="33" t="n">
        <v>11</v>
      </c>
      <c r="L327" s="34" t="inlineStr">
        <is>
          <t>Winst- en verliesrekening</t>
        </is>
      </c>
      <c r="M327" s="34" t="inlineStr">
        <is>
          <t>Autokosten</t>
        </is>
      </c>
      <c r="N327" s="34" t="inlineStr">
        <is>
          <t>Onderhoud auto</t>
        </is>
      </c>
      <c r="O327" s="36">
        <f>IFERROR(INDEX('Mapping'!$F$2:$F$60,MATCH(B327,'Mapping'!$A$2:$A$60,0)),"")</f>
        <v/>
      </c>
    </row>
    <row r="328">
      <c r="A328" s="32" t="n">
        <v>45627</v>
      </c>
      <c r="B328" s="33" t="n">
        <v>4210</v>
      </c>
      <c r="C328" s="34" t="inlineStr">
        <is>
          <t>Onderhoud vervoermiddelen</t>
        </is>
      </c>
      <c r="D328" s="34" t="inlineStr">
        <is>
          <t>Wagenpark</t>
        </is>
      </c>
      <c r="E328" s="34" t="inlineStr">
        <is>
          <t>Algemeen</t>
        </is>
      </c>
      <c r="F328" s="34" t="inlineStr"/>
      <c r="G328" s="35" t="n">
        <v>1040</v>
      </c>
      <c r="H328" s="35" t="n">
        <v>0</v>
      </c>
      <c r="I328" s="35">
        <f>G328-H328</f>
        <v/>
      </c>
      <c r="J328" s="33" t="n">
        <v>2024</v>
      </c>
      <c r="K328" s="33" t="n">
        <v>12</v>
      </c>
      <c r="L328" s="34" t="inlineStr">
        <is>
          <t>Winst- en verliesrekening</t>
        </is>
      </c>
      <c r="M328" s="34" t="inlineStr">
        <is>
          <t>Autokosten</t>
        </is>
      </c>
      <c r="N328" s="34" t="inlineStr">
        <is>
          <t>Onderhoud auto</t>
        </is>
      </c>
      <c r="O328" s="36">
        <f>IFERROR(INDEX('Mapping'!$F$2:$F$60,MATCH(B328,'Mapping'!$A$2:$A$60,0)),"")</f>
        <v/>
      </c>
    </row>
    <row r="329">
      <c r="A329" s="32" t="n">
        <v>45658</v>
      </c>
      <c r="B329" s="33" t="n">
        <v>4210</v>
      </c>
      <c r="C329" s="34" t="inlineStr">
        <is>
          <t>Onderhoud vervoermiddelen</t>
        </is>
      </c>
      <c r="D329" s="34" t="inlineStr">
        <is>
          <t>Wagenpark</t>
        </is>
      </c>
      <c r="E329" s="34" t="inlineStr">
        <is>
          <t>Algemeen</t>
        </is>
      </c>
      <c r="F329" s="34" t="inlineStr"/>
      <c r="G329" s="35" t="n">
        <v>700</v>
      </c>
      <c r="H329" s="35" t="n">
        <v>0</v>
      </c>
      <c r="I329" s="35">
        <f>G329-H329</f>
        <v/>
      </c>
      <c r="J329" s="33" t="n">
        <v>2025</v>
      </c>
      <c r="K329" s="33" t="n">
        <v>1</v>
      </c>
      <c r="L329" s="34" t="inlineStr">
        <is>
          <t>Winst- en verliesrekening</t>
        </is>
      </c>
      <c r="M329" s="34" t="inlineStr">
        <is>
          <t>Autokosten</t>
        </is>
      </c>
      <c r="N329" s="34" t="inlineStr">
        <is>
          <t>Onderhoud auto</t>
        </is>
      </c>
      <c r="O329" s="36">
        <f>IFERROR(INDEX('Mapping'!$F$2:$F$60,MATCH(B329,'Mapping'!$A$2:$A$60,0)),"")</f>
        <v/>
      </c>
    </row>
    <row r="330">
      <c r="A330" s="32" t="n">
        <v>45689</v>
      </c>
      <c r="B330" s="33" t="n">
        <v>4210</v>
      </c>
      <c r="C330" s="34" t="inlineStr">
        <is>
          <t>Onderhoud vervoermiddelen</t>
        </is>
      </c>
      <c r="D330" s="34" t="inlineStr">
        <is>
          <t>Wagenpark</t>
        </is>
      </c>
      <c r="E330" s="34" t="inlineStr">
        <is>
          <t>Algemeen</t>
        </is>
      </c>
      <c r="F330" s="34" t="inlineStr"/>
      <c r="G330" s="35" t="n">
        <v>700</v>
      </c>
      <c r="H330" s="35" t="n">
        <v>0</v>
      </c>
      <c r="I330" s="35">
        <f>G330-H330</f>
        <v/>
      </c>
      <c r="J330" s="33" t="n">
        <v>2025</v>
      </c>
      <c r="K330" s="33" t="n">
        <v>2</v>
      </c>
      <c r="L330" s="34" t="inlineStr">
        <is>
          <t>Winst- en verliesrekening</t>
        </is>
      </c>
      <c r="M330" s="34" t="inlineStr">
        <is>
          <t>Autokosten</t>
        </is>
      </c>
      <c r="N330" s="34" t="inlineStr">
        <is>
          <t>Onderhoud auto</t>
        </is>
      </c>
      <c r="O330" s="36">
        <f>IFERROR(INDEX('Mapping'!$F$2:$F$60,MATCH(B330,'Mapping'!$A$2:$A$60,0)),"")</f>
        <v/>
      </c>
    </row>
    <row r="331">
      <c r="A331" s="32" t="n">
        <v>45717</v>
      </c>
      <c r="B331" s="33" t="n">
        <v>4210</v>
      </c>
      <c r="C331" s="34" t="inlineStr">
        <is>
          <t>Onderhoud vervoermiddelen</t>
        </is>
      </c>
      <c r="D331" s="34" t="inlineStr">
        <is>
          <t>Wagenpark</t>
        </is>
      </c>
      <c r="E331" s="34" t="inlineStr">
        <is>
          <t>Algemeen</t>
        </is>
      </c>
      <c r="F331" s="34" t="inlineStr"/>
      <c r="G331" s="35" t="n">
        <v>880</v>
      </c>
      <c r="H331" s="35" t="n">
        <v>0</v>
      </c>
      <c r="I331" s="35">
        <f>G331-H331</f>
        <v/>
      </c>
      <c r="J331" s="33" t="n">
        <v>2025</v>
      </c>
      <c r="K331" s="33" t="n">
        <v>3</v>
      </c>
      <c r="L331" s="34" t="inlineStr">
        <is>
          <t>Winst- en verliesrekening</t>
        </is>
      </c>
      <c r="M331" s="34" t="inlineStr">
        <is>
          <t>Autokosten</t>
        </is>
      </c>
      <c r="N331" s="34" t="inlineStr">
        <is>
          <t>Onderhoud auto</t>
        </is>
      </c>
      <c r="O331" s="36">
        <f>IFERROR(INDEX('Mapping'!$F$2:$F$60,MATCH(B331,'Mapping'!$A$2:$A$60,0)),"")</f>
        <v/>
      </c>
    </row>
    <row r="332">
      <c r="A332" s="32" t="n">
        <v>45748</v>
      </c>
      <c r="B332" s="33" t="n">
        <v>4210</v>
      </c>
      <c r="C332" s="34" t="inlineStr">
        <is>
          <t>Onderhoud vervoermiddelen</t>
        </is>
      </c>
      <c r="D332" s="34" t="inlineStr">
        <is>
          <t>Wagenpark</t>
        </is>
      </c>
      <c r="E332" s="34" t="inlineStr">
        <is>
          <t>Algemeen</t>
        </is>
      </c>
      <c r="F332" s="34" t="inlineStr"/>
      <c r="G332" s="35" t="n">
        <v>820</v>
      </c>
      <c r="H332" s="35" t="n">
        <v>0</v>
      </c>
      <c r="I332" s="35">
        <f>G332-H332</f>
        <v/>
      </c>
      <c r="J332" s="33" t="n">
        <v>2025</v>
      </c>
      <c r="K332" s="33" t="n">
        <v>4</v>
      </c>
      <c r="L332" s="34" t="inlineStr">
        <is>
          <t>Winst- en verliesrekening</t>
        </is>
      </c>
      <c r="M332" s="34" t="inlineStr">
        <is>
          <t>Autokosten</t>
        </is>
      </c>
      <c r="N332" s="34" t="inlineStr">
        <is>
          <t>Onderhoud auto</t>
        </is>
      </c>
      <c r="O332" s="36">
        <f>IFERROR(INDEX('Mapping'!$F$2:$F$60,MATCH(B332,'Mapping'!$A$2:$A$60,0)),"")</f>
        <v/>
      </c>
    </row>
    <row r="333">
      <c r="A333" s="32" t="n">
        <v>45778</v>
      </c>
      <c r="B333" s="33" t="n">
        <v>4210</v>
      </c>
      <c r="C333" s="34" t="inlineStr">
        <is>
          <t>Onderhoud vervoermiddelen</t>
        </is>
      </c>
      <c r="D333" s="34" t="inlineStr">
        <is>
          <t>Wagenpark</t>
        </is>
      </c>
      <c r="E333" s="34" t="inlineStr">
        <is>
          <t>Algemeen</t>
        </is>
      </c>
      <c r="F333" s="34" t="inlineStr"/>
      <c r="G333" s="35" t="n">
        <v>860</v>
      </c>
      <c r="H333" s="35" t="n">
        <v>0</v>
      </c>
      <c r="I333" s="35">
        <f>G333-H333</f>
        <v/>
      </c>
      <c r="J333" s="33" t="n">
        <v>2025</v>
      </c>
      <c r="K333" s="33" t="n">
        <v>5</v>
      </c>
      <c r="L333" s="34" t="inlineStr">
        <is>
          <t>Winst- en verliesrekening</t>
        </is>
      </c>
      <c r="M333" s="34" t="inlineStr">
        <is>
          <t>Autokosten</t>
        </is>
      </c>
      <c r="N333" s="34" t="inlineStr">
        <is>
          <t>Onderhoud auto</t>
        </is>
      </c>
      <c r="O333" s="36">
        <f>IFERROR(INDEX('Mapping'!$F$2:$F$60,MATCH(B333,'Mapping'!$A$2:$A$60,0)),"")</f>
        <v/>
      </c>
    </row>
    <row r="334">
      <c r="A334" s="32" t="n">
        <v>45809</v>
      </c>
      <c r="B334" s="33" t="n">
        <v>4210</v>
      </c>
      <c r="C334" s="34" t="inlineStr">
        <is>
          <t>Onderhoud vervoermiddelen</t>
        </is>
      </c>
      <c r="D334" s="34" t="inlineStr">
        <is>
          <t>Wagenpark</t>
        </is>
      </c>
      <c r="E334" s="34" t="inlineStr">
        <is>
          <t>Algemeen</t>
        </is>
      </c>
      <c r="F334" s="34" t="inlineStr"/>
      <c r="G334" s="35" t="n">
        <v>900</v>
      </c>
      <c r="H334" s="35" t="n">
        <v>0</v>
      </c>
      <c r="I334" s="35">
        <f>G334-H334</f>
        <v/>
      </c>
      <c r="J334" s="33" t="n">
        <v>2025</v>
      </c>
      <c r="K334" s="33" t="n">
        <v>6</v>
      </c>
      <c r="L334" s="34" t="inlineStr">
        <is>
          <t>Winst- en verliesrekening</t>
        </is>
      </c>
      <c r="M334" s="34" t="inlineStr">
        <is>
          <t>Autokosten</t>
        </is>
      </c>
      <c r="N334" s="34" t="inlineStr">
        <is>
          <t>Onderhoud auto</t>
        </is>
      </c>
      <c r="O334" s="36">
        <f>IFERROR(INDEX('Mapping'!$F$2:$F$60,MATCH(B334,'Mapping'!$A$2:$A$60,0)),"")</f>
        <v/>
      </c>
    </row>
    <row r="335">
      <c r="A335" s="32" t="n">
        <v>45839</v>
      </c>
      <c r="B335" s="33" t="n">
        <v>4210</v>
      </c>
      <c r="C335" s="34" t="inlineStr">
        <is>
          <t>Onderhoud vervoermiddelen</t>
        </is>
      </c>
      <c r="D335" s="34" t="inlineStr">
        <is>
          <t>Wagenpark</t>
        </is>
      </c>
      <c r="E335" s="34" t="inlineStr">
        <is>
          <t>Algemeen</t>
        </is>
      </c>
      <c r="F335" s="34" t="inlineStr"/>
      <c r="G335" s="35" t="n">
        <v>760</v>
      </c>
      <c r="H335" s="35" t="n">
        <v>0</v>
      </c>
      <c r="I335" s="35">
        <f>G335-H335</f>
        <v/>
      </c>
      <c r="J335" s="33" t="n">
        <v>2025</v>
      </c>
      <c r="K335" s="33" t="n">
        <v>7</v>
      </c>
      <c r="L335" s="34" t="inlineStr">
        <is>
          <t>Winst- en verliesrekening</t>
        </is>
      </c>
      <c r="M335" s="34" t="inlineStr">
        <is>
          <t>Autokosten</t>
        </is>
      </c>
      <c r="N335" s="34" t="inlineStr">
        <is>
          <t>Onderhoud auto</t>
        </is>
      </c>
      <c r="O335" s="36">
        <f>IFERROR(INDEX('Mapping'!$F$2:$F$60,MATCH(B335,'Mapping'!$A$2:$A$60,0)),"")</f>
        <v/>
      </c>
    </row>
    <row r="336">
      <c r="A336" s="32" t="n">
        <v>45870</v>
      </c>
      <c r="B336" s="33" t="n">
        <v>4210</v>
      </c>
      <c r="C336" s="34" t="inlineStr">
        <is>
          <t>Onderhoud vervoermiddelen</t>
        </is>
      </c>
      <c r="D336" s="34" t="inlineStr">
        <is>
          <t>Wagenpark</t>
        </is>
      </c>
      <c r="E336" s="34" t="inlineStr">
        <is>
          <t>Algemeen</t>
        </is>
      </c>
      <c r="F336" s="34" t="inlineStr"/>
      <c r="G336" s="35" t="n">
        <v>700</v>
      </c>
      <c r="H336" s="35" t="n">
        <v>0</v>
      </c>
      <c r="I336" s="35">
        <f>G336-H336</f>
        <v/>
      </c>
      <c r="J336" s="33" t="n">
        <v>2025</v>
      </c>
      <c r="K336" s="33" t="n">
        <v>8</v>
      </c>
      <c r="L336" s="34" t="inlineStr">
        <is>
          <t>Winst- en verliesrekening</t>
        </is>
      </c>
      <c r="M336" s="34" t="inlineStr">
        <is>
          <t>Autokosten</t>
        </is>
      </c>
      <c r="N336" s="34" t="inlineStr">
        <is>
          <t>Onderhoud auto</t>
        </is>
      </c>
      <c r="O336" s="36">
        <f>IFERROR(INDEX('Mapping'!$F$2:$F$60,MATCH(B336,'Mapping'!$A$2:$A$60,0)),"")</f>
        <v/>
      </c>
    </row>
    <row r="337">
      <c r="A337" s="32" t="n">
        <v>45901</v>
      </c>
      <c r="B337" s="33" t="n">
        <v>4210</v>
      </c>
      <c r="C337" s="34" t="inlineStr">
        <is>
          <t>Onderhoud vervoermiddelen</t>
        </is>
      </c>
      <c r="D337" s="34" t="inlineStr">
        <is>
          <t>Wagenpark</t>
        </is>
      </c>
      <c r="E337" s="34" t="inlineStr">
        <is>
          <t>Algemeen</t>
        </is>
      </c>
      <c r="F337" s="34" t="inlineStr"/>
      <c r="G337" s="35" t="n">
        <v>880</v>
      </c>
      <c r="H337" s="35" t="n">
        <v>0</v>
      </c>
      <c r="I337" s="35">
        <f>G337-H337</f>
        <v/>
      </c>
      <c r="J337" s="33" t="n">
        <v>2025</v>
      </c>
      <c r="K337" s="33" t="n">
        <v>9</v>
      </c>
      <c r="L337" s="34" t="inlineStr">
        <is>
          <t>Winst- en verliesrekening</t>
        </is>
      </c>
      <c r="M337" s="34" t="inlineStr">
        <is>
          <t>Autokosten</t>
        </is>
      </c>
      <c r="N337" s="34" t="inlineStr">
        <is>
          <t>Onderhoud auto</t>
        </is>
      </c>
      <c r="O337" s="36">
        <f>IFERROR(INDEX('Mapping'!$F$2:$F$60,MATCH(B337,'Mapping'!$A$2:$A$60,0)),"")</f>
        <v/>
      </c>
    </row>
    <row r="338">
      <c r="A338" s="32" t="n">
        <v>45931</v>
      </c>
      <c r="B338" s="33" t="n">
        <v>4210</v>
      </c>
      <c r="C338" s="34" t="inlineStr">
        <is>
          <t>Onderhoud vervoermiddelen</t>
        </is>
      </c>
      <c r="D338" s="34" t="inlineStr">
        <is>
          <t>Wagenpark</t>
        </is>
      </c>
      <c r="E338" s="34" t="inlineStr">
        <is>
          <t>Algemeen</t>
        </is>
      </c>
      <c r="F338" s="34" t="inlineStr"/>
      <c r="G338" s="35" t="n">
        <v>900</v>
      </c>
      <c r="H338" s="35" t="n">
        <v>0</v>
      </c>
      <c r="I338" s="35">
        <f>G338-H338</f>
        <v/>
      </c>
      <c r="J338" s="33" t="n">
        <v>2025</v>
      </c>
      <c r="K338" s="33" t="n">
        <v>10</v>
      </c>
      <c r="L338" s="34" t="inlineStr">
        <is>
          <t>Winst- en verliesrekening</t>
        </is>
      </c>
      <c r="M338" s="34" t="inlineStr">
        <is>
          <t>Autokosten</t>
        </is>
      </c>
      <c r="N338" s="34" t="inlineStr">
        <is>
          <t>Onderhoud auto</t>
        </is>
      </c>
      <c r="O338" s="36">
        <f>IFERROR(INDEX('Mapping'!$F$2:$F$60,MATCH(B338,'Mapping'!$A$2:$A$60,0)),"")</f>
        <v/>
      </c>
    </row>
    <row r="339">
      <c r="A339" s="32" t="n">
        <v>45962</v>
      </c>
      <c r="B339" s="33" t="n">
        <v>4210</v>
      </c>
      <c r="C339" s="34" t="inlineStr">
        <is>
          <t>Onderhoud vervoermiddelen</t>
        </is>
      </c>
      <c r="D339" s="34" t="inlineStr">
        <is>
          <t>Wagenpark</t>
        </is>
      </c>
      <c r="E339" s="34" t="inlineStr">
        <is>
          <t>Algemeen</t>
        </is>
      </c>
      <c r="F339" s="34" t="inlineStr"/>
      <c r="G339" s="35" t="n">
        <v>860</v>
      </c>
      <c r="H339" s="35" t="n">
        <v>0</v>
      </c>
      <c r="I339" s="35">
        <f>G339-H339</f>
        <v/>
      </c>
      <c r="J339" s="33" t="n">
        <v>2025</v>
      </c>
      <c r="K339" s="33" t="n">
        <v>11</v>
      </c>
      <c r="L339" s="34" t="inlineStr">
        <is>
          <t>Winst- en verliesrekening</t>
        </is>
      </c>
      <c r="M339" s="34" t="inlineStr">
        <is>
          <t>Autokosten</t>
        </is>
      </c>
      <c r="N339" s="34" t="inlineStr">
        <is>
          <t>Onderhoud auto</t>
        </is>
      </c>
      <c r="O339" s="36">
        <f>IFERROR(INDEX('Mapping'!$F$2:$F$60,MATCH(B339,'Mapping'!$A$2:$A$60,0)),"")</f>
        <v/>
      </c>
    </row>
    <row r="340">
      <c r="A340" s="32" t="n">
        <v>45992</v>
      </c>
      <c r="B340" s="33" t="n">
        <v>4210</v>
      </c>
      <c r="C340" s="34" t="inlineStr">
        <is>
          <t>Onderhoud vervoermiddelen</t>
        </is>
      </c>
      <c r="D340" s="34" t="inlineStr">
        <is>
          <t>Wagenpark</t>
        </is>
      </c>
      <c r="E340" s="34" t="inlineStr">
        <is>
          <t>Algemeen</t>
        </is>
      </c>
      <c r="F340" s="34" t="inlineStr"/>
      <c r="G340" s="35" t="n">
        <v>1040</v>
      </c>
      <c r="H340" s="35" t="n">
        <v>0</v>
      </c>
      <c r="I340" s="35">
        <f>G340-H340</f>
        <v/>
      </c>
      <c r="J340" s="33" t="n">
        <v>2025</v>
      </c>
      <c r="K340" s="33" t="n">
        <v>12</v>
      </c>
      <c r="L340" s="34" t="inlineStr">
        <is>
          <t>Winst- en verliesrekening</t>
        </is>
      </c>
      <c r="M340" s="34" t="inlineStr">
        <is>
          <t>Autokosten</t>
        </is>
      </c>
      <c r="N340" s="34" t="inlineStr">
        <is>
          <t>Onderhoud auto</t>
        </is>
      </c>
      <c r="O340" s="36">
        <f>IFERROR(INDEX('Mapping'!$F$2:$F$60,MATCH(B340,'Mapping'!$A$2:$A$60,0)),"")</f>
        <v/>
      </c>
    </row>
    <row r="341">
      <c r="A341" s="32" t="n">
        <v>45292</v>
      </c>
      <c r="B341" s="33" t="n">
        <v>4220</v>
      </c>
      <c r="C341" s="34" t="inlineStr">
        <is>
          <t>Leasekosten</t>
        </is>
      </c>
      <c r="D341" s="34" t="inlineStr">
        <is>
          <t>Wagenpark</t>
        </is>
      </c>
      <c r="E341" s="34" t="inlineStr">
        <is>
          <t>Algemeen</t>
        </is>
      </c>
      <c r="F341" s="34" t="inlineStr"/>
      <c r="G341" s="35" t="n">
        <v>1120</v>
      </c>
      <c r="H341" s="35" t="n">
        <v>0</v>
      </c>
      <c r="I341" s="35">
        <f>G341-H341</f>
        <v/>
      </c>
      <c r="J341" s="33" t="n">
        <v>2024</v>
      </c>
      <c r="K341" s="33" t="n">
        <v>1</v>
      </c>
      <c r="L341" s="34" t="inlineStr">
        <is>
          <t>Winst- en verliesrekening</t>
        </is>
      </c>
      <c r="M341" s="34" t="inlineStr">
        <is>
          <t>Autokosten</t>
        </is>
      </c>
      <c r="N341" s="34" t="inlineStr">
        <is>
          <t>Lease</t>
        </is>
      </c>
      <c r="O341" s="36">
        <f>IFERROR(INDEX('Mapping'!$F$2:$F$60,MATCH(B341,'Mapping'!$A$2:$A$60,0)),"")</f>
        <v/>
      </c>
    </row>
    <row r="342">
      <c r="A342" s="32" t="n">
        <v>45323</v>
      </c>
      <c r="B342" s="33" t="n">
        <v>4220</v>
      </c>
      <c r="C342" s="34" t="inlineStr">
        <is>
          <t>Leasekosten</t>
        </is>
      </c>
      <c r="D342" s="34" t="inlineStr">
        <is>
          <t>Wagenpark</t>
        </is>
      </c>
      <c r="E342" s="34" t="inlineStr">
        <is>
          <t>Algemeen</t>
        </is>
      </c>
      <c r="F342" s="34" t="inlineStr"/>
      <c r="G342" s="35" t="n">
        <v>1120</v>
      </c>
      <c r="H342" s="35" t="n">
        <v>0</v>
      </c>
      <c r="I342" s="35">
        <f>G342-H342</f>
        <v/>
      </c>
      <c r="J342" s="33" t="n">
        <v>2024</v>
      </c>
      <c r="K342" s="33" t="n">
        <v>2</v>
      </c>
      <c r="L342" s="34" t="inlineStr">
        <is>
          <t>Winst- en verliesrekening</t>
        </is>
      </c>
      <c r="M342" s="34" t="inlineStr">
        <is>
          <t>Autokosten</t>
        </is>
      </c>
      <c r="N342" s="34" t="inlineStr">
        <is>
          <t>Lease</t>
        </is>
      </c>
      <c r="O342" s="36">
        <f>IFERROR(INDEX('Mapping'!$F$2:$F$60,MATCH(B342,'Mapping'!$A$2:$A$60,0)),"")</f>
        <v/>
      </c>
    </row>
    <row r="343">
      <c r="A343" s="32" t="n">
        <v>45352</v>
      </c>
      <c r="B343" s="33" t="n">
        <v>4220</v>
      </c>
      <c r="C343" s="34" t="inlineStr">
        <is>
          <t>Leasekosten</t>
        </is>
      </c>
      <c r="D343" s="34" t="inlineStr">
        <is>
          <t>Wagenpark</t>
        </is>
      </c>
      <c r="E343" s="34" t="inlineStr">
        <is>
          <t>Algemeen</t>
        </is>
      </c>
      <c r="F343" s="34" t="inlineStr"/>
      <c r="G343" s="35" t="n">
        <v>1408</v>
      </c>
      <c r="H343" s="35" t="n">
        <v>0</v>
      </c>
      <c r="I343" s="35">
        <f>G343-H343</f>
        <v/>
      </c>
      <c r="J343" s="33" t="n">
        <v>2024</v>
      </c>
      <c r="K343" s="33" t="n">
        <v>3</v>
      </c>
      <c r="L343" s="34" t="inlineStr">
        <is>
          <t>Winst- en verliesrekening</t>
        </is>
      </c>
      <c r="M343" s="34" t="inlineStr">
        <is>
          <t>Autokosten</t>
        </is>
      </c>
      <c r="N343" s="34" t="inlineStr">
        <is>
          <t>Lease</t>
        </is>
      </c>
      <c r="O343" s="36">
        <f>IFERROR(INDEX('Mapping'!$F$2:$F$60,MATCH(B343,'Mapping'!$A$2:$A$60,0)),"")</f>
        <v/>
      </c>
    </row>
    <row r="344">
      <c r="A344" s="32" t="n">
        <v>45383</v>
      </c>
      <c r="B344" s="33" t="n">
        <v>4220</v>
      </c>
      <c r="C344" s="34" t="inlineStr">
        <is>
          <t>Leasekosten</t>
        </is>
      </c>
      <c r="D344" s="34" t="inlineStr">
        <is>
          <t>Wagenpark</t>
        </is>
      </c>
      <c r="E344" s="34" t="inlineStr">
        <is>
          <t>Algemeen</t>
        </is>
      </c>
      <c r="F344" s="34" t="inlineStr"/>
      <c r="G344" s="35" t="n">
        <v>1312</v>
      </c>
      <c r="H344" s="35" t="n">
        <v>0</v>
      </c>
      <c r="I344" s="35">
        <f>G344-H344</f>
        <v/>
      </c>
      <c r="J344" s="33" t="n">
        <v>2024</v>
      </c>
      <c r="K344" s="33" t="n">
        <v>4</v>
      </c>
      <c r="L344" s="34" t="inlineStr">
        <is>
          <t>Winst- en verliesrekening</t>
        </is>
      </c>
      <c r="M344" s="34" t="inlineStr">
        <is>
          <t>Autokosten</t>
        </is>
      </c>
      <c r="N344" s="34" t="inlineStr">
        <is>
          <t>Lease</t>
        </is>
      </c>
      <c r="O344" s="36">
        <f>IFERROR(INDEX('Mapping'!$F$2:$F$60,MATCH(B344,'Mapping'!$A$2:$A$60,0)),"")</f>
        <v/>
      </c>
    </row>
    <row r="345">
      <c r="A345" s="32" t="n">
        <v>45413</v>
      </c>
      <c r="B345" s="33" t="n">
        <v>4220</v>
      </c>
      <c r="C345" s="34" t="inlineStr">
        <is>
          <t>Leasekosten</t>
        </is>
      </c>
      <c r="D345" s="34" t="inlineStr">
        <is>
          <t>Wagenpark</t>
        </is>
      </c>
      <c r="E345" s="34" t="inlineStr">
        <is>
          <t>Algemeen</t>
        </is>
      </c>
      <c r="F345" s="34" t="inlineStr"/>
      <c r="G345" s="35" t="n">
        <v>1376</v>
      </c>
      <c r="H345" s="35" t="n">
        <v>0</v>
      </c>
      <c r="I345" s="35">
        <f>G345-H345</f>
        <v/>
      </c>
      <c r="J345" s="33" t="n">
        <v>2024</v>
      </c>
      <c r="K345" s="33" t="n">
        <v>5</v>
      </c>
      <c r="L345" s="34" t="inlineStr">
        <is>
          <t>Winst- en verliesrekening</t>
        </is>
      </c>
      <c r="M345" s="34" t="inlineStr">
        <is>
          <t>Autokosten</t>
        </is>
      </c>
      <c r="N345" s="34" t="inlineStr">
        <is>
          <t>Lease</t>
        </is>
      </c>
      <c r="O345" s="36">
        <f>IFERROR(INDEX('Mapping'!$F$2:$F$60,MATCH(B345,'Mapping'!$A$2:$A$60,0)),"")</f>
        <v/>
      </c>
    </row>
    <row r="346">
      <c r="A346" s="32" t="n">
        <v>45444</v>
      </c>
      <c r="B346" s="33" t="n">
        <v>4220</v>
      </c>
      <c r="C346" s="34" t="inlineStr">
        <is>
          <t>Leasekosten</t>
        </is>
      </c>
      <c r="D346" s="34" t="inlineStr">
        <is>
          <t>Wagenpark</t>
        </is>
      </c>
      <c r="E346" s="34" t="inlineStr">
        <is>
          <t>Algemeen</t>
        </is>
      </c>
      <c r="F346" s="34" t="inlineStr"/>
      <c r="G346" s="35" t="n">
        <v>1440</v>
      </c>
      <c r="H346" s="35" t="n">
        <v>0</v>
      </c>
      <c r="I346" s="35">
        <f>G346-H346</f>
        <v/>
      </c>
      <c r="J346" s="33" t="n">
        <v>2024</v>
      </c>
      <c r="K346" s="33" t="n">
        <v>6</v>
      </c>
      <c r="L346" s="34" t="inlineStr">
        <is>
          <t>Winst- en verliesrekening</t>
        </is>
      </c>
      <c r="M346" s="34" t="inlineStr">
        <is>
          <t>Autokosten</t>
        </is>
      </c>
      <c r="N346" s="34" t="inlineStr">
        <is>
          <t>Lease</t>
        </is>
      </c>
      <c r="O346" s="36">
        <f>IFERROR(INDEX('Mapping'!$F$2:$F$60,MATCH(B346,'Mapping'!$A$2:$A$60,0)),"")</f>
        <v/>
      </c>
    </row>
    <row r="347">
      <c r="A347" s="32" t="n">
        <v>45474</v>
      </c>
      <c r="B347" s="33" t="n">
        <v>4220</v>
      </c>
      <c r="C347" s="34" t="inlineStr">
        <is>
          <t>Leasekosten</t>
        </is>
      </c>
      <c r="D347" s="34" t="inlineStr">
        <is>
          <t>Wagenpark</t>
        </is>
      </c>
      <c r="E347" s="34" t="inlineStr">
        <is>
          <t>Algemeen</t>
        </is>
      </c>
      <c r="F347" s="34" t="inlineStr"/>
      <c r="G347" s="35" t="n">
        <v>1216</v>
      </c>
      <c r="H347" s="35" t="n">
        <v>0</v>
      </c>
      <c r="I347" s="35">
        <f>G347-H347</f>
        <v/>
      </c>
      <c r="J347" s="33" t="n">
        <v>2024</v>
      </c>
      <c r="K347" s="33" t="n">
        <v>7</v>
      </c>
      <c r="L347" s="34" t="inlineStr">
        <is>
          <t>Winst- en verliesrekening</t>
        </is>
      </c>
      <c r="M347" s="34" t="inlineStr">
        <is>
          <t>Autokosten</t>
        </is>
      </c>
      <c r="N347" s="34" t="inlineStr">
        <is>
          <t>Lease</t>
        </is>
      </c>
      <c r="O347" s="36">
        <f>IFERROR(INDEX('Mapping'!$F$2:$F$60,MATCH(B347,'Mapping'!$A$2:$A$60,0)),"")</f>
        <v/>
      </c>
    </row>
    <row r="348">
      <c r="A348" s="32" t="n">
        <v>45505</v>
      </c>
      <c r="B348" s="33" t="n">
        <v>4220</v>
      </c>
      <c r="C348" s="34" t="inlineStr">
        <is>
          <t>Leasekosten</t>
        </is>
      </c>
      <c r="D348" s="34" t="inlineStr">
        <is>
          <t>Wagenpark</t>
        </is>
      </c>
      <c r="E348" s="34" t="inlineStr">
        <is>
          <t>Algemeen</t>
        </is>
      </c>
      <c r="F348" s="34" t="inlineStr"/>
      <c r="G348" s="35" t="n">
        <v>1120</v>
      </c>
      <c r="H348" s="35" t="n">
        <v>0</v>
      </c>
      <c r="I348" s="35">
        <f>G348-H348</f>
        <v/>
      </c>
      <c r="J348" s="33" t="n">
        <v>2024</v>
      </c>
      <c r="K348" s="33" t="n">
        <v>8</v>
      </c>
      <c r="L348" s="34" t="inlineStr">
        <is>
          <t>Winst- en verliesrekening</t>
        </is>
      </c>
      <c r="M348" s="34" t="inlineStr">
        <is>
          <t>Autokosten</t>
        </is>
      </c>
      <c r="N348" s="34" t="inlineStr">
        <is>
          <t>Lease</t>
        </is>
      </c>
      <c r="O348" s="36">
        <f>IFERROR(INDEX('Mapping'!$F$2:$F$60,MATCH(B348,'Mapping'!$A$2:$A$60,0)),"")</f>
        <v/>
      </c>
    </row>
    <row r="349">
      <c r="A349" s="32" t="n">
        <v>45536</v>
      </c>
      <c r="B349" s="33" t="n">
        <v>4220</v>
      </c>
      <c r="C349" s="34" t="inlineStr">
        <is>
          <t>Leasekosten</t>
        </is>
      </c>
      <c r="D349" s="34" t="inlineStr">
        <is>
          <t>Wagenpark</t>
        </is>
      </c>
      <c r="E349" s="34" t="inlineStr">
        <is>
          <t>Algemeen</t>
        </is>
      </c>
      <c r="F349" s="34" t="inlineStr"/>
      <c r="G349" s="35" t="n">
        <v>1408</v>
      </c>
      <c r="H349" s="35" t="n">
        <v>0</v>
      </c>
      <c r="I349" s="35">
        <f>G349-H349</f>
        <v/>
      </c>
      <c r="J349" s="33" t="n">
        <v>2024</v>
      </c>
      <c r="K349" s="33" t="n">
        <v>9</v>
      </c>
      <c r="L349" s="34" t="inlineStr">
        <is>
          <t>Winst- en verliesrekening</t>
        </is>
      </c>
      <c r="M349" s="34" t="inlineStr">
        <is>
          <t>Autokosten</t>
        </is>
      </c>
      <c r="N349" s="34" t="inlineStr">
        <is>
          <t>Lease</t>
        </is>
      </c>
      <c r="O349" s="36">
        <f>IFERROR(INDEX('Mapping'!$F$2:$F$60,MATCH(B349,'Mapping'!$A$2:$A$60,0)),"")</f>
        <v/>
      </c>
    </row>
    <row r="350">
      <c r="A350" s="32" t="n">
        <v>45566</v>
      </c>
      <c r="B350" s="33" t="n">
        <v>4220</v>
      </c>
      <c r="C350" s="34" t="inlineStr">
        <is>
          <t>Leasekosten</t>
        </is>
      </c>
      <c r="D350" s="34" t="inlineStr">
        <is>
          <t>Wagenpark</t>
        </is>
      </c>
      <c r="E350" s="34" t="inlineStr">
        <is>
          <t>Algemeen</t>
        </is>
      </c>
      <c r="F350" s="34" t="inlineStr"/>
      <c r="G350" s="35" t="n">
        <v>1440</v>
      </c>
      <c r="H350" s="35" t="n">
        <v>0</v>
      </c>
      <c r="I350" s="35">
        <f>G350-H350</f>
        <v/>
      </c>
      <c r="J350" s="33" t="n">
        <v>2024</v>
      </c>
      <c r="K350" s="33" t="n">
        <v>10</v>
      </c>
      <c r="L350" s="34" t="inlineStr">
        <is>
          <t>Winst- en verliesrekening</t>
        </is>
      </c>
      <c r="M350" s="34" t="inlineStr">
        <is>
          <t>Autokosten</t>
        </is>
      </c>
      <c r="N350" s="34" t="inlineStr">
        <is>
          <t>Lease</t>
        </is>
      </c>
      <c r="O350" s="36">
        <f>IFERROR(INDEX('Mapping'!$F$2:$F$60,MATCH(B350,'Mapping'!$A$2:$A$60,0)),"")</f>
        <v/>
      </c>
    </row>
    <row r="351">
      <c r="A351" s="32" t="n">
        <v>45597</v>
      </c>
      <c r="B351" s="33" t="n">
        <v>4220</v>
      </c>
      <c r="C351" s="34" t="inlineStr">
        <is>
          <t>Leasekosten</t>
        </is>
      </c>
      <c r="D351" s="34" t="inlineStr">
        <is>
          <t>Wagenpark</t>
        </is>
      </c>
      <c r="E351" s="34" t="inlineStr">
        <is>
          <t>Algemeen</t>
        </is>
      </c>
      <c r="F351" s="34" t="inlineStr"/>
      <c r="G351" s="35" t="n">
        <v>1376</v>
      </c>
      <c r="H351" s="35" t="n">
        <v>0</v>
      </c>
      <c r="I351" s="35">
        <f>G351-H351</f>
        <v/>
      </c>
      <c r="J351" s="33" t="n">
        <v>2024</v>
      </c>
      <c r="K351" s="33" t="n">
        <v>11</v>
      </c>
      <c r="L351" s="34" t="inlineStr">
        <is>
          <t>Winst- en verliesrekening</t>
        </is>
      </c>
      <c r="M351" s="34" t="inlineStr">
        <is>
          <t>Autokosten</t>
        </is>
      </c>
      <c r="N351" s="34" t="inlineStr">
        <is>
          <t>Lease</t>
        </is>
      </c>
      <c r="O351" s="36">
        <f>IFERROR(INDEX('Mapping'!$F$2:$F$60,MATCH(B351,'Mapping'!$A$2:$A$60,0)),"")</f>
        <v/>
      </c>
    </row>
    <row r="352">
      <c r="A352" s="32" t="n">
        <v>45627</v>
      </c>
      <c r="B352" s="33" t="n">
        <v>4220</v>
      </c>
      <c r="C352" s="34" t="inlineStr">
        <is>
          <t>Leasekosten</t>
        </is>
      </c>
      <c r="D352" s="34" t="inlineStr">
        <is>
          <t>Wagenpark</t>
        </is>
      </c>
      <c r="E352" s="34" t="inlineStr">
        <is>
          <t>Algemeen</t>
        </is>
      </c>
      <c r="F352" s="34" t="inlineStr"/>
      <c r="G352" s="35" t="n">
        <v>1664</v>
      </c>
      <c r="H352" s="35" t="n">
        <v>0</v>
      </c>
      <c r="I352" s="35">
        <f>G352-H352</f>
        <v/>
      </c>
      <c r="J352" s="33" t="n">
        <v>2024</v>
      </c>
      <c r="K352" s="33" t="n">
        <v>12</v>
      </c>
      <c r="L352" s="34" t="inlineStr">
        <is>
          <t>Winst- en verliesrekening</t>
        </is>
      </c>
      <c r="M352" s="34" t="inlineStr">
        <is>
          <t>Autokosten</t>
        </is>
      </c>
      <c r="N352" s="34" t="inlineStr">
        <is>
          <t>Lease</t>
        </is>
      </c>
      <c r="O352" s="36">
        <f>IFERROR(INDEX('Mapping'!$F$2:$F$60,MATCH(B352,'Mapping'!$A$2:$A$60,0)),"")</f>
        <v/>
      </c>
    </row>
    <row r="353">
      <c r="A353" s="32" t="n">
        <v>45658</v>
      </c>
      <c r="B353" s="33" t="n">
        <v>4220</v>
      </c>
      <c r="C353" s="34" t="inlineStr">
        <is>
          <t>Leasekosten</t>
        </is>
      </c>
      <c r="D353" s="34" t="inlineStr">
        <is>
          <t>Wagenpark</t>
        </is>
      </c>
      <c r="E353" s="34" t="inlineStr">
        <is>
          <t>Algemeen</t>
        </is>
      </c>
      <c r="F353" s="34" t="inlineStr"/>
      <c r="G353" s="35" t="n">
        <v>1190</v>
      </c>
      <c r="H353" s="35" t="n">
        <v>0</v>
      </c>
      <c r="I353" s="35">
        <f>G353-H353</f>
        <v/>
      </c>
      <c r="J353" s="33" t="n">
        <v>2025</v>
      </c>
      <c r="K353" s="33" t="n">
        <v>1</v>
      </c>
      <c r="L353" s="34" t="inlineStr">
        <is>
          <t>Winst- en verliesrekening</t>
        </is>
      </c>
      <c r="M353" s="34" t="inlineStr">
        <is>
          <t>Autokosten</t>
        </is>
      </c>
      <c r="N353" s="34" t="inlineStr">
        <is>
          <t>Lease</t>
        </is>
      </c>
      <c r="O353" s="36">
        <f>IFERROR(INDEX('Mapping'!$F$2:$F$60,MATCH(B353,'Mapping'!$A$2:$A$60,0)),"")</f>
        <v/>
      </c>
    </row>
    <row r="354">
      <c r="A354" s="32" t="n">
        <v>45689</v>
      </c>
      <c r="B354" s="33" t="n">
        <v>4220</v>
      </c>
      <c r="C354" s="34" t="inlineStr">
        <is>
          <t>Leasekosten</t>
        </is>
      </c>
      <c r="D354" s="34" t="inlineStr">
        <is>
          <t>Wagenpark</t>
        </is>
      </c>
      <c r="E354" s="34" t="inlineStr">
        <is>
          <t>Algemeen</t>
        </is>
      </c>
      <c r="F354" s="34" t="inlineStr"/>
      <c r="G354" s="35" t="n">
        <v>1190</v>
      </c>
      <c r="H354" s="35" t="n">
        <v>0</v>
      </c>
      <c r="I354" s="35">
        <f>G354-H354</f>
        <v/>
      </c>
      <c r="J354" s="33" t="n">
        <v>2025</v>
      </c>
      <c r="K354" s="33" t="n">
        <v>2</v>
      </c>
      <c r="L354" s="34" t="inlineStr">
        <is>
          <t>Winst- en verliesrekening</t>
        </is>
      </c>
      <c r="M354" s="34" t="inlineStr">
        <is>
          <t>Autokosten</t>
        </is>
      </c>
      <c r="N354" s="34" t="inlineStr">
        <is>
          <t>Lease</t>
        </is>
      </c>
      <c r="O354" s="36">
        <f>IFERROR(INDEX('Mapping'!$F$2:$F$60,MATCH(B354,'Mapping'!$A$2:$A$60,0)),"")</f>
        <v/>
      </c>
    </row>
    <row r="355">
      <c r="A355" s="32" t="n">
        <v>45717</v>
      </c>
      <c r="B355" s="33" t="n">
        <v>4220</v>
      </c>
      <c r="C355" s="34" t="inlineStr">
        <is>
          <t>Leasekosten</t>
        </is>
      </c>
      <c r="D355" s="34" t="inlineStr">
        <is>
          <t>Wagenpark</t>
        </is>
      </c>
      <c r="E355" s="34" t="inlineStr">
        <is>
          <t>Algemeen</t>
        </is>
      </c>
      <c r="F355" s="34" t="inlineStr"/>
      <c r="G355" s="35" t="n">
        <v>1496</v>
      </c>
      <c r="H355" s="35" t="n">
        <v>0</v>
      </c>
      <c r="I355" s="35">
        <f>G355-H355</f>
        <v/>
      </c>
      <c r="J355" s="33" t="n">
        <v>2025</v>
      </c>
      <c r="K355" s="33" t="n">
        <v>3</v>
      </c>
      <c r="L355" s="34" t="inlineStr">
        <is>
          <t>Winst- en verliesrekening</t>
        </is>
      </c>
      <c r="M355" s="34" t="inlineStr">
        <is>
          <t>Autokosten</t>
        </is>
      </c>
      <c r="N355" s="34" t="inlineStr">
        <is>
          <t>Lease</t>
        </is>
      </c>
      <c r="O355" s="36">
        <f>IFERROR(INDEX('Mapping'!$F$2:$F$60,MATCH(B355,'Mapping'!$A$2:$A$60,0)),"")</f>
        <v/>
      </c>
    </row>
    <row r="356">
      <c r="A356" s="32" t="n">
        <v>45748</v>
      </c>
      <c r="B356" s="33" t="n">
        <v>4220</v>
      </c>
      <c r="C356" s="34" t="inlineStr">
        <is>
          <t>Leasekosten</t>
        </is>
      </c>
      <c r="D356" s="34" t="inlineStr">
        <is>
          <t>Wagenpark</t>
        </is>
      </c>
      <c r="E356" s="34" t="inlineStr">
        <is>
          <t>Algemeen</t>
        </is>
      </c>
      <c r="F356" s="34" t="inlineStr"/>
      <c r="G356" s="35" t="n">
        <v>1394</v>
      </c>
      <c r="H356" s="35" t="n">
        <v>0</v>
      </c>
      <c r="I356" s="35">
        <f>G356-H356</f>
        <v/>
      </c>
      <c r="J356" s="33" t="n">
        <v>2025</v>
      </c>
      <c r="K356" s="33" t="n">
        <v>4</v>
      </c>
      <c r="L356" s="34" t="inlineStr">
        <is>
          <t>Winst- en verliesrekening</t>
        </is>
      </c>
      <c r="M356" s="34" t="inlineStr">
        <is>
          <t>Autokosten</t>
        </is>
      </c>
      <c r="N356" s="34" t="inlineStr">
        <is>
          <t>Lease</t>
        </is>
      </c>
      <c r="O356" s="36">
        <f>IFERROR(INDEX('Mapping'!$F$2:$F$60,MATCH(B356,'Mapping'!$A$2:$A$60,0)),"")</f>
        <v/>
      </c>
    </row>
    <row r="357">
      <c r="A357" s="32" t="n">
        <v>45778</v>
      </c>
      <c r="B357" s="33" t="n">
        <v>4220</v>
      </c>
      <c r="C357" s="34" t="inlineStr">
        <is>
          <t>Leasekosten</t>
        </is>
      </c>
      <c r="D357" s="34" t="inlineStr">
        <is>
          <t>Wagenpark</t>
        </is>
      </c>
      <c r="E357" s="34" t="inlineStr">
        <is>
          <t>Algemeen</t>
        </is>
      </c>
      <c r="F357" s="34" t="inlineStr"/>
      <c r="G357" s="35" t="n">
        <v>1462</v>
      </c>
      <c r="H357" s="35" t="n">
        <v>0</v>
      </c>
      <c r="I357" s="35">
        <f>G357-H357</f>
        <v/>
      </c>
      <c r="J357" s="33" t="n">
        <v>2025</v>
      </c>
      <c r="K357" s="33" t="n">
        <v>5</v>
      </c>
      <c r="L357" s="34" t="inlineStr">
        <is>
          <t>Winst- en verliesrekening</t>
        </is>
      </c>
      <c r="M357" s="34" t="inlineStr">
        <is>
          <t>Autokosten</t>
        </is>
      </c>
      <c r="N357" s="34" t="inlineStr">
        <is>
          <t>Lease</t>
        </is>
      </c>
      <c r="O357" s="36">
        <f>IFERROR(INDEX('Mapping'!$F$2:$F$60,MATCH(B357,'Mapping'!$A$2:$A$60,0)),"")</f>
        <v/>
      </c>
    </row>
    <row r="358">
      <c r="A358" s="32" t="n">
        <v>45809</v>
      </c>
      <c r="B358" s="33" t="n">
        <v>4220</v>
      </c>
      <c r="C358" s="34" t="inlineStr">
        <is>
          <t>Leasekosten</t>
        </is>
      </c>
      <c r="D358" s="34" t="inlineStr">
        <is>
          <t>Wagenpark</t>
        </is>
      </c>
      <c r="E358" s="34" t="inlineStr">
        <is>
          <t>Algemeen</t>
        </is>
      </c>
      <c r="F358" s="34" t="inlineStr"/>
      <c r="G358" s="35" t="n">
        <v>1530</v>
      </c>
      <c r="H358" s="35" t="n">
        <v>0</v>
      </c>
      <c r="I358" s="35">
        <f>G358-H358</f>
        <v/>
      </c>
      <c r="J358" s="33" t="n">
        <v>2025</v>
      </c>
      <c r="K358" s="33" t="n">
        <v>6</v>
      </c>
      <c r="L358" s="34" t="inlineStr">
        <is>
          <t>Winst- en verliesrekening</t>
        </is>
      </c>
      <c r="M358" s="34" t="inlineStr">
        <is>
          <t>Autokosten</t>
        </is>
      </c>
      <c r="N358" s="34" t="inlineStr">
        <is>
          <t>Lease</t>
        </is>
      </c>
      <c r="O358" s="36">
        <f>IFERROR(INDEX('Mapping'!$F$2:$F$60,MATCH(B358,'Mapping'!$A$2:$A$60,0)),"")</f>
        <v/>
      </c>
    </row>
    <row r="359">
      <c r="A359" s="32" t="n">
        <v>45839</v>
      </c>
      <c r="B359" s="33" t="n">
        <v>4220</v>
      </c>
      <c r="C359" s="34" t="inlineStr">
        <is>
          <t>Leasekosten</t>
        </is>
      </c>
      <c r="D359" s="34" t="inlineStr">
        <is>
          <t>Wagenpark</t>
        </is>
      </c>
      <c r="E359" s="34" t="inlineStr">
        <is>
          <t>Algemeen</t>
        </is>
      </c>
      <c r="F359" s="34" t="inlineStr"/>
      <c r="G359" s="35" t="n">
        <v>1292</v>
      </c>
      <c r="H359" s="35" t="n">
        <v>0</v>
      </c>
      <c r="I359" s="35">
        <f>G359-H359</f>
        <v/>
      </c>
      <c r="J359" s="33" t="n">
        <v>2025</v>
      </c>
      <c r="K359" s="33" t="n">
        <v>7</v>
      </c>
      <c r="L359" s="34" t="inlineStr">
        <is>
          <t>Winst- en verliesrekening</t>
        </is>
      </c>
      <c r="M359" s="34" t="inlineStr">
        <is>
          <t>Autokosten</t>
        </is>
      </c>
      <c r="N359" s="34" t="inlineStr">
        <is>
          <t>Lease</t>
        </is>
      </c>
      <c r="O359" s="36">
        <f>IFERROR(INDEX('Mapping'!$F$2:$F$60,MATCH(B359,'Mapping'!$A$2:$A$60,0)),"")</f>
        <v/>
      </c>
    </row>
    <row r="360">
      <c r="A360" s="32" t="n">
        <v>45870</v>
      </c>
      <c r="B360" s="33" t="n">
        <v>4220</v>
      </c>
      <c r="C360" s="34" t="inlineStr">
        <is>
          <t>Leasekosten</t>
        </is>
      </c>
      <c r="D360" s="34" t="inlineStr">
        <is>
          <t>Wagenpark</t>
        </is>
      </c>
      <c r="E360" s="34" t="inlineStr">
        <is>
          <t>Algemeen</t>
        </is>
      </c>
      <c r="F360" s="34" t="inlineStr"/>
      <c r="G360" s="35" t="n">
        <v>1190</v>
      </c>
      <c r="H360" s="35" t="n">
        <v>0</v>
      </c>
      <c r="I360" s="35">
        <f>G360-H360</f>
        <v/>
      </c>
      <c r="J360" s="33" t="n">
        <v>2025</v>
      </c>
      <c r="K360" s="33" t="n">
        <v>8</v>
      </c>
      <c r="L360" s="34" t="inlineStr">
        <is>
          <t>Winst- en verliesrekening</t>
        </is>
      </c>
      <c r="M360" s="34" t="inlineStr">
        <is>
          <t>Autokosten</t>
        </is>
      </c>
      <c r="N360" s="34" t="inlineStr">
        <is>
          <t>Lease</t>
        </is>
      </c>
      <c r="O360" s="36">
        <f>IFERROR(INDEX('Mapping'!$F$2:$F$60,MATCH(B360,'Mapping'!$A$2:$A$60,0)),"")</f>
        <v/>
      </c>
    </row>
    <row r="361">
      <c r="A361" s="32" t="n">
        <v>45901</v>
      </c>
      <c r="B361" s="33" t="n">
        <v>4220</v>
      </c>
      <c r="C361" s="34" t="inlineStr">
        <is>
          <t>Leasekosten</t>
        </is>
      </c>
      <c r="D361" s="34" t="inlineStr">
        <is>
          <t>Wagenpark</t>
        </is>
      </c>
      <c r="E361" s="34" t="inlineStr">
        <is>
          <t>Algemeen</t>
        </is>
      </c>
      <c r="F361" s="34" t="inlineStr"/>
      <c r="G361" s="35" t="n">
        <v>1496</v>
      </c>
      <c r="H361" s="35" t="n">
        <v>0</v>
      </c>
      <c r="I361" s="35">
        <f>G361-H361</f>
        <v/>
      </c>
      <c r="J361" s="33" t="n">
        <v>2025</v>
      </c>
      <c r="K361" s="33" t="n">
        <v>9</v>
      </c>
      <c r="L361" s="34" t="inlineStr">
        <is>
          <t>Winst- en verliesrekening</t>
        </is>
      </c>
      <c r="M361" s="34" t="inlineStr">
        <is>
          <t>Autokosten</t>
        </is>
      </c>
      <c r="N361" s="34" t="inlineStr">
        <is>
          <t>Lease</t>
        </is>
      </c>
      <c r="O361" s="36">
        <f>IFERROR(INDEX('Mapping'!$F$2:$F$60,MATCH(B361,'Mapping'!$A$2:$A$60,0)),"")</f>
        <v/>
      </c>
    </row>
    <row r="362">
      <c r="A362" s="32" t="n">
        <v>45931</v>
      </c>
      <c r="B362" s="33" t="n">
        <v>4220</v>
      </c>
      <c r="C362" s="34" t="inlineStr">
        <is>
          <t>Leasekosten</t>
        </is>
      </c>
      <c r="D362" s="34" t="inlineStr">
        <is>
          <t>Wagenpark</t>
        </is>
      </c>
      <c r="E362" s="34" t="inlineStr">
        <is>
          <t>Algemeen</t>
        </is>
      </c>
      <c r="F362" s="34" t="inlineStr"/>
      <c r="G362" s="35" t="n">
        <v>1530</v>
      </c>
      <c r="H362" s="35" t="n">
        <v>0</v>
      </c>
      <c r="I362" s="35">
        <f>G362-H362</f>
        <v/>
      </c>
      <c r="J362" s="33" t="n">
        <v>2025</v>
      </c>
      <c r="K362" s="33" t="n">
        <v>10</v>
      </c>
      <c r="L362" s="34" t="inlineStr">
        <is>
          <t>Winst- en verliesrekening</t>
        </is>
      </c>
      <c r="M362" s="34" t="inlineStr">
        <is>
          <t>Autokosten</t>
        </is>
      </c>
      <c r="N362" s="34" t="inlineStr">
        <is>
          <t>Lease</t>
        </is>
      </c>
      <c r="O362" s="36">
        <f>IFERROR(INDEX('Mapping'!$F$2:$F$60,MATCH(B362,'Mapping'!$A$2:$A$60,0)),"")</f>
        <v/>
      </c>
    </row>
    <row r="363">
      <c r="A363" s="32" t="n">
        <v>45962</v>
      </c>
      <c r="B363" s="33" t="n">
        <v>4220</v>
      </c>
      <c r="C363" s="34" t="inlineStr">
        <is>
          <t>Leasekosten</t>
        </is>
      </c>
      <c r="D363" s="34" t="inlineStr">
        <is>
          <t>Wagenpark</t>
        </is>
      </c>
      <c r="E363" s="34" t="inlineStr">
        <is>
          <t>Algemeen</t>
        </is>
      </c>
      <c r="F363" s="34" t="inlineStr"/>
      <c r="G363" s="35" t="n">
        <v>1462</v>
      </c>
      <c r="H363" s="35" t="n">
        <v>0</v>
      </c>
      <c r="I363" s="35">
        <f>G363-H363</f>
        <v/>
      </c>
      <c r="J363" s="33" t="n">
        <v>2025</v>
      </c>
      <c r="K363" s="33" t="n">
        <v>11</v>
      </c>
      <c r="L363" s="34" t="inlineStr">
        <is>
          <t>Winst- en verliesrekening</t>
        </is>
      </c>
      <c r="M363" s="34" t="inlineStr">
        <is>
          <t>Autokosten</t>
        </is>
      </c>
      <c r="N363" s="34" t="inlineStr">
        <is>
          <t>Lease</t>
        </is>
      </c>
      <c r="O363" s="36">
        <f>IFERROR(INDEX('Mapping'!$F$2:$F$60,MATCH(B363,'Mapping'!$A$2:$A$60,0)),"")</f>
        <v/>
      </c>
    </row>
    <row r="364">
      <c r="A364" s="32" t="n">
        <v>45992</v>
      </c>
      <c r="B364" s="33" t="n">
        <v>4220</v>
      </c>
      <c r="C364" s="34" t="inlineStr">
        <is>
          <t>Leasekosten</t>
        </is>
      </c>
      <c r="D364" s="34" t="inlineStr">
        <is>
          <t>Wagenpark</t>
        </is>
      </c>
      <c r="E364" s="34" t="inlineStr">
        <is>
          <t>Algemeen</t>
        </is>
      </c>
      <c r="F364" s="34" t="inlineStr"/>
      <c r="G364" s="35" t="n">
        <v>1768</v>
      </c>
      <c r="H364" s="35" t="n">
        <v>0</v>
      </c>
      <c r="I364" s="35">
        <f>G364-H364</f>
        <v/>
      </c>
      <c r="J364" s="33" t="n">
        <v>2025</v>
      </c>
      <c r="K364" s="33" t="n">
        <v>12</v>
      </c>
      <c r="L364" s="34" t="inlineStr">
        <is>
          <t>Winst- en verliesrekening</t>
        </is>
      </c>
      <c r="M364" s="34" t="inlineStr">
        <is>
          <t>Autokosten</t>
        </is>
      </c>
      <c r="N364" s="34" t="inlineStr">
        <is>
          <t>Lease</t>
        </is>
      </c>
      <c r="O364" s="36">
        <f>IFERROR(INDEX('Mapping'!$F$2:$F$60,MATCH(B364,'Mapping'!$A$2:$A$60,0)),"")</f>
        <v/>
      </c>
    </row>
    <row r="365">
      <c r="A365" s="32" t="n">
        <v>45292</v>
      </c>
      <c r="B365" s="33" t="n">
        <v>4300</v>
      </c>
      <c r="C365" s="34" t="inlineStr">
        <is>
          <t>Reclame en marketing</t>
        </is>
      </c>
      <c r="D365" s="34" t="inlineStr">
        <is>
          <t>Verkoop</t>
        </is>
      </c>
      <c r="E365" s="34" t="inlineStr">
        <is>
          <t>Algemeen</t>
        </is>
      </c>
      <c r="F365" s="34" t="inlineStr"/>
      <c r="G365" s="35" t="n">
        <v>2380</v>
      </c>
      <c r="H365" s="35" t="n">
        <v>0</v>
      </c>
      <c r="I365" s="35">
        <f>G365-H365</f>
        <v/>
      </c>
      <c r="J365" s="33" t="n">
        <v>2024</v>
      </c>
      <c r="K365" s="33" t="n">
        <v>1</v>
      </c>
      <c r="L365" s="34" t="inlineStr">
        <is>
          <t>Winst- en verliesrekening</t>
        </is>
      </c>
      <c r="M365" s="34" t="inlineStr">
        <is>
          <t>Verkoopkosten</t>
        </is>
      </c>
      <c r="N365" s="34" t="inlineStr">
        <is>
          <t>Reclame</t>
        </is>
      </c>
      <c r="O365" s="36">
        <f>IFERROR(INDEX('Mapping'!$F$2:$F$60,MATCH(B365,'Mapping'!$A$2:$A$60,0)),"")</f>
        <v/>
      </c>
    </row>
    <row r="366">
      <c r="A366" s="32" t="n">
        <v>45323</v>
      </c>
      <c r="B366" s="33" t="n">
        <v>4300</v>
      </c>
      <c r="C366" s="34" t="inlineStr">
        <is>
          <t>Reclame en marketing</t>
        </is>
      </c>
      <c r="D366" s="34" t="inlineStr">
        <is>
          <t>Verkoop</t>
        </is>
      </c>
      <c r="E366" s="34" t="inlineStr">
        <is>
          <t>Algemeen</t>
        </is>
      </c>
      <c r="F366" s="34" t="inlineStr"/>
      <c r="G366" s="35" t="n">
        <v>2380</v>
      </c>
      <c r="H366" s="35" t="n">
        <v>0</v>
      </c>
      <c r="I366" s="35">
        <f>G366-H366</f>
        <v/>
      </c>
      <c r="J366" s="33" t="n">
        <v>2024</v>
      </c>
      <c r="K366" s="33" t="n">
        <v>2</v>
      </c>
      <c r="L366" s="34" t="inlineStr">
        <is>
          <t>Winst- en verliesrekening</t>
        </is>
      </c>
      <c r="M366" s="34" t="inlineStr">
        <is>
          <t>Verkoopkosten</t>
        </is>
      </c>
      <c r="N366" s="34" t="inlineStr">
        <is>
          <t>Reclame</t>
        </is>
      </c>
      <c r="O366" s="36">
        <f>IFERROR(INDEX('Mapping'!$F$2:$F$60,MATCH(B366,'Mapping'!$A$2:$A$60,0)),"")</f>
        <v/>
      </c>
    </row>
    <row r="367">
      <c r="A367" s="32" t="n">
        <v>45352</v>
      </c>
      <c r="B367" s="33" t="n">
        <v>4300</v>
      </c>
      <c r="C367" s="34" t="inlineStr">
        <is>
          <t>Reclame en marketing</t>
        </is>
      </c>
      <c r="D367" s="34" t="inlineStr">
        <is>
          <t>Verkoop</t>
        </is>
      </c>
      <c r="E367" s="34" t="inlineStr">
        <is>
          <t>Algemeen</t>
        </is>
      </c>
      <c r="F367" s="34" t="inlineStr"/>
      <c r="G367" s="35" t="n">
        <v>2992</v>
      </c>
      <c r="H367" s="35" t="n">
        <v>0</v>
      </c>
      <c r="I367" s="35">
        <f>G367-H367</f>
        <v/>
      </c>
      <c r="J367" s="33" t="n">
        <v>2024</v>
      </c>
      <c r="K367" s="33" t="n">
        <v>3</v>
      </c>
      <c r="L367" s="34" t="inlineStr">
        <is>
          <t>Winst- en verliesrekening</t>
        </is>
      </c>
      <c r="M367" s="34" t="inlineStr">
        <is>
          <t>Verkoopkosten</t>
        </is>
      </c>
      <c r="N367" s="34" t="inlineStr">
        <is>
          <t>Reclame</t>
        </is>
      </c>
      <c r="O367" s="36">
        <f>IFERROR(INDEX('Mapping'!$F$2:$F$60,MATCH(B367,'Mapping'!$A$2:$A$60,0)),"")</f>
        <v/>
      </c>
    </row>
    <row r="368">
      <c r="A368" s="32" t="n">
        <v>45383</v>
      </c>
      <c r="B368" s="33" t="n">
        <v>4300</v>
      </c>
      <c r="C368" s="34" t="inlineStr">
        <is>
          <t>Reclame en marketing</t>
        </is>
      </c>
      <c r="D368" s="34" t="inlineStr">
        <is>
          <t>Verkoop</t>
        </is>
      </c>
      <c r="E368" s="34" t="inlineStr">
        <is>
          <t>Algemeen</t>
        </is>
      </c>
      <c r="F368" s="34" t="inlineStr"/>
      <c r="G368" s="35" t="n">
        <v>2788</v>
      </c>
      <c r="H368" s="35" t="n">
        <v>0</v>
      </c>
      <c r="I368" s="35">
        <f>G368-H368</f>
        <v/>
      </c>
      <c r="J368" s="33" t="n">
        <v>2024</v>
      </c>
      <c r="K368" s="33" t="n">
        <v>4</v>
      </c>
      <c r="L368" s="34" t="inlineStr">
        <is>
          <t>Winst- en verliesrekening</t>
        </is>
      </c>
      <c r="M368" s="34" t="inlineStr">
        <is>
          <t>Verkoopkosten</t>
        </is>
      </c>
      <c r="N368" s="34" t="inlineStr">
        <is>
          <t>Reclame</t>
        </is>
      </c>
      <c r="O368" s="36">
        <f>IFERROR(INDEX('Mapping'!$F$2:$F$60,MATCH(B368,'Mapping'!$A$2:$A$60,0)),"")</f>
        <v/>
      </c>
    </row>
    <row r="369">
      <c r="A369" s="32" t="n">
        <v>45413</v>
      </c>
      <c r="B369" s="33" t="n">
        <v>4300</v>
      </c>
      <c r="C369" s="34" t="inlineStr">
        <is>
          <t>Reclame en marketing</t>
        </is>
      </c>
      <c r="D369" s="34" t="inlineStr">
        <is>
          <t>Verkoop</t>
        </is>
      </c>
      <c r="E369" s="34" t="inlineStr">
        <is>
          <t>Algemeen</t>
        </is>
      </c>
      <c r="F369" s="34" t="inlineStr"/>
      <c r="G369" s="35" t="n">
        <v>2924</v>
      </c>
      <c r="H369" s="35" t="n">
        <v>0</v>
      </c>
      <c r="I369" s="35">
        <f>G369-H369</f>
        <v/>
      </c>
      <c r="J369" s="33" t="n">
        <v>2024</v>
      </c>
      <c r="K369" s="33" t="n">
        <v>5</v>
      </c>
      <c r="L369" s="34" t="inlineStr">
        <is>
          <t>Winst- en verliesrekening</t>
        </is>
      </c>
      <c r="M369" s="34" t="inlineStr">
        <is>
          <t>Verkoopkosten</t>
        </is>
      </c>
      <c r="N369" s="34" t="inlineStr">
        <is>
          <t>Reclame</t>
        </is>
      </c>
      <c r="O369" s="36">
        <f>IFERROR(INDEX('Mapping'!$F$2:$F$60,MATCH(B369,'Mapping'!$A$2:$A$60,0)),"")</f>
        <v/>
      </c>
    </row>
    <row r="370">
      <c r="A370" s="32" t="n">
        <v>45444</v>
      </c>
      <c r="B370" s="33" t="n">
        <v>4300</v>
      </c>
      <c r="C370" s="34" t="inlineStr">
        <is>
          <t>Reclame en marketing</t>
        </is>
      </c>
      <c r="D370" s="34" t="inlineStr">
        <is>
          <t>Verkoop</t>
        </is>
      </c>
      <c r="E370" s="34" t="inlineStr">
        <is>
          <t>Algemeen</t>
        </is>
      </c>
      <c r="F370" s="34" t="inlineStr"/>
      <c r="G370" s="35" t="n">
        <v>3060</v>
      </c>
      <c r="H370" s="35" t="n">
        <v>0</v>
      </c>
      <c r="I370" s="35">
        <f>G370-H370</f>
        <v/>
      </c>
      <c r="J370" s="33" t="n">
        <v>2024</v>
      </c>
      <c r="K370" s="33" t="n">
        <v>6</v>
      </c>
      <c r="L370" s="34" t="inlineStr">
        <is>
          <t>Winst- en verliesrekening</t>
        </is>
      </c>
      <c r="M370" s="34" t="inlineStr">
        <is>
          <t>Verkoopkosten</t>
        </is>
      </c>
      <c r="N370" s="34" t="inlineStr">
        <is>
          <t>Reclame</t>
        </is>
      </c>
      <c r="O370" s="36">
        <f>IFERROR(INDEX('Mapping'!$F$2:$F$60,MATCH(B370,'Mapping'!$A$2:$A$60,0)),"")</f>
        <v/>
      </c>
    </row>
    <row r="371">
      <c r="A371" s="32" t="n">
        <v>45474</v>
      </c>
      <c r="B371" s="33" t="n">
        <v>4300</v>
      </c>
      <c r="C371" s="34" t="inlineStr">
        <is>
          <t>Reclame en marketing</t>
        </is>
      </c>
      <c r="D371" s="34" t="inlineStr">
        <is>
          <t>Verkoop</t>
        </is>
      </c>
      <c r="E371" s="34" t="inlineStr">
        <is>
          <t>Algemeen</t>
        </is>
      </c>
      <c r="F371" s="34" t="inlineStr"/>
      <c r="G371" s="35" t="n">
        <v>2584</v>
      </c>
      <c r="H371" s="35" t="n">
        <v>0</v>
      </c>
      <c r="I371" s="35">
        <f>G371-H371</f>
        <v/>
      </c>
      <c r="J371" s="33" t="n">
        <v>2024</v>
      </c>
      <c r="K371" s="33" t="n">
        <v>7</v>
      </c>
      <c r="L371" s="34" t="inlineStr">
        <is>
          <t>Winst- en verliesrekening</t>
        </is>
      </c>
      <c r="M371" s="34" t="inlineStr">
        <is>
          <t>Verkoopkosten</t>
        </is>
      </c>
      <c r="N371" s="34" t="inlineStr">
        <is>
          <t>Reclame</t>
        </is>
      </c>
      <c r="O371" s="36">
        <f>IFERROR(INDEX('Mapping'!$F$2:$F$60,MATCH(B371,'Mapping'!$A$2:$A$60,0)),"")</f>
        <v/>
      </c>
    </row>
    <row r="372">
      <c r="A372" s="32" t="n">
        <v>45505</v>
      </c>
      <c r="B372" s="33" t="n">
        <v>4300</v>
      </c>
      <c r="C372" s="34" t="inlineStr">
        <is>
          <t>Reclame en marketing</t>
        </is>
      </c>
      <c r="D372" s="34" t="inlineStr">
        <is>
          <t>Verkoop</t>
        </is>
      </c>
      <c r="E372" s="34" t="inlineStr">
        <is>
          <t>Algemeen</t>
        </is>
      </c>
      <c r="F372" s="34" t="inlineStr"/>
      <c r="G372" s="35" t="n">
        <v>2380</v>
      </c>
      <c r="H372" s="35" t="n">
        <v>0</v>
      </c>
      <c r="I372" s="35">
        <f>G372-H372</f>
        <v/>
      </c>
      <c r="J372" s="33" t="n">
        <v>2024</v>
      </c>
      <c r="K372" s="33" t="n">
        <v>8</v>
      </c>
      <c r="L372" s="34" t="inlineStr">
        <is>
          <t>Winst- en verliesrekening</t>
        </is>
      </c>
      <c r="M372" s="34" t="inlineStr">
        <is>
          <t>Verkoopkosten</t>
        </is>
      </c>
      <c r="N372" s="34" t="inlineStr">
        <is>
          <t>Reclame</t>
        </is>
      </c>
      <c r="O372" s="36">
        <f>IFERROR(INDEX('Mapping'!$F$2:$F$60,MATCH(B372,'Mapping'!$A$2:$A$60,0)),"")</f>
        <v/>
      </c>
    </row>
    <row r="373">
      <c r="A373" s="32" t="n">
        <v>45536</v>
      </c>
      <c r="B373" s="33" t="n">
        <v>4300</v>
      </c>
      <c r="C373" s="34" t="inlineStr">
        <is>
          <t>Reclame en marketing</t>
        </is>
      </c>
      <c r="D373" s="34" t="inlineStr">
        <is>
          <t>Verkoop</t>
        </is>
      </c>
      <c r="E373" s="34" t="inlineStr">
        <is>
          <t>Algemeen</t>
        </is>
      </c>
      <c r="F373" s="34" t="inlineStr"/>
      <c r="G373" s="35" t="n">
        <v>2992</v>
      </c>
      <c r="H373" s="35" t="n">
        <v>0</v>
      </c>
      <c r="I373" s="35">
        <f>G373-H373</f>
        <v/>
      </c>
      <c r="J373" s="33" t="n">
        <v>2024</v>
      </c>
      <c r="K373" s="33" t="n">
        <v>9</v>
      </c>
      <c r="L373" s="34" t="inlineStr">
        <is>
          <t>Winst- en verliesrekening</t>
        </is>
      </c>
      <c r="M373" s="34" t="inlineStr">
        <is>
          <t>Verkoopkosten</t>
        </is>
      </c>
      <c r="N373" s="34" t="inlineStr">
        <is>
          <t>Reclame</t>
        </is>
      </c>
      <c r="O373" s="36">
        <f>IFERROR(INDEX('Mapping'!$F$2:$F$60,MATCH(B373,'Mapping'!$A$2:$A$60,0)),"")</f>
        <v/>
      </c>
    </row>
    <row r="374">
      <c r="A374" s="32" t="n">
        <v>45566</v>
      </c>
      <c r="B374" s="33" t="n">
        <v>4300</v>
      </c>
      <c r="C374" s="34" t="inlineStr">
        <is>
          <t>Reclame en marketing</t>
        </is>
      </c>
      <c r="D374" s="34" t="inlineStr">
        <is>
          <t>Verkoop</t>
        </is>
      </c>
      <c r="E374" s="34" t="inlineStr">
        <is>
          <t>Algemeen</t>
        </is>
      </c>
      <c r="F374" s="34" t="inlineStr"/>
      <c r="G374" s="35" t="n">
        <v>3060</v>
      </c>
      <c r="H374" s="35" t="n">
        <v>0</v>
      </c>
      <c r="I374" s="35">
        <f>G374-H374</f>
        <v/>
      </c>
      <c r="J374" s="33" t="n">
        <v>2024</v>
      </c>
      <c r="K374" s="33" t="n">
        <v>10</v>
      </c>
      <c r="L374" s="34" t="inlineStr">
        <is>
          <t>Winst- en verliesrekening</t>
        </is>
      </c>
      <c r="M374" s="34" t="inlineStr">
        <is>
          <t>Verkoopkosten</t>
        </is>
      </c>
      <c r="N374" s="34" t="inlineStr">
        <is>
          <t>Reclame</t>
        </is>
      </c>
      <c r="O374" s="36">
        <f>IFERROR(INDEX('Mapping'!$F$2:$F$60,MATCH(B374,'Mapping'!$A$2:$A$60,0)),"")</f>
        <v/>
      </c>
    </row>
    <row r="375">
      <c r="A375" s="32" t="n">
        <v>45597</v>
      </c>
      <c r="B375" s="33" t="n">
        <v>4300</v>
      </c>
      <c r="C375" s="34" t="inlineStr">
        <is>
          <t>Reclame en marketing</t>
        </is>
      </c>
      <c r="D375" s="34" t="inlineStr">
        <is>
          <t>Verkoop</t>
        </is>
      </c>
      <c r="E375" s="34" t="inlineStr">
        <is>
          <t>Algemeen</t>
        </is>
      </c>
      <c r="F375" s="34" t="inlineStr"/>
      <c r="G375" s="35" t="n">
        <v>2924</v>
      </c>
      <c r="H375" s="35" t="n">
        <v>0</v>
      </c>
      <c r="I375" s="35">
        <f>G375-H375</f>
        <v/>
      </c>
      <c r="J375" s="33" t="n">
        <v>2024</v>
      </c>
      <c r="K375" s="33" t="n">
        <v>11</v>
      </c>
      <c r="L375" s="34" t="inlineStr">
        <is>
          <t>Winst- en verliesrekening</t>
        </is>
      </c>
      <c r="M375" s="34" t="inlineStr">
        <is>
          <t>Verkoopkosten</t>
        </is>
      </c>
      <c r="N375" s="34" t="inlineStr">
        <is>
          <t>Reclame</t>
        </is>
      </c>
      <c r="O375" s="36">
        <f>IFERROR(INDEX('Mapping'!$F$2:$F$60,MATCH(B375,'Mapping'!$A$2:$A$60,0)),"")</f>
        <v/>
      </c>
    </row>
    <row r="376">
      <c r="A376" s="32" t="n">
        <v>45627</v>
      </c>
      <c r="B376" s="33" t="n">
        <v>4300</v>
      </c>
      <c r="C376" s="34" t="inlineStr">
        <is>
          <t>Reclame en marketing</t>
        </is>
      </c>
      <c r="D376" s="34" t="inlineStr">
        <is>
          <t>Verkoop</t>
        </is>
      </c>
      <c r="E376" s="34" t="inlineStr">
        <is>
          <t>Algemeen</t>
        </is>
      </c>
      <c r="F376" s="34" t="inlineStr"/>
      <c r="G376" s="35" t="n">
        <v>3536</v>
      </c>
      <c r="H376" s="35" t="n">
        <v>0</v>
      </c>
      <c r="I376" s="35">
        <f>G376-H376</f>
        <v/>
      </c>
      <c r="J376" s="33" t="n">
        <v>2024</v>
      </c>
      <c r="K376" s="33" t="n">
        <v>12</v>
      </c>
      <c r="L376" s="34" t="inlineStr">
        <is>
          <t>Winst- en verliesrekening</t>
        </is>
      </c>
      <c r="M376" s="34" t="inlineStr">
        <is>
          <t>Verkoopkosten</t>
        </is>
      </c>
      <c r="N376" s="34" t="inlineStr">
        <is>
          <t>Reclame</t>
        </is>
      </c>
      <c r="O376" s="36">
        <f>IFERROR(INDEX('Mapping'!$F$2:$F$60,MATCH(B376,'Mapping'!$A$2:$A$60,0)),"")</f>
        <v/>
      </c>
    </row>
    <row r="377">
      <c r="A377" s="32" t="n">
        <v>45658</v>
      </c>
      <c r="B377" s="33" t="n">
        <v>4300</v>
      </c>
      <c r="C377" s="34" t="inlineStr">
        <is>
          <t>Reclame en marketing</t>
        </is>
      </c>
      <c r="D377" s="34" t="inlineStr">
        <is>
          <t>Verkoop</t>
        </is>
      </c>
      <c r="E377" s="34" t="inlineStr">
        <is>
          <t>Algemeen</t>
        </is>
      </c>
      <c r="F377" s="34" t="inlineStr"/>
      <c r="G377" s="35" t="n">
        <v>2660</v>
      </c>
      <c r="H377" s="35" t="n">
        <v>0</v>
      </c>
      <c r="I377" s="35">
        <f>G377-H377</f>
        <v/>
      </c>
      <c r="J377" s="33" t="n">
        <v>2025</v>
      </c>
      <c r="K377" s="33" t="n">
        <v>1</v>
      </c>
      <c r="L377" s="34" t="inlineStr">
        <is>
          <t>Winst- en verliesrekening</t>
        </is>
      </c>
      <c r="M377" s="34" t="inlineStr">
        <is>
          <t>Verkoopkosten</t>
        </is>
      </c>
      <c r="N377" s="34" t="inlineStr">
        <is>
          <t>Reclame</t>
        </is>
      </c>
      <c r="O377" s="36">
        <f>IFERROR(INDEX('Mapping'!$F$2:$F$60,MATCH(B377,'Mapping'!$A$2:$A$60,0)),"")</f>
        <v/>
      </c>
    </row>
    <row r="378">
      <c r="A378" s="32" t="n">
        <v>45689</v>
      </c>
      <c r="B378" s="33" t="n">
        <v>4300</v>
      </c>
      <c r="C378" s="34" t="inlineStr">
        <is>
          <t>Reclame en marketing</t>
        </is>
      </c>
      <c r="D378" s="34" t="inlineStr">
        <is>
          <t>Verkoop</t>
        </is>
      </c>
      <c r="E378" s="34" t="inlineStr">
        <is>
          <t>Algemeen</t>
        </is>
      </c>
      <c r="F378" s="34" t="inlineStr"/>
      <c r="G378" s="35" t="n">
        <v>2660</v>
      </c>
      <c r="H378" s="35" t="n">
        <v>0</v>
      </c>
      <c r="I378" s="35">
        <f>G378-H378</f>
        <v/>
      </c>
      <c r="J378" s="33" t="n">
        <v>2025</v>
      </c>
      <c r="K378" s="33" t="n">
        <v>2</v>
      </c>
      <c r="L378" s="34" t="inlineStr">
        <is>
          <t>Winst- en verliesrekening</t>
        </is>
      </c>
      <c r="M378" s="34" t="inlineStr">
        <is>
          <t>Verkoopkosten</t>
        </is>
      </c>
      <c r="N378" s="34" t="inlineStr">
        <is>
          <t>Reclame</t>
        </is>
      </c>
      <c r="O378" s="36">
        <f>IFERROR(INDEX('Mapping'!$F$2:$F$60,MATCH(B378,'Mapping'!$A$2:$A$60,0)),"")</f>
        <v/>
      </c>
    </row>
    <row r="379">
      <c r="A379" s="32" t="n">
        <v>45717</v>
      </c>
      <c r="B379" s="33" t="n">
        <v>4300</v>
      </c>
      <c r="C379" s="34" t="inlineStr">
        <is>
          <t>Reclame en marketing</t>
        </is>
      </c>
      <c r="D379" s="34" t="inlineStr">
        <is>
          <t>Verkoop</t>
        </is>
      </c>
      <c r="E379" s="34" t="inlineStr">
        <is>
          <t>Algemeen</t>
        </is>
      </c>
      <c r="F379" s="34" t="inlineStr"/>
      <c r="G379" s="35" t="n">
        <v>3344</v>
      </c>
      <c r="H379" s="35" t="n">
        <v>0</v>
      </c>
      <c r="I379" s="35">
        <f>G379-H379</f>
        <v/>
      </c>
      <c r="J379" s="33" t="n">
        <v>2025</v>
      </c>
      <c r="K379" s="33" t="n">
        <v>3</v>
      </c>
      <c r="L379" s="34" t="inlineStr">
        <is>
          <t>Winst- en verliesrekening</t>
        </is>
      </c>
      <c r="M379" s="34" t="inlineStr">
        <is>
          <t>Verkoopkosten</t>
        </is>
      </c>
      <c r="N379" s="34" t="inlineStr">
        <is>
          <t>Reclame</t>
        </is>
      </c>
      <c r="O379" s="36">
        <f>IFERROR(INDEX('Mapping'!$F$2:$F$60,MATCH(B379,'Mapping'!$A$2:$A$60,0)),"")</f>
        <v/>
      </c>
    </row>
    <row r="380">
      <c r="A380" s="32" t="n">
        <v>45748</v>
      </c>
      <c r="B380" s="33" t="n">
        <v>4300</v>
      </c>
      <c r="C380" s="34" t="inlineStr">
        <is>
          <t>Reclame en marketing</t>
        </is>
      </c>
      <c r="D380" s="34" t="inlineStr">
        <is>
          <t>Verkoop</t>
        </is>
      </c>
      <c r="E380" s="34" t="inlineStr">
        <is>
          <t>Algemeen</t>
        </is>
      </c>
      <c r="F380" s="34" t="inlineStr"/>
      <c r="G380" s="35" t="n">
        <v>3116</v>
      </c>
      <c r="H380" s="35" t="n">
        <v>0</v>
      </c>
      <c r="I380" s="35">
        <f>G380-H380</f>
        <v/>
      </c>
      <c r="J380" s="33" t="n">
        <v>2025</v>
      </c>
      <c r="K380" s="33" t="n">
        <v>4</v>
      </c>
      <c r="L380" s="34" t="inlineStr">
        <is>
          <t>Winst- en verliesrekening</t>
        </is>
      </c>
      <c r="M380" s="34" t="inlineStr">
        <is>
          <t>Verkoopkosten</t>
        </is>
      </c>
      <c r="N380" s="34" t="inlineStr">
        <is>
          <t>Reclame</t>
        </is>
      </c>
      <c r="O380" s="36">
        <f>IFERROR(INDEX('Mapping'!$F$2:$F$60,MATCH(B380,'Mapping'!$A$2:$A$60,0)),"")</f>
        <v/>
      </c>
    </row>
    <row r="381">
      <c r="A381" s="32" t="n">
        <v>45778</v>
      </c>
      <c r="B381" s="33" t="n">
        <v>4300</v>
      </c>
      <c r="C381" s="34" t="inlineStr">
        <is>
          <t>Reclame en marketing</t>
        </is>
      </c>
      <c r="D381" s="34" t="inlineStr">
        <is>
          <t>Verkoop</t>
        </is>
      </c>
      <c r="E381" s="34" t="inlineStr">
        <is>
          <t>Algemeen</t>
        </is>
      </c>
      <c r="F381" s="34" t="inlineStr"/>
      <c r="G381" s="35" t="n">
        <v>3268</v>
      </c>
      <c r="H381" s="35" t="n">
        <v>0</v>
      </c>
      <c r="I381" s="35">
        <f>G381-H381</f>
        <v/>
      </c>
      <c r="J381" s="33" t="n">
        <v>2025</v>
      </c>
      <c r="K381" s="33" t="n">
        <v>5</v>
      </c>
      <c r="L381" s="34" t="inlineStr">
        <is>
          <t>Winst- en verliesrekening</t>
        </is>
      </c>
      <c r="M381" s="34" t="inlineStr">
        <is>
          <t>Verkoopkosten</t>
        </is>
      </c>
      <c r="N381" s="34" t="inlineStr">
        <is>
          <t>Reclame</t>
        </is>
      </c>
      <c r="O381" s="36">
        <f>IFERROR(INDEX('Mapping'!$F$2:$F$60,MATCH(B381,'Mapping'!$A$2:$A$60,0)),"")</f>
        <v/>
      </c>
    </row>
    <row r="382">
      <c r="A382" s="32" t="n">
        <v>45809</v>
      </c>
      <c r="B382" s="33" t="n">
        <v>4300</v>
      </c>
      <c r="C382" s="34" t="inlineStr">
        <is>
          <t>Reclame en marketing</t>
        </is>
      </c>
      <c r="D382" s="34" t="inlineStr">
        <is>
          <t>Verkoop</t>
        </is>
      </c>
      <c r="E382" s="34" t="inlineStr">
        <is>
          <t>Algemeen</t>
        </is>
      </c>
      <c r="F382" s="34" t="inlineStr"/>
      <c r="G382" s="35" t="n">
        <v>3420</v>
      </c>
      <c r="H382" s="35" t="n">
        <v>0</v>
      </c>
      <c r="I382" s="35">
        <f>G382-H382</f>
        <v/>
      </c>
      <c r="J382" s="33" t="n">
        <v>2025</v>
      </c>
      <c r="K382" s="33" t="n">
        <v>6</v>
      </c>
      <c r="L382" s="34" t="inlineStr">
        <is>
          <t>Winst- en verliesrekening</t>
        </is>
      </c>
      <c r="M382" s="34" t="inlineStr">
        <is>
          <t>Verkoopkosten</t>
        </is>
      </c>
      <c r="N382" s="34" t="inlineStr">
        <is>
          <t>Reclame</t>
        </is>
      </c>
      <c r="O382" s="36">
        <f>IFERROR(INDEX('Mapping'!$F$2:$F$60,MATCH(B382,'Mapping'!$A$2:$A$60,0)),"")</f>
        <v/>
      </c>
    </row>
    <row r="383">
      <c r="A383" s="32" t="n">
        <v>45839</v>
      </c>
      <c r="B383" s="33" t="n">
        <v>4300</v>
      </c>
      <c r="C383" s="34" t="inlineStr">
        <is>
          <t>Reclame en marketing</t>
        </is>
      </c>
      <c r="D383" s="34" t="inlineStr">
        <is>
          <t>Verkoop</t>
        </is>
      </c>
      <c r="E383" s="34" t="inlineStr">
        <is>
          <t>Algemeen</t>
        </is>
      </c>
      <c r="F383" s="34" t="inlineStr"/>
      <c r="G383" s="35" t="n">
        <v>2888</v>
      </c>
      <c r="H383" s="35" t="n">
        <v>0</v>
      </c>
      <c r="I383" s="35">
        <f>G383-H383</f>
        <v/>
      </c>
      <c r="J383" s="33" t="n">
        <v>2025</v>
      </c>
      <c r="K383" s="33" t="n">
        <v>7</v>
      </c>
      <c r="L383" s="34" t="inlineStr">
        <is>
          <t>Winst- en verliesrekening</t>
        </is>
      </c>
      <c r="M383" s="34" t="inlineStr">
        <is>
          <t>Verkoopkosten</t>
        </is>
      </c>
      <c r="N383" s="34" t="inlineStr">
        <is>
          <t>Reclame</t>
        </is>
      </c>
      <c r="O383" s="36">
        <f>IFERROR(INDEX('Mapping'!$F$2:$F$60,MATCH(B383,'Mapping'!$A$2:$A$60,0)),"")</f>
        <v/>
      </c>
    </row>
    <row r="384">
      <c r="A384" s="32" t="n">
        <v>45870</v>
      </c>
      <c r="B384" s="33" t="n">
        <v>4300</v>
      </c>
      <c r="C384" s="34" t="inlineStr">
        <is>
          <t>Reclame en marketing</t>
        </is>
      </c>
      <c r="D384" s="34" t="inlineStr">
        <is>
          <t>Verkoop</t>
        </is>
      </c>
      <c r="E384" s="34" t="inlineStr">
        <is>
          <t>Algemeen</t>
        </is>
      </c>
      <c r="F384" s="34" t="inlineStr"/>
      <c r="G384" s="35" t="n">
        <v>2660</v>
      </c>
      <c r="H384" s="35" t="n">
        <v>0</v>
      </c>
      <c r="I384" s="35">
        <f>G384-H384</f>
        <v/>
      </c>
      <c r="J384" s="33" t="n">
        <v>2025</v>
      </c>
      <c r="K384" s="33" t="n">
        <v>8</v>
      </c>
      <c r="L384" s="34" t="inlineStr">
        <is>
          <t>Winst- en verliesrekening</t>
        </is>
      </c>
      <c r="M384" s="34" t="inlineStr">
        <is>
          <t>Verkoopkosten</t>
        </is>
      </c>
      <c r="N384" s="34" t="inlineStr">
        <is>
          <t>Reclame</t>
        </is>
      </c>
      <c r="O384" s="36">
        <f>IFERROR(INDEX('Mapping'!$F$2:$F$60,MATCH(B384,'Mapping'!$A$2:$A$60,0)),"")</f>
        <v/>
      </c>
    </row>
    <row r="385">
      <c r="A385" s="32" t="n">
        <v>45901</v>
      </c>
      <c r="B385" s="33" t="n">
        <v>4300</v>
      </c>
      <c r="C385" s="34" t="inlineStr">
        <is>
          <t>Reclame en marketing</t>
        </is>
      </c>
      <c r="D385" s="34" t="inlineStr">
        <is>
          <t>Verkoop</t>
        </is>
      </c>
      <c r="E385" s="34" t="inlineStr">
        <is>
          <t>Algemeen</t>
        </is>
      </c>
      <c r="F385" s="34" t="inlineStr"/>
      <c r="G385" s="35" t="n">
        <v>3344</v>
      </c>
      <c r="H385" s="35" t="n">
        <v>0</v>
      </c>
      <c r="I385" s="35">
        <f>G385-H385</f>
        <v/>
      </c>
      <c r="J385" s="33" t="n">
        <v>2025</v>
      </c>
      <c r="K385" s="33" t="n">
        <v>9</v>
      </c>
      <c r="L385" s="34" t="inlineStr">
        <is>
          <t>Winst- en verliesrekening</t>
        </is>
      </c>
      <c r="M385" s="34" t="inlineStr">
        <is>
          <t>Verkoopkosten</t>
        </is>
      </c>
      <c r="N385" s="34" t="inlineStr">
        <is>
          <t>Reclame</t>
        </is>
      </c>
      <c r="O385" s="36">
        <f>IFERROR(INDEX('Mapping'!$F$2:$F$60,MATCH(B385,'Mapping'!$A$2:$A$60,0)),"")</f>
        <v/>
      </c>
    </row>
    <row r="386">
      <c r="A386" s="32" t="n">
        <v>45931</v>
      </c>
      <c r="B386" s="33" t="n">
        <v>4300</v>
      </c>
      <c r="C386" s="34" t="inlineStr">
        <is>
          <t>Reclame en marketing</t>
        </is>
      </c>
      <c r="D386" s="34" t="inlineStr">
        <is>
          <t>Verkoop</t>
        </is>
      </c>
      <c r="E386" s="34" t="inlineStr">
        <is>
          <t>Algemeen</t>
        </is>
      </c>
      <c r="F386" s="34" t="inlineStr"/>
      <c r="G386" s="35" t="n">
        <v>3420</v>
      </c>
      <c r="H386" s="35" t="n">
        <v>0</v>
      </c>
      <c r="I386" s="35">
        <f>G386-H386</f>
        <v/>
      </c>
      <c r="J386" s="33" t="n">
        <v>2025</v>
      </c>
      <c r="K386" s="33" t="n">
        <v>10</v>
      </c>
      <c r="L386" s="34" t="inlineStr">
        <is>
          <t>Winst- en verliesrekening</t>
        </is>
      </c>
      <c r="M386" s="34" t="inlineStr">
        <is>
          <t>Verkoopkosten</t>
        </is>
      </c>
      <c r="N386" s="34" t="inlineStr">
        <is>
          <t>Reclame</t>
        </is>
      </c>
      <c r="O386" s="36">
        <f>IFERROR(INDEX('Mapping'!$F$2:$F$60,MATCH(B386,'Mapping'!$A$2:$A$60,0)),"")</f>
        <v/>
      </c>
    </row>
    <row r="387">
      <c r="A387" s="32" t="n">
        <v>45962</v>
      </c>
      <c r="B387" s="33" t="n">
        <v>4300</v>
      </c>
      <c r="C387" s="34" t="inlineStr">
        <is>
          <t>Reclame en marketing</t>
        </is>
      </c>
      <c r="D387" s="34" t="inlineStr">
        <is>
          <t>Verkoop</t>
        </is>
      </c>
      <c r="E387" s="34" t="inlineStr">
        <is>
          <t>Algemeen</t>
        </is>
      </c>
      <c r="F387" s="34" t="inlineStr"/>
      <c r="G387" s="35" t="n">
        <v>3268</v>
      </c>
      <c r="H387" s="35" t="n">
        <v>0</v>
      </c>
      <c r="I387" s="35">
        <f>G387-H387</f>
        <v/>
      </c>
      <c r="J387" s="33" t="n">
        <v>2025</v>
      </c>
      <c r="K387" s="33" t="n">
        <v>11</v>
      </c>
      <c r="L387" s="34" t="inlineStr">
        <is>
          <t>Winst- en verliesrekening</t>
        </is>
      </c>
      <c r="M387" s="34" t="inlineStr">
        <is>
          <t>Verkoopkosten</t>
        </is>
      </c>
      <c r="N387" s="34" t="inlineStr">
        <is>
          <t>Reclame</t>
        </is>
      </c>
      <c r="O387" s="36">
        <f>IFERROR(INDEX('Mapping'!$F$2:$F$60,MATCH(B387,'Mapping'!$A$2:$A$60,0)),"")</f>
        <v/>
      </c>
    </row>
    <row r="388">
      <c r="A388" s="32" t="n">
        <v>45992</v>
      </c>
      <c r="B388" s="33" t="n">
        <v>4300</v>
      </c>
      <c r="C388" s="34" t="inlineStr">
        <is>
          <t>Reclame en marketing</t>
        </is>
      </c>
      <c r="D388" s="34" t="inlineStr">
        <is>
          <t>Verkoop</t>
        </is>
      </c>
      <c r="E388" s="34" t="inlineStr">
        <is>
          <t>Algemeen</t>
        </is>
      </c>
      <c r="F388" s="34" t="inlineStr"/>
      <c r="G388" s="35" t="n">
        <v>3952</v>
      </c>
      <c r="H388" s="35" t="n">
        <v>0</v>
      </c>
      <c r="I388" s="35">
        <f>G388-H388</f>
        <v/>
      </c>
      <c r="J388" s="33" t="n">
        <v>2025</v>
      </c>
      <c r="K388" s="33" t="n">
        <v>12</v>
      </c>
      <c r="L388" s="34" t="inlineStr">
        <is>
          <t>Winst- en verliesrekening</t>
        </is>
      </c>
      <c r="M388" s="34" t="inlineStr">
        <is>
          <t>Verkoopkosten</t>
        </is>
      </c>
      <c r="N388" s="34" t="inlineStr">
        <is>
          <t>Reclame</t>
        </is>
      </c>
      <c r="O388" s="36">
        <f>IFERROR(INDEX('Mapping'!$F$2:$F$60,MATCH(B388,'Mapping'!$A$2:$A$60,0)),"")</f>
        <v/>
      </c>
    </row>
    <row r="389">
      <c r="A389" s="32" t="n">
        <v>45292</v>
      </c>
      <c r="B389" s="33" t="n">
        <v>4310</v>
      </c>
      <c r="C389" s="34" t="inlineStr">
        <is>
          <t>Representatiekosten</t>
        </is>
      </c>
      <c r="D389" s="34" t="inlineStr">
        <is>
          <t>Verkoop</t>
        </is>
      </c>
      <c r="E389" s="34" t="inlineStr">
        <is>
          <t>Algemeen</t>
        </is>
      </c>
      <c r="F389" s="34" t="inlineStr"/>
      <c r="G389" s="35" t="n">
        <v>1120</v>
      </c>
      <c r="H389" s="35" t="n">
        <v>0</v>
      </c>
      <c r="I389" s="35">
        <f>G389-H389</f>
        <v/>
      </c>
      <c r="J389" s="33" t="n">
        <v>2024</v>
      </c>
      <c r="K389" s="33" t="n">
        <v>1</v>
      </c>
      <c r="L389" s="34" t="inlineStr">
        <is>
          <t>Winst- en verliesrekening</t>
        </is>
      </c>
      <c r="M389" s="34" t="inlineStr">
        <is>
          <t>Verkoopkosten</t>
        </is>
      </c>
      <c r="N389" s="34" t="inlineStr">
        <is>
          <t>Representatie</t>
        </is>
      </c>
      <c r="O389" s="36">
        <f>IFERROR(INDEX('Mapping'!$F$2:$F$60,MATCH(B389,'Mapping'!$A$2:$A$60,0)),"")</f>
        <v/>
      </c>
    </row>
    <row r="390">
      <c r="A390" s="32" t="n">
        <v>45323</v>
      </c>
      <c r="B390" s="33" t="n">
        <v>4310</v>
      </c>
      <c r="C390" s="34" t="inlineStr">
        <is>
          <t>Representatiekosten</t>
        </is>
      </c>
      <c r="D390" s="34" t="inlineStr">
        <is>
          <t>Verkoop</t>
        </is>
      </c>
      <c r="E390" s="34" t="inlineStr">
        <is>
          <t>Algemeen</t>
        </is>
      </c>
      <c r="F390" s="34" t="inlineStr"/>
      <c r="G390" s="35" t="n">
        <v>1120</v>
      </c>
      <c r="H390" s="35" t="n">
        <v>0</v>
      </c>
      <c r="I390" s="35">
        <f>G390-H390</f>
        <v/>
      </c>
      <c r="J390" s="33" t="n">
        <v>2024</v>
      </c>
      <c r="K390" s="33" t="n">
        <v>2</v>
      </c>
      <c r="L390" s="34" t="inlineStr">
        <is>
          <t>Winst- en verliesrekening</t>
        </is>
      </c>
      <c r="M390" s="34" t="inlineStr">
        <is>
          <t>Verkoopkosten</t>
        </is>
      </c>
      <c r="N390" s="34" t="inlineStr">
        <is>
          <t>Representatie</t>
        </is>
      </c>
      <c r="O390" s="36">
        <f>IFERROR(INDEX('Mapping'!$F$2:$F$60,MATCH(B390,'Mapping'!$A$2:$A$60,0)),"")</f>
        <v/>
      </c>
    </row>
    <row r="391">
      <c r="A391" s="32" t="n">
        <v>45352</v>
      </c>
      <c r="B391" s="33" t="n">
        <v>4310</v>
      </c>
      <c r="C391" s="34" t="inlineStr">
        <is>
          <t>Representatiekosten</t>
        </is>
      </c>
      <c r="D391" s="34" t="inlineStr">
        <is>
          <t>Verkoop</t>
        </is>
      </c>
      <c r="E391" s="34" t="inlineStr">
        <is>
          <t>Algemeen</t>
        </is>
      </c>
      <c r="F391" s="34" t="inlineStr"/>
      <c r="G391" s="35" t="n">
        <v>1408</v>
      </c>
      <c r="H391" s="35" t="n">
        <v>0</v>
      </c>
      <c r="I391" s="35">
        <f>G391-H391</f>
        <v/>
      </c>
      <c r="J391" s="33" t="n">
        <v>2024</v>
      </c>
      <c r="K391" s="33" t="n">
        <v>3</v>
      </c>
      <c r="L391" s="34" t="inlineStr">
        <is>
          <t>Winst- en verliesrekening</t>
        </is>
      </c>
      <c r="M391" s="34" t="inlineStr">
        <is>
          <t>Verkoopkosten</t>
        </is>
      </c>
      <c r="N391" s="34" t="inlineStr">
        <is>
          <t>Representatie</t>
        </is>
      </c>
      <c r="O391" s="36">
        <f>IFERROR(INDEX('Mapping'!$F$2:$F$60,MATCH(B391,'Mapping'!$A$2:$A$60,0)),"")</f>
        <v/>
      </c>
    </row>
    <row r="392">
      <c r="A392" s="32" t="n">
        <v>45383</v>
      </c>
      <c r="B392" s="33" t="n">
        <v>4310</v>
      </c>
      <c r="C392" s="34" t="inlineStr">
        <is>
          <t>Representatiekosten</t>
        </is>
      </c>
      <c r="D392" s="34" t="inlineStr">
        <is>
          <t>Verkoop</t>
        </is>
      </c>
      <c r="E392" s="34" t="inlineStr">
        <is>
          <t>Algemeen</t>
        </is>
      </c>
      <c r="F392" s="34" t="inlineStr"/>
      <c r="G392" s="35" t="n">
        <v>1312</v>
      </c>
      <c r="H392" s="35" t="n">
        <v>0</v>
      </c>
      <c r="I392" s="35">
        <f>G392-H392</f>
        <v/>
      </c>
      <c r="J392" s="33" t="n">
        <v>2024</v>
      </c>
      <c r="K392" s="33" t="n">
        <v>4</v>
      </c>
      <c r="L392" s="34" t="inlineStr">
        <is>
          <t>Winst- en verliesrekening</t>
        </is>
      </c>
      <c r="M392" s="34" t="inlineStr">
        <is>
          <t>Verkoopkosten</t>
        </is>
      </c>
      <c r="N392" s="34" t="inlineStr">
        <is>
          <t>Representatie</t>
        </is>
      </c>
      <c r="O392" s="36">
        <f>IFERROR(INDEX('Mapping'!$F$2:$F$60,MATCH(B392,'Mapping'!$A$2:$A$60,0)),"")</f>
        <v/>
      </c>
    </row>
    <row r="393">
      <c r="A393" s="32" t="n">
        <v>45413</v>
      </c>
      <c r="B393" s="33" t="n">
        <v>4310</v>
      </c>
      <c r="C393" s="34" t="inlineStr">
        <is>
          <t>Representatiekosten</t>
        </is>
      </c>
      <c r="D393" s="34" t="inlineStr">
        <is>
          <t>Verkoop</t>
        </is>
      </c>
      <c r="E393" s="34" t="inlineStr">
        <is>
          <t>Algemeen</t>
        </is>
      </c>
      <c r="F393" s="34" t="inlineStr"/>
      <c r="G393" s="35" t="n">
        <v>1376</v>
      </c>
      <c r="H393" s="35" t="n">
        <v>0</v>
      </c>
      <c r="I393" s="35">
        <f>G393-H393</f>
        <v/>
      </c>
      <c r="J393" s="33" t="n">
        <v>2024</v>
      </c>
      <c r="K393" s="33" t="n">
        <v>5</v>
      </c>
      <c r="L393" s="34" t="inlineStr">
        <is>
          <t>Winst- en verliesrekening</t>
        </is>
      </c>
      <c r="M393" s="34" t="inlineStr">
        <is>
          <t>Verkoopkosten</t>
        </is>
      </c>
      <c r="N393" s="34" t="inlineStr">
        <is>
          <t>Representatie</t>
        </is>
      </c>
      <c r="O393" s="36">
        <f>IFERROR(INDEX('Mapping'!$F$2:$F$60,MATCH(B393,'Mapping'!$A$2:$A$60,0)),"")</f>
        <v/>
      </c>
    </row>
    <row r="394">
      <c r="A394" s="32" t="n">
        <v>45444</v>
      </c>
      <c r="B394" s="33" t="n">
        <v>4310</v>
      </c>
      <c r="C394" s="34" t="inlineStr">
        <is>
          <t>Representatiekosten</t>
        </is>
      </c>
      <c r="D394" s="34" t="inlineStr">
        <is>
          <t>Verkoop</t>
        </is>
      </c>
      <c r="E394" s="34" t="inlineStr">
        <is>
          <t>Algemeen</t>
        </is>
      </c>
      <c r="F394" s="34" t="inlineStr"/>
      <c r="G394" s="35" t="n">
        <v>1440</v>
      </c>
      <c r="H394" s="35" t="n">
        <v>0</v>
      </c>
      <c r="I394" s="35">
        <f>G394-H394</f>
        <v/>
      </c>
      <c r="J394" s="33" t="n">
        <v>2024</v>
      </c>
      <c r="K394" s="33" t="n">
        <v>6</v>
      </c>
      <c r="L394" s="34" t="inlineStr">
        <is>
          <t>Winst- en verliesrekening</t>
        </is>
      </c>
      <c r="M394" s="34" t="inlineStr">
        <is>
          <t>Verkoopkosten</t>
        </is>
      </c>
      <c r="N394" s="34" t="inlineStr">
        <is>
          <t>Representatie</t>
        </is>
      </c>
      <c r="O394" s="36">
        <f>IFERROR(INDEX('Mapping'!$F$2:$F$60,MATCH(B394,'Mapping'!$A$2:$A$60,0)),"")</f>
        <v/>
      </c>
    </row>
    <row r="395">
      <c r="A395" s="32" t="n">
        <v>45474</v>
      </c>
      <c r="B395" s="33" t="n">
        <v>4310</v>
      </c>
      <c r="C395" s="34" t="inlineStr">
        <is>
          <t>Representatiekosten</t>
        </is>
      </c>
      <c r="D395" s="34" t="inlineStr">
        <is>
          <t>Verkoop</t>
        </is>
      </c>
      <c r="E395" s="34" t="inlineStr">
        <is>
          <t>Algemeen</t>
        </is>
      </c>
      <c r="F395" s="34" t="inlineStr"/>
      <c r="G395" s="35" t="n">
        <v>1216</v>
      </c>
      <c r="H395" s="35" t="n">
        <v>0</v>
      </c>
      <c r="I395" s="35">
        <f>G395-H395</f>
        <v/>
      </c>
      <c r="J395" s="33" t="n">
        <v>2024</v>
      </c>
      <c r="K395" s="33" t="n">
        <v>7</v>
      </c>
      <c r="L395" s="34" t="inlineStr">
        <is>
          <t>Winst- en verliesrekening</t>
        </is>
      </c>
      <c r="M395" s="34" t="inlineStr">
        <is>
          <t>Verkoopkosten</t>
        </is>
      </c>
      <c r="N395" s="34" t="inlineStr">
        <is>
          <t>Representatie</t>
        </is>
      </c>
      <c r="O395" s="36">
        <f>IFERROR(INDEX('Mapping'!$F$2:$F$60,MATCH(B395,'Mapping'!$A$2:$A$60,0)),"")</f>
        <v/>
      </c>
    </row>
    <row r="396">
      <c r="A396" s="32" t="n">
        <v>45505</v>
      </c>
      <c r="B396" s="33" t="n">
        <v>4310</v>
      </c>
      <c r="C396" s="34" t="inlineStr">
        <is>
          <t>Representatiekosten</t>
        </is>
      </c>
      <c r="D396" s="34" t="inlineStr">
        <is>
          <t>Verkoop</t>
        </is>
      </c>
      <c r="E396" s="34" t="inlineStr">
        <is>
          <t>Algemeen</t>
        </is>
      </c>
      <c r="F396" s="34" t="inlineStr"/>
      <c r="G396" s="35" t="n">
        <v>1120</v>
      </c>
      <c r="H396" s="35" t="n">
        <v>0</v>
      </c>
      <c r="I396" s="35">
        <f>G396-H396</f>
        <v/>
      </c>
      <c r="J396" s="33" t="n">
        <v>2024</v>
      </c>
      <c r="K396" s="33" t="n">
        <v>8</v>
      </c>
      <c r="L396" s="34" t="inlineStr">
        <is>
          <t>Winst- en verliesrekening</t>
        </is>
      </c>
      <c r="M396" s="34" t="inlineStr">
        <is>
          <t>Verkoopkosten</t>
        </is>
      </c>
      <c r="N396" s="34" t="inlineStr">
        <is>
          <t>Representatie</t>
        </is>
      </c>
      <c r="O396" s="36">
        <f>IFERROR(INDEX('Mapping'!$F$2:$F$60,MATCH(B396,'Mapping'!$A$2:$A$60,0)),"")</f>
        <v/>
      </c>
    </row>
    <row r="397">
      <c r="A397" s="32" t="n">
        <v>45536</v>
      </c>
      <c r="B397" s="33" t="n">
        <v>4310</v>
      </c>
      <c r="C397" s="34" t="inlineStr">
        <is>
          <t>Representatiekosten</t>
        </is>
      </c>
      <c r="D397" s="34" t="inlineStr">
        <is>
          <t>Verkoop</t>
        </is>
      </c>
      <c r="E397" s="34" t="inlineStr">
        <is>
          <t>Algemeen</t>
        </is>
      </c>
      <c r="F397" s="34" t="inlineStr"/>
      <c r="G397" s="35" t="n">
        <v>1408</v>
      </c>
      <c r="H397" s="35" t="n">
        <v>0</v>
      </c>
      <c r="I397" s="35">
        <f>G397-H397</f>
        <v/>
      </c>
      <c r="J397" s="33" t="n">
        <v>2024</v>
      </c>
      <c r="K397" s="33" t="n">
        <v>9</v>
      </c>
      <c r="L397" s="34" t="inlineStr">
        <is>
          <t>Winst- en verliesrekening</t>
        </is>
      </c>
      <c r="M397" s="34" t="inlineStr">
        <is>
          <t>Verkoopkosten</t>
        </is>
      </c>
      <c r="N397" s="34" t="inlineStr">
        <is>
          <t>Representatie</t>
        </is>
      </c>
      <c r="O397" s="36">
        <f>IFERROR(INDEX('Mapping'!$F$2:$F$60,MATCH(B397,'Mapping'!$A$2:$A$60,0)),"")</f>
        <v/>
      </c>
    </row>
    <row r="398">
      <c r="A398" s="32" t="n">
        <v>45566</v>
      </c>
      <c r="B398" s="33" t="n">
        <v>4310</v>
      </c>
      <c r="C398" s="34" t="inlineStr">
        <is>
          <t>Representatiekosten</t>
        </is>
      </c>
      <c r="D398" s="34" t="inlineStr">
        <is>
          <t>Verkoop</t>
        </is>
      </c>
      <c r="E398" s="34" t="inlineStr">
        <is>
          <t>Algemeen</t>
        </is>
      </c>
      <c r="F398" s="34" t="inlineStr"/>
      <c r="G398" s="35" t="n">
        <v>1440</v>
      </c>
      <c r="H398" s="35" t="n">
        <v>0</v>
      </c>
      <c r="I398" s="35">
        <f>G398-H398</f>
        <v/>
      </c>
      <c r="J398" s="33" t="n">
        <v>2024</v>
      </c>
      <c r="K398" s="33" t="n">
        <v>10</v>
      </c>
      <c r="L398" s="34" t="inlineStr">
        <is>
          <t>Winst- en verliesrekening</t>
        </is>
      </c>
      <c r="M398" s="34" t="inlineStr">
        <is>
          <t>Verkoopkosten</t>
        </is>
      </c>
      <c r="N398" s="34" t="inlineStr">
        <is>
          <t>Representatie</t>
        </is>
      </c>
      <c r="O398" s="36">
        <f>IFERROR(INDEX('Mapping'!$F$2:$F$60,MATCH(B398,'Mapping'!$A$2:$A$60,0)),"")</f>
        <v/>
      </c>
    </row>
    <row r="399">
      <c r="A399" s="32" t="n">
        <v>45597</v>
      </c>
      <c r="B399" s="33" t="n">
        <v>4310</v>
      </c>
      <c r="C399" s="34" t="inlineStr">
        <is>
          <t>Representatiekosten</t>
        </is>
      </c>
      <c r="D399" s="34" t="inlineStr">
        <is>
          <t>Verkoop</t>
        </is>
      </c>
      <c r="E399" s="34" t="inlineStr">
        <is>
          <t>Algemeen</t>
        </is>
      </c>
      <c r="F399" s="34" t="inlineStr"/>
      <c r="G399" s="35" t="n">
        <v>1376</v>
      </c>
      <c r="H399" s="35" t="n">
        <v>0</v>
      </c>
      <c r="I399" s="35">
        <f>G399-H399</f>
        <v/>
      </c>
      <c r="J399" s="33" t="n">
        <v>2024</v>
      </c>
      <c r="K399" s="33" t="n">
        <v>11</v>
      </c>
      <c r="L399" s="34" t="inlineStr">
        <is>
          <t>Winst- en verliesrekening</t>
        </is>
      </c>
      <c r="M399" s="34" t="inlineStr">
        <is>
          <t>Verkoopkosten</t>
        </is>
      </c>
      <c r="N399" s="34" t="inlineStr">
        <is>
          <t>Representatie</t>
        </is>
      </c>
      <c r="O399" s="36">
        <f>IFERROR(INDEX('Mapping'!$F$2:$F$60,MATCH(B399,'Mapping'!$A$2:$A$60,0)),"")</f>
        <v/>
      </c>
    </row>
    <row r="400">
      <c r="A400" s="32" t="n">
        <v>45627</v>
      </c>
      <c r="B400" s="33" t="n">
        <v>4310</v>
      </c>
      <c r="C400" s="34" t="inlineStr">
        <is>
          <t>Representatiekosten</t>
        </is>
      </c>
      <c r="D400" s="34" t="inlineStr">
        <is>
          <t>Verkoop</t>
        </is>
      </c>
      <c r="E400" s="34" t="inlineStr">
        <is>
          <t>Algemeen</t>
        </is>
      </c>
      <c r="F400" s="34" t="inlineStr"/>
      <c r="G400" s="35" t="n">
        <v>1664</v>
      </c>
      <c r="H400" s="35" t="n">
        <v>0</v>
      </c>
      <c r="I400" s="35">
        <f>G400-H400</f>
        <v/>
      </c>
      <c r="J400" s="33" t="n">
        <v>2024</v>
      </c>
      <c r="K400" s="33" t="n">
        <v>12</v>
      </c>
      <c r="L400" s="34" t="inlineStr">
        <is>
          <t>Winst- en verliesrekening</t>
        </is>
      </c>
      <c r="M400" s="34" t="inlineStr">
        <is>
          <t>Verkoopkosten</t>
        </is>
      </c>
      <c r="N400" s="34" t="inlineStr">
        <is>
          <t>Representatie</t>
        </is>
      </c>
      <c r="O400" s="36">
        <f>IFERROR(INDEX('Mapping'!$F$2:$F$60,MATCH(B400,'Mapping'!$A$2:$A$60,0)),"")</f>
        <v/>
      </c>
    </row>
    <row r="401">
      <c r="A401" s="32" t="n">
        <v>45658</v>
      </c>
      <c r="B401" s="33" t="n">
        <v>4310</v>
      </c>
      <c r="C401" s="34" t="inlineStr">
        <is>
          <t>Representatiekosten</t>
        </is>
      </c>
      <c r="D401" s="34" t="inlineStr">
        <is>
          <t>Verkoop</t>
        </is>
      </c>
      <c r="E401" s="34" t="inlineStr">
        <is>
          <t>Algemeen</t>
        </is>
      </c>
      <c r="F401" s="34" t="inlineStr"/>
      <c r="G401" s="35" t="n">
        <v>1190</v>
      </c>
      <c r="H401" s="35" t="n">
        <v>0</v>
      </c>
      <c r="I401" s="35">
        <f>G401-H401</f>
        <v/>
      </c>
      <c r="J401" s="33" t="n">
        <v>2025</v>
      </c>
      <c r="K401" s="33" t="n">
        <v>1</v>
      </c>
      <c r="L401" s="34" t="inlineStr">
        <is>
          <t>Winst- en verliesrekening</t>
        </is>
      </c>
      <c r="M401" s="34" t="inlineStr">
        <is>
          <t>Verkoopkosten</t>
        </is>
      </c>
      <c r="N401" s="34" t="inlineStr">
        <is>
          <t>Representatie</t>
        </is>
      </c>
      <c r="O401" s="36">
        <f>IFERROR(INDEX('Mapping'!$F$2:$F$60,MATCH(B401,'Mapping'!$A$2:$A$60,0)),"")</f>
        <v/>
      </c>
    </row>
    <row r="402">
      <c r="A402" s="32" t="n">
        <v>45689</v>
      </c>
      <c r="B402" s="33" t="n">
        <v>4310</v>
      </c>
      <c r="C402" s="34" t="inlineStr">
        <is>
          <t>Representatiekosten</t>
        </is>
      </c>
      <c r="D402" s="34" t="inlineStr">
        <is>
          <t>Verkoop</t>
        </is>
      </c>
      <c r="E402" s="34" t="inlineStr">
        <is>
          <t>Algemeen</t>
        </is>
      </c>
      <c r="F402" s="34" t="inlineStr"/>
      <c r="G402" s="35" t="n">
        <v>1190</v>
      </c>
      <c r="H402" s="35" t="n">
        <v>0</v>
      </c>
      <c r="I402" s="35">
        <f>G402-H402</f>
        <v/>
      </c>
      <c r="J402" s="33" t="n">
        <v>2025</v>
      </c>
      <c r="K402" s="33" t="n">
        <v>2</v>
      </c>
      <c r="L402" s="34" t="inlineStr">
        <is>
          <t>Winst- en verliesrekening</t>
        </is>
      </c>
      <c r="M402" s="34" t="inlineStr">
        <is>
          <t>Verkoopkosten</t>
        </is>
      </c>
      <c r="N402" s="34" t="inlineStr">
        <is>
          <t>Representatie</t>
        </is>
      </c>
      <c r="O402" s="36">
        <f>IFERROR(INDEX('Mapping'!$F$2:$F$60,MATCH(B402,'Mapping'!$A$2:$A$60,0)),"")</f>
        <v/>
      </c>
    </row>
    <row r="403">
      <c r="A403" s="32" t="n">
        <v>45717</v>
      </c>
      <c r="B403" s="33" t="n">
        <v>4310</v>
      </c>
      <c r="C403" s="34" t="inlineStr">
        <is>
          <t>Representatiekosten</t>
        </is>
      </c>
      <c r="D403" s="34" t="inlineStr">
        <is>
          <t>Verkoop</t>
        </is>
      </c>
      <c r="E403" s="34" t="inlineStr">
        <is>
          <t>Algemeen</t>
        </is>
      </c>
      <c r="F403" s="34" t="inlineStr"/>
      <c r="G403" s="35" t="n">
        <v>1496</v>
      </c>
      <c r="H403" s="35" t="n">
        <v>0</v>
      </c>
      <c r="I403" s="35">
        <f>G403-H403</f>
        <v/>
      </c>
      <c r="J403" s="33" t="n">
        <v>2025</v>
      </c>
      <c r="K403" s="33" t="n">
        <v>3</v>
      </c>
      <c r="L403" s="34" t="inlineStr">
        <is>
          <t>Winst- en verliesrekening</t>
        </is>
      </c>
      <c r="M403" s="34" t="inlineStr">
        <is>
          <t>Verkoopkosten</t>
        </is>
      </c>
      <c r="N403" s="34" t="inlineStr">
        <is>
          <t>Representatie</t>
        </is>
      </c>
      <c r="O403" s="36">
        <f>IFERROR(INDEX('Mapping'!$F$2:$F$60,MATCH(B403,'Mapping'!$A$2:$A$60,0)),"")</f>
        <v/>
      </c>
    </row>
    <row r="404">
      <c r="A404" s="32" t="n">
        <v>45748</v>
      </c>
      <c r="B404" s="33" t="n">
        <v>4310</v>
      </c>
      <c r="C404" s="34" t="inlineStr">
        <is>
          <t>Representatiekosten</t>
        </is>
      </c>
      <c r="D404" s="34" t="inlineStr">
        <is>
          <t>Verkoop</t>
        </is>
      </c>
      <c r="E404" s="34" t="inlineStr">
        <is>
          <t>Algemeen</t>
        </is>
      </c>
      <c r="F404" s="34" t="inlineStr"/>
      <c r="G404" s="35" t="n">
        <v>1394</v>
      </c>
      <c r="H404" s="35" t="n">
        <v>0</v>
      </c>
      <c r="I404" s="35">
        <f>G404-H404</f>
        <v/>
      </c>
      <c r="J404" s="33" t="n">
        <v>2025</v>
      </c>
      <c r="K404" s="33" t="n">
        <v>4</v>
      </c>
      <c r="L404" s="34" t="inlineStr">
        <is>
          <t>Winst- en verliesrekening</t>
        </is>
      </c>
      <c r="M404" s="34" t="inlineStr">
        <is>
          <t>Verkoopkosten</t>
        </is>
      </c>
      <c r="N404" s="34" t="inlineStr">
        <is>
          <t>Representatie</t>
        </is>
      </c>
      <c r="O404" s="36">
        <f>IFERROR(INDEX('Mapping'!$F$2:$F$60,MATCH(B404,'Mapping'!$A$2:$A$60,0)),"")</f>
        <v/>
      </c>
    </row>
    <row r="405">
      <c r="A405" s="32" t="n">
        <v>45778</v>
      </c>
      <c r="B405" s="33" t="n">
        <v>4310</v>
      </c>
      <c r="C405" s="34" t="inlineStr">
        <is>
          <t>Representatiekosten</t>
        </is>
      </c>
      <c r="D405" s="34" t="inlineStr">
        <is>
          <t>Verkoop</t>
        </is>
      </c>
      <c r="E405" s="34" t="inlineStr">
        <is>
          <t>Algemeen</t>
        </is>
      </c>
      <c r="F405" s="34" t="inlineStr"/>
      <c r="G405" s="35" t="n">
        <v>1462</v>
      </c>
      <c r="H405" s="35" t="n">
        <v>0</v>
      </c>
      <c r="I405" s="35">
        <f>G405-H405</f>
        <v/>
      </c>
      <c r="J405" s="33" t="n">
        <v>2025</v>
      </c>
      <c r="K405" s="33" t="n">
        <v>5</v>
      </c>
      <c r="L405" s="34" t="inlineStr">
        <is>
          <t>Winst- en verliesrekening</t>
        </is>
      </c>
      <c r="M405" s="34" t="inlineStr">
        <is>
          <t>Verkoopkosten</t>
        </is>
      </c>
      <c r="N405" s="34" t="inlineStr">
        <is>
          <t>Representatie</t>
        </is>
      </c>
      <c r="O405" s="36">
        <f>IFERROR(INDEX('Mapping'!$F$2:$F$60,MATCH(B405,'Mapping'!$A$2:$A$60,0)),"")</f>
        <v/>
      </c>
    </row>
    <row r="406">
      <c r="A406" s="32" t="n">
        <v>45809</v>
      </c>
      <c r="B406" s="33" t="n">
        <v>4310</v>
      </c>
      <c r="C406" s="34" t="inlineStr">
        <is>
          <t>Representatiekosten</t>
        </is>
      </c>
      <c r="D406" s="34" t="inlineStr">
        <is>
          <t>Verkoop</t>
        </is>
      </c>
      <c r="E406" s="34" t="inlineStr">
        <is>
          <t>Algemeen</t>
        </is>
      </c>
      <c r="F406" s="34" t="inlineStr"/>
      <c r="G406" s="35" t="n">
        <v>1530</v>
      </c>
      <c r="H406" s="35" t="n">
        <v>0</v>
      </c>
      <c r="I406" s="35">
        <f>G406-H406</f>
        <v/>
      </c>
      <c r="J406" s="33" t="n">
        <v>2025</v>
      </c>
      <c r="K406" s="33" t="n">
        <v>6</v>
      </c>
      <c r="L406" s="34" t="inlineStr">
        <is>
          <t>Winst- en verliesrekening</t>
        </is>
      </c>
      <c r="M406" s="34" t="inlineStr">
        <is>
          <t>Verkoopkosten</t>
        </is>
      </c>
      <c r="N406" s="34" t="inlineStr">
        <is>
          <t>Representatie</t>
        </is>
      </c>
      <c r="O406" s="36">
        <f>IFERROR(INDEX('Mapping'!$F$2:$F$60,MATCH(B406,'Mapping'!$A$2:$A$60,0)),"")</f>
        <v/>
      </c>
    </row>
    <row r="407">
      <c r="A407" s="32" t="n">
        <v>45839</v>
      </c>
      <c r="B407" s="33" t="n">
        <v>4310</v>
      </c>
      <c r="C407" s="34" t="inlineStr">
        <is>
          <t>Representatiekosten</t>
        </is>
      </c>
      <c r="D407" s="34" t="inlineStr">
        <is>
          <t>Verkoop</t>
        </is>
      </c>
      <c r="E407" s="34" t="inlineStr">
        <is>
          <t>Algemeen</t>
        </is>
      </c>
      <c r="F407" s="34" t="inlineStr"/>
      <c r="G407" s="35" t="n">
        <v>1292</v>
      </c>
      <c r="H407" s="35" t="n">
        <v>0</v>
      </c>
      <c r="I407" s="35">
        <f>G407-H407</f>
        <v/>
      </c>
      <c r="J407" s="33" t="n">
        <v>2025</v>
      </c>
      <c r="K407" s="33" t="n">
        <v>7</v>
      </c>
      <c r="L407" s="34" t="inlineStr">
        <is>
          <t>Winst- en verliesrekening</t>
        </is>
      </c>
      <c r="M407" s="34" t="inlineStr">
        <is>
          <t>Verkoopkosten</t>
        </is>
      </c>
      <c r="N407" s="34" t="inlineStr">
        <is>
          <t>Representatie</t>
        </is>
      </c>
      <c r="O407" s="36">
        <f>IFERROR(INDEX('Mapping'!$F$2:$F$60,MATCH(B407,'Mapping'!$A$2:$A$60,0)),"")</f>
        <v/>
      </c>
    </row>
    <row r="408">
      <c r="A408" s="32" t="n">
        <v>45870</v>
      </c>
      <c r="B408" s="33" t="n">
        <v>4310</v>
      </c>
      <c r="C408" s="34" t="inlineStr">
        <is>
          <t>Representatiekosten</t>
        </is>
      </c>
      <c r="D408" s="34" t="inlineStr">
        <is>
          <t>Verkoop</t>
        </is>
      </c>
      <c r="E408" s="34" t="inlineStr">
        <is>
          <t>Algemeen</t>
        </is>
      </c>
      <c r="F408" s="34" t="inlineStr"/>
      <c r="G408" s="35" t="n">
        <v>1190</v>
      </c>
      <c r="H408" s="35" t="n">
        <v>0</v>
      </c>
      <c r="I408" s="35">
        <f>G408-H408</f>
        <v/>
      </c>
      <c r="J408" s="33" t="n">
        <v>2025</v>
      </c>
      <c r="K408" s="33" t="n">
        <v>8</v>
      </c>
      <c r="L408" s="34" t="inlineStr">
        <is>
          <t>Winst- en verliesrekening</t>
        </is>
      </c>
      <c r="M408" s="34" t="inlineStr">
        <is>
          <t>Verkoopkosten</t>
        </is>
      </c>
      <c r="N408" s="34" t="inlineStr">
        <is>
          <t>Representatie</t>
        </is>
      </c>
      <c r="O408" s="36">
        <f>IFERROR(INDEX('Mapping'!$F$2:$F$60,MATCH(B408,'Mapping'!$A$2:$A$60,0)),"")</f>
        <v/>
      </c>
    </row>
    <row r="409">
      <c r="A409" s="32" t="n">
        <v>45901</v>
      </c>
      <c r="B409" s="33" t="n">
        <v>4310</v>
      </c>
      <c r="C409" s="34" t="inlineStr">
        <is>
          <t>Representatiekosten</t>
        </is>
      </c>
      <c r="D409" s="34" t="inlineStr">
        <is>
          <t>Verkoop</t>
        </is>
      </c>
      <c r="E409" s="34" t="inlineStr">
        <is>
          <t>Algemeen</t>
        </is>
      </c>
      <c r="F409" s="34" t="inlineStr"/>
      <c r="G409" s="35" t="n">
        <v>1496</v>
      </c>
      <c r="H409" s="35" t="n">
        <v>0</v>
      </c>
      <c r="I409" s="35">
        <f>G409-H409</f>
        <v/>
      </c>
      <c r="J409" s="33" t="n">
        <v>2025</v>
      </c>
      <c r="K409" s="33" t="n">
        <v>9</v>
      </c>
      <c r="L409" s="34" t="inlineStr">
        <is>
          <t>Winst- en verliesrekening</t>
        </is>
      </c>
      <c r="M409" s="34" t="inlineStr">
        <is>
          <t>Verkoopkosten</t>
        </is>
      </c>
      <c r="N409" s="34" t="inlineStr">
        <is>
          <t>Representatie</t>
        </is>
      </c>
      <c r="O409" s="36">
        <f>IFERROR(INDEX('Mapping'!$F$2:$F$60,MATCH(B409,'Mapping'!$A$2:$A$60,0)),"")</f>
        <v/>
      </c>
    </row>
    <row r="410">
      <c r="A410" s="32" t="n">
        <v>45931</v>
      </c>
      <c r="B410" s="33" t="n">
        <v>4310</v>
      </c>
      <c r="C410" s="34" t="inlineStr">
        <is>
          <t>Representatiekosten</t>
        </is>
      </c>
      <c r="D410" s="34" t="inlineStr">
        <is>
          <t>Verkoop</t>
        </is>
      </c>
      <c r="E410" s="34" t="inlineStr">
        <is>
          <t>Algemeen</t>
        </is>
      </c>
      <c r="F410" s="34" t="inlineStr"/>
      <c r="G410" s="35" t="n">
        <v>1530</v>
      </c>
      <c r="H410" s="35" t="n">
        <v>0</v>
      </c>
      <c r="I410" s="35">
        <f>G410-H410</f>
        <v/>
      </c>
      <c r="J410" s="33" t="n">
        <v>2025</v>
      </c>
      <c r="K410" s="33" t="n">
        <v>10</v>
      </c>
      <c r="L410" s="34" t="inlineStr">
        <is>
          <t>Winst- en verliesrekening</t>
        </is>
      </c>
      <c r="M410" s="34" t="inlineStr">
        <is>
          <t>Verkoopkosten</t>
        </is>
      </c>
      <c r="N410" s="34" t="inlineStr">
        <is>
          <t>Representatie</t>
        </is>
      </c>
      <c r="O410" s="36">
        <f>IFERROR(INDEX('Mapping'!$F$2:$F$60,MATCH(B410,'Mapping'!$A$2:$A$60,0)),"")</f>
        <v/>
      </c>
    </row>
    <row r="411">
      <c r="A411" s="32" t="n">
        <v>45962</v>
      </c>
      <c r="B411" s="33" t="n">
        <v>4310</v>
      </c>
      <c r="C411" s="34" t="inlineStr">
        <is>
          <t>Representatiekosten</t>
        </is>
      </c>
      <c r="D411" s="34" t="inlineStr">
        <is>
          <t>Verkoop</t>
        </is>
      </c>
      <c r="E411" s="34" t="inlineStr">
        <is>
          <t>Algemeen</t>
        </is>
      </c>
      <c r="F411" s="34" t="inlineStr"/>
      <c r="G411" s="35" t="n">
        <v>1462</v>
      </c>
      <c r="H411" s="35" t="n">
        <v>0</v>
      </c>
      <c r="I411" s="35">
        <f>G411-H411</f>
        <v/>
      </c>
      <c r="J411" s="33" t="n">
        <v>2025</v>
      </c>
      <c r="K411" s="33" t="n">
        <v>11</v>
      </c>
      <c r="L411" s="34" t="inlineStr">
        <is>
          <t>Winst- en verliesrekening</t>
        </is>
      </c>
      <c r="M411" s="34" t="inlineStr">
        <is>
          <t>Verkoopkosten</t>
        </is>
      </c>
      <c r="N411" s="34" t="inlineStr">
        <is>
          <t>Representatie</t>
        </is>
      </c>
      <c r="O411" s="36">
        <f>IFERROR(INDEX('Mapping'!$F$2:$F$60,MATCH(B411,'Mapping'!$A$2:$A$60,0)),"")</f>
        <v/>
      </c>
    </row>
    <row r="412">
      <c r="A412" s="32" t="n">
        <v>45992</v>
      </c>
      <c r="B412" s="33" t="n">
        <v>4310</v>
      </c>
      <c r="C412" s="34" t="inlineStr">
        <is>
          <t>Representatiekosten</t>
        </is>
      </c>
      <c r="D412" s="34" t="inlineStr">
        <is>
          <t>Verkoop</t>
        </is>
      </c>
      <c r="E412" s="34" t="inlineStr">
        <is>
          <t>Algemeen</t>
        </is>
      </c>
      <c r="F412" s="34" t="inlineStr"/>
      <c r="G412" s="35" t="n">
        <v>1768</v>
      </c>
      <c r="H412" s="35" t="n">
        <v>0</v>
      </c>
      <c r="I412" s="35">
        <f>G412-H412</f>
        <v/>
      </c>
      <c r="J412" s="33" t="n">
        <v>2025</v>
      </c>
      <c r="K412" s="33" t="n">
        <v>12</v>
      </c>
      <c r="L412" s="34" t="inlineStr">
        <is>
          <t>Winst- en verliesrekening</t>
        </is>
      </c>
      <c r="M412" s="34" t="inlineStr">
        <is>
          <t>Verkoopkosten</t>
        </is>
      </c>
      <c r="N412" s="34" t="inlineStr">
        <is>
          <t>Representatie</t>
        </is>
      </c>
      <c r="O412" s="36">
        <f>IFERROR(INDEX('Mapping'!$F$2:$F$60,MATCH(B412,'Mapping'!$A$2:$A$60,0)),"")</f>
        <v/>
      </c>
    </row>
    <row r="413">
      <c r="A413" s="32" t="n">
        <v>45292</v>
      </c>
      <c r="B413" s="33" t="n">
        <v>4400</v>
      </c>
      <c r="C413" s="34" t="inlineStr">
        <is>
          <t>Kantoorbenodigdheden</t>
        </is>
      </c>
      <c r="D413" s="34" t="inlineStr">
        <is>
          <t>Kantoor</t>
        </is>
      </c>
      <c r="E413" s="34" t="inlineStr">
        <is>
          <t>Algemeen</t>
        </is>
      </c>
      <c r="F413" s="34" t="inlineStr"/>
      <c r="G413" s="35" t="n">
        <v>630</v>
      </c>
      <c r="H413" s="35" t="n">
        <v>0</v>
      </c>
      <c r="I413" s="35">
        <f>G413-H413</f>
        <v/>
      </c>
      <c r="J413" s="33" t="n">
        <v>2024</v>
      </c>
      <c r="K413" s="33" t="n">
        <v>1</v>
      </c>
      <c r="L413" s="34" t="inlineStr">
        <is>
          <t>Winst- en verliesrekening</t>
        </is>
      </c>
      <c r="M413" s="34" t="inlineStr">
        <is>
          <t>Kantoorkosten</t>
        </is>
      </c>
      <c r="N413" s="34" t="inlineStr">
        <is>
          <t>Kantoor</t>
        </is>
      </c>
      <c r="O413" s="36">
        <f>IFERROR(INDEX('Mapping'!$F$2:$F$60,MATCH(B413,'Mapping'!$A$2:$A$60,0)),"")</f>
        <v/>
      </c>
    </row>
    <row r="414">
      <c r="A414" s="32" t="n">
        <v>45323</v>
      </c>
      <c r="B414" s="33" t="n">
        <v>4400</v>
      </c>
      <c r="C414" s="34" t="inlineStr">
        <is>
          <t>Kantoorbenodigdheden</t>
        </is>
      </c>
      <c r="D414" s="34" t="inlineStr">
        <is>
          <t>Kantoor</t>
        </is>
      </c>
      <c r="E414" s="34" t="inlineStr">
        <is>
          <t>Algemeen</t>
        </is>
      </c>
      <c r="F414" s="34" t="inlineStr"/>
      <c r="G414" s="35" t="n">
        <v>630</v>
      </c>
      <c r="H414" s="35" t="n">
        <v>0</v>
      </c>
      <c r="I414" s="35">
        <f>G414-H414</f>
        <v/>
      </c>
      <c r="J414" s="33" t="n">
        <v>2024</v>
      </c>
      <c r="K414" s="33" t="n">
        <v>2</v>
      </c>
      <c r="L414" s="34" t="inlineStr">
        <is>
          <t>Winst- en verliesrekening</t>
        </is>
      </c>
      <c r="M414" s="34" t="inlineStr">
        <is>
          <t>Kantoorkosten</t>
        </is>
      </c>
      <c r="N414" s="34" t="inlineStr">
        <is>
          <t>Kantoor</t>
        </is>
      </c>
      <c r="O414" s="36">
        <f>IFERROR(INDEX('Mapping'!$F$2:$F$60,MATCH(B414,'Mapping'!$A$2:$A$60,0)),"")</f>
        <v/>
      </c>
    </row>
    <row r="415">
      <c r="A415" s="32" t="n">
        <v>45352</v>
      </c>
      <c r="B415" s="33" t="n">
        <v>4400</v>
      </c>
      <c r="C415" s="34" t="inlineStr">
        <is>
          <t>Kantoorbenodigdheden</t>
        </is>
      </c>
      <c r="D415" s="34" t="inlineStr">
        <is>
          <t>Kantoor</t>
        </is>
      </c>
      <c r="E415" s="34" t="inlineStr">
        <is>
          <t>Algemeen</t>
        </is>
      </c>
      <c r="F415" s="34" t="inlineStr"/>
      <c r="G415" s="35" t="n">
        <v>792</v>
      </c>
      <c r="H415" s="35" t="n">
        <v>0</v>
      </c>
      <c r="I415" s="35">
        <f>G415-H415</f>
        <v/>
      </c>
      <c r="J415" s="33" t="n">
        <v>2024</v>
      </c>
      <c r="K415" s="33" t="n">
        <v>3</v>
      </c>
      <c r="L415" s="34" t="inlineStr">
        <is>
          <t>Winst- en verliesrekening</t>
        </is>
      </c>
      <c r="M415" s="34" t="inlineStr">
        <is>
          <t>Kantoorkosten</t>
        </is>
      </c>
      <c r="N415" s="34" t="inlineStr">
        <is>
          <t>Kantoor</t>
        </is>
      </c>
      <c r="O415" s="36">
        <f>IFERROR(INDEX('Mapping'!$F$2:$F$60,MATCH(B415,'Mapping'!$A$2:$A$60,0)),"")</f>
        <v/>
      </c>
    </row>
    <row r="416">
      <c r="A416" s="32" t="n">
        <v>45383</v>
      </c>
      <c r="B416" s="33" t="n">
        <v>4400</v>
      </c>
      <c r="C416" s="34" t="inlineStr">
        <is>
          <t>Kantoorbenodigdheden</t>
        </is>
      </c>
      <c r="D416" s="34" t="inlineStr">
        <is>
          <t>Kantoor</t>
        </is>
      </c>
      <c r="E416" s="34" t="inlineStr">
        <is>
          <t>Algemeen</t>
        </is>
      </c>
      <c r="F416" s="34" t="inlineStr"/>
      <c r="G416" s="35" t="n">
        <v>738</v>
      </c>
      <c r="H416" s="35" t="n">
        <v>0</v>
      </c>
      <c r="I416" s="35">
        <f>G416-H416</f>
        <v/>
      </c>
      <c r="J416" s="33" t="n">
        <v>2024</v>
      </c>
      <c r="K416" s="33" t="n">
        <v>4</v>
      </c>
      <c r="L416" s="34" t="inlineStr">
        <is>
          <t>Winst- en verliesrekening</t>
        </is>
      </c>
      <c r="M416" s="34" t="inlineStr">
        <is>
          <t>Kantoorkosten</t>
        </is>
      </c>
      <c r="N416" s="34" t="inlineStr">
        <is>
          <t>Kantoor</t>
        </is>
      </c>
      <c r="O416" s="36">
        <f>IFERROR(INDEX('Mapping'!$F$2:$F$60,MATCH(B416,'Mapping'!$A$2:$A$60,0)),"")</f>
        <v/>
      </c>
    </row>
    <row r="417">
      <c r="A417" s="32" t="n">
        <v>45413</v>
      </c>
      <c r="B417" s="33" t="n">
        <v>4400</v>
      </c>
      <c r="C417" s="34" t="inlineStr">
        <is>
          <t>Kantoorbenodigdheden</t>
        </is>
      </c>
      <c r="D417" s="34" t="inlineStr">
        <is>
          <t>Kantoor</t>
        </is>
      </c>
      <c r="E417" s="34" t="inlineStr">
        <is>
          <t>Algemeen</t>
        </is>
      </c>
      <c r="F417" s="34" t="inlineStr"/>
      <c r="G417" s="35" t="n">
        <v>774</v>
      </c>
      <c r="H417" s="35" t="n">
        <v>0</v>
      </c>
      <c r="I417" s="35">
        <f>G417-H417</f>
        <v/>
      </c>
      <c r="J417" s="33" t="n">
        <v>2024</v>
      </c>
      <c r="K417" s="33" t="n">
        <v>5</v>
      </c>
      <c r="L417" s="34" t="inlineStr">
        <is>
          <t>Winst- en verliesrekening</t>
        </is>
      </c>
      <c r="M417" s="34" t="inlineStr">
        <is>
          <t>Kantoorkosten</t>
        </is>
      </c>
      <c r="N417" s="34" t="inlineStr">
        <is>
          <t>Kantoor</t>
        </is>
      </c>
      <c r="O417" s="36">
        <f>IFERROR(INDEX('Mapping'!$F$2:$F$60,MATCH(B417,'Mapping'!$A$2:$A$60,0)),"")</f>
        <v/>
      </c>
    </row>
    <row r="418">
      <c r="A418" s="32" t="n">
        <v>45444</v>
      </c>
      <c r="B418" s="33" t="n">
        <v>4400</v>
      </c>
      <c r="C418" s="34" t="inlineStr">
        <is>
          <t>Kantoorbenodigdheden</t>
        </is>
      </c>
      <c r="D418" s="34" t="inlineStr">
        <is>
          <t>Kantoor</t>
        </is>
      </c>
      <c r="E418" s="34" t="inlineStr">
        <is>
          <t>Algemeen</t>
        </is>
      </c>
      <c r="F418" s="34" t="inlineStr"/>
      <c r="G418" s="35" t="n">
        <v>810</v>
      </c>
      <c r="H418" s="35" t="n">
        <v>0</v>
      </c>
      <c r="I418" s="35">
        <f>G418-H418</f>
        <v/>
      </c>
      <c r="J418" s="33" t="n">
        <v>2024</v>
      </c>
      <c r="K418" s="33" t="n">
        <v>6</v>
      </c>
      <c r="L418" s="34" t="inlineStr">
        <is>
          <t>Winst- en verliesrekening</t>
        </is>
      </c>
      <c r="M418" s="34" t="inlineStr">
        <is>
          <t>Kantoorkosten</t>
        </is>
      </c>
      <c r="N418" s="34" t="inlineStr">
        <is>
          <t>Kantoor</t>
        </is>
      </c>
      <c r="O418" s="36">
        <f>IFERROR(INDEX('Mapping'!$F$2:$F$60,MATCH(B418,'Mapping'!$A$2:$A$60,0)),"")</f>
        <v/>
      </c>
    </row>
    <row r="419">
      <c r="A419" s="32" t="n">
        <v>45474</v>
      </c>
      <c r="B419" s="33" t="n">
        <v>4400</v>
      </c>
      <c r="C419" s="34" t="inlineStr">
        <is>
          <t>Kantoorbenodigdheden</t>
        </is>
      </c>
      <c r="D419" s="34" t="inlineStr">
        <is>
          <t>Kantoor</t>
        </is>
      </c>
      <c r="E419" s="34" t="inlineStr">
        <is>
          <t>Algemeen</t>
        </is>
      </c>
      <c r="F419" s="34" t="inlineStr"/>
      <c r="G419" s="35" t="n">
        <v>684</v>
      </c>
      <c r="H419" s="35" t="n">
        <v>0</v>
      </c>
      <c r="I419" s="35">
        <f>G419-H419</f>
        <v/>
      </c>
      <c r="J419" s="33" t="n">
        <v>2024</v>
      </c>
      <c r="K419" s="33" t="n">
        <v>7</v>
      </c>
      <c r="L419" s="34" t="inlineStr">
        <is>
          <t>Winst- en verliesrekening</t>
        </is>
      </c>
      <c r="M419" s="34" t="inlineStr">
        <is>
          <t>Kantoorkosten</t>
        </is>
      </c>
      <c r="N419" s="34" t="inlineStr">
        <is>
          <t>Kantoor</t>
        </is>
      </c>
      <c r="O419" s="36">
        <f>IFERROR(INDEX('Mapping'!$F$2:$F$60,MATCH(B419,'Mapping'!$A$2:$A$60,0)),"")</f>
        <v/>
      </c>
    </row>
    <row r="420">
      <c r="A420" s="32" t="n">
        <v>45505</v>
      </c>
      <c r="B420" s="33" t="n">
        <v>4400</v>
      </c>
      <c r="C420" s="34" t="inlineStr">
        <is>
          <t>Kantoorbenodigdheden</t>
        </is>
      </c>
      <c r="D420" s="34" t="inlineStr">
        <is>
          <t>Kantoor</t>
        </is>
      </c>
      <c r="E420" s="34" t="inlineStr">
        <is>
          <t>Algemeen</t>
        </is>
      </c>
      <c r="F420" s="34" t="inlineStr"/>
      <c r="G420" s="35" t="n">
        <v>630</v>
      </c>
      <c r="H420" s="35" t="n">
        <v>0</v>
      </c>
      <c r="I420" s="35">
        <f>G420-H420</f>
        <v/>
      </c>
      <c r="J420" s="33" t="n">
        <v>2024</v>
      </c>
      <c r="K420" s="33" t="n">
        <v>8</v>
      </c>
      <c r="L420" s="34" t="inlineStr">
        <is>
          <t>Winst- en verliesrekening</t>
        </is>
      </c>
      <c r="M420" s="34" t="inlineStr">
        <is>
          <t>Kantoorkosten</t>
        </is>
      </c>
      <c r="N420" s="34" t="inlineStr">
        <is>
          <t>Kantoor</t>
        </is>
      </c>
      <c r="O420" s="36">
        <f>IFERROR(INDEX('Mapping'!$F$2:$F$60,MATCH(B420,'Mapping'!$A$2:$A$60,0)),"")</f>
        <v/>
      </c>
    </row>
    <row r="421">
      <c r="A421" s="32" t="n">
        <v>45536</v>
      </c>
      <c r="B421" s="33" t="n">
        <v>4400</v>
      </c>
      <c r="C421" s="34" t="inlineStr">
        <is>
          <t>Kantoorbenodigdheden</t>
        </is>
      </c>
      <c r="D421" s="34" t="inlineStr">
        <is>
          <t>Kantoor</t>
        </is>
      </c>
      <c r="E421" s="34" t="inlineStr">
        <is>
          <t>Algemeen</t>
        </is>
      </c>
      <c r="F421" s="34" t="inlineStr"/>
      <c r="G421" s="35" t="n">
        <v>792</v>
      </c>
      <c r="H421" s="35" t="n">
        <v>0</v>
      </c>
      <c r="I421" s="35">
        <f>G421-H421</f>
        <v/>
      </c>
      <c r="J421" s="33" t="n">
        <v>2024</v>
      </c>
      <c r="K421" s="33" t="n">
        <v>9</v>
      </c>
      <c r="L421" s="34" t="inlineStr">
        <is>
          <t>Winst- en verliesrekening</t>
        </is>
      </c>
      <c r="M421" s="34" t="inlineStr">
        <is>
          <t>Kantoorkosten</t>
        </is>
      </c>
      <c r="N421" s="34" t="inlineStr">
        <is>
          <t>Kantoor</t>
        </is>
      </c>
      <c r="O421" s="36">
        <f>IFERROR(INDEX('Mapping'!$F$2:$F$60,MATCH(B421,'Mapping'!$A$2:$A$60,0)),"")</f>
        <v/>
      </c>
    </row>
    <row r="422">
      <c r="A422" s="32" t="n">
        <v>45566</v>
      </c>
      <c r="B422" s="33" t="n">
        <v>4400</v>
      </c>
      <c r="C422" s="34" t="inlineStr">
        <is>
          <t>Kantoorbenodigdheden</t>
        </is>
      </c>
      <c r="D422" s="34" t="inlineStr">
        <is>
          <t>Kantoor</t>
        </is>
      </c>
      <c r="E422" s="34" t="inlineStr">
        <is>
          <t>Algemeen</t>
        </is>
      </c>
      <c r="F422" s="34" t="inlineStr"/>
      <c r="G422" s="35" t="n">
        <v>810</v>
      </c>
      <c r="H422" s="35" t="n">
        <v>0</v>
      </c>
      <c r="I422" s="35">
        <f>G422-H422</f>
        <v/>
      </c>
      <c r="J422" s="33" t="n">
        <v>2024</v>
      </c>
      <c r="K422" s="33" t="n">
        <v>10</v>
      </c>
      <c r="L422" s="34" t="inlineStr">
        <is>
          <t>Winst- en verliesrekening</t>
        </is>
      </c>
      <c r="M422" s="34" t="inlineStr">
        <is>
          <t>Kantoorkosten</t>
        </is>
      </c>
      <c r="N422" s="34" t="inlineStr">
        <is>
          <t>Kantoor</t>
        </is>
      </c>
      <c r="O422" s="36">
        <f>IFERROR(INDEX('Mapping'!$F$2:$F$60,MATCH(B422,'Mapping'!$A$2:$A$60,0)),"")</f>
        <v/>
      </c>
    </row>
    <row r="423">
      <c r="A423" s="32" t="n">
        <v>45597</v>
      </c>
      <c r="B423" s="33" t="n">
        <v>4400</v>
      </c>
      <c r="C423" s="34" t="inlineStr">
        <is>
          <t>Kantoorbenodigdheden</t>
        </is>
      </c>
      <c r="D423" s="34" t="inlineStr">
        <is>
          <t>Kantoor</t>
        </is>
      </c>
      <c r="E423" s="34" t="inlineStr">
        <is>
          <t>Algemeen</t>
        </is>
      </c>
      <c r="F423" s="34" t="inlineStr"/>
      <c r="G423" s="35" t="n">
        <v>774</v>
      </c>
      <c r="H423" s="35" t="n">
        <v>0</v>
      </c>
      <c r="I423" s="35">
        <f>G423-H423</f>
        <v/>
      </c>
      <c r="J423" s="33" t="n">
        <v>2024</v>
      </c>
      <c r="K423" s="33" t="n">
        <v>11</v>
      </c>
      <c r="L423" s="34" t="inlineStr">
        <is>
          <t>Winst- en verliesrekening</t>
        </is>
      </c>
      <c r="M423" s="34" t="inlineStr">
        <is>
          <t>Kantoorkosten</t>
        </is>
      </c>
      <c r="N423" s="34" t="inlineStr">
        <is>
          <t>Kantoor</t>
        </is>
      </c>
      <c r="O423" s="36">
        <f>IFERROR(INDEX('Mapping'!$F$2:$F$60,MATCH(B423,'Mapping'!$A$2:$A$60,0)),"")</f>
        <v/>
      </c>
    </row>
    <row r="424">
      <c r="A424" s="32" t="n">
        <v>45627</v>
      </c>
      <c r="B424" s="33" t="n">
        <v>4400</v>
      </c>
      <c r="C424" s="34" t="inlineStr">
        <is>
          <t>Kantoorbenodigdheden</t>
        </is>
      </c>
      <c r="D424" s="34" t="inlineStr">
        <is>
          <t>Kantoor</t>
        </is>
      </c>
      <c r="E424" s="34" t="inlineStr">
        <is>
          <t>Algemeen</t>
        </is>
      </c>
      <c r="F424" s="34" t="inlineStr"/>
      <c r="G424" s="35" t="n">
        <v>936</v>
      </c>
      <c r="H424" s="35" t="n">
        <v>0</v>
      </c>
      <c r="I424" s="35">
        <f>G424-H424</f>
        <v/>
      </c>
      <c r="J424" s="33" t="n">
        <v>2024</v>
      </c>
      <c r="K424" s="33" t="n">
        <v>12</v>
      </c>
      <c r="L424" s="34" t="inlineStr">
        <is>
          <t>Winst- en verliesrekening</t>
        </is>
      </c>
      <c r="M424" s="34" t="inlineStr">
        <is>
          <t>Kantoorkosten</t>
        </is>
      </c>
      <c r="N424" s="34" t="inlineStr">
        <is>
          <t>Kantoor</t>
        </is>
      </c>
      <c r="O424" s="36">
        <f>IFERROR(INDEX('Mapping'!$F$2:$F$60,MATCH(B424,'Mapping'!$A$2:$A$60,0)),"")</f>
        <v/>
      </c>
    </row>
    <row r="425">
      <c r="A425" s="32" t="n">
        <v>45658</v>
      </c>
      <c r="B425" s="33" t="n">
        <v>4400</v>
      </c>
      <c r="C425" s="34" t="inlineStr">
        <is>
          <t>Kantoorbenodigdheden</t>
        </is>
      </c>
      <c r="D425" s="34" t="inlineStr">
        <is>
          <t>Kantoor</t>
        </is>
      </c>
      <c r="E425" s="34" t="inlineStr">
        <is>
          <t>Algemeen</t>
        </is>
      </c>
      <c r="F425" s="34" t="inlineStr"/>
      <c r="G425" s="35" t="n">
        <v>630</v>
      </c>
      <c r="H425" s="35" t="n">
        <v>0</v>
      </c>
      <c r="I425" s="35">
        <f>G425-H425</f>
        <v/>
      </c>
      <c r="J425" s="33" t="n">
        <v>2025</v>
      </c>
      <c r="K425" s="33" t="n">
        <v>1</v>
      </c>
      <c r="L425" s="34" t="inlineStr">
        <is>
          <t>Winst- en verliesrekening</t>
        </is>
      </c>
      <c r="M425" s="34" t="inlineStr">
        <is>
          <t>Kantoorkosten</t>
        </is>
      </c>
      <c r="N425" s="34" t="inlineStr">
        <is>
          <t>Kantoor</t>
        </is>
      </c>
      <c r="O425" s="36">
        <f>IFERROR(INDEX('Mapping'!$F$2:$F$60,MATCH(B425,'Mapping'!$A$2:$A$60,0)),"")</f>
        <v/>
      </c>
    </row>
    <row r="426">
      <c r="A426" s="32" t="n">
        <v>45689</v>
      </c>
      <c r="B426" s="33" t="n">
        <v>4400</v>
      </c>
      <c r="C426" s="34" t="inlineStr">
        <is>
          <t>Kantoorbenodigdheden</t>
        </is>
      </c>
      <c r="D426" s="34" t="inlineStr">
        <is>
          <t>Kantoor</t>
        </is>
      </c>
      <c r="E426" s="34" t="inlineStr">
        <is>
          <t>Algemeen</t>
        </is>
      </c>
      <c r="F426" s="34" t="inlineStr"/>
      <c r="G426" s="35" t="n">
        <v>630</v>
      </c>
      <c r="H426" s="35" t="n">
        <v>0</v>
      </c>
      <c r="I426" s="35">
        <f>G426-H426</f>
        <v/>
      </c>
      <c r="J426" s="33" t="n">
        <v>2025</v>
      </c>
      <c r="K426" s="33" t="n">
        <v>2</v>
      </c>
      <c r="L426" s="34" t="inlineStr">
        <is>
          <t>Winst- en verliesrekening</t>
        </is>
      </c>
      <c r="M426" s="34" t="inlineStr">
        <is>
          <t>Kantoorkosten</t>
        </is>
      </c>
      <c r="N426" s="34" t="inlineStr">
        <is>
          <t>Kantoor</t>
        </is>
      </c>
      <c r="O426" s="36">
        <f>IFERROR(INDEX('Mapping'!$F$2:$F$60,MATCH(B426,'Mapping'!$A$2:$A$60,0)),"")</f>
        <v/>
      </c>
    </row>
    <row r="427">
      <c r="A427" s="32" t="n">
        <v>45717</v>
      </c>
      <c r="B427" s="33" t="n">
        <v>4400</v>
      </c>
      <c r="C427" s="34" t="inlineStr">
        <is>
          <t>Kantoorbenodigdheden</t>
        </is>
      </c>
      <c r="D427" s="34" t="inlineStr">
        <is>
          <t>Kantoor</t>
        </is>
      </c>
      <c r="E427" s="34" t="inlineStr">
        <is>
          <t>Algemeen</t>
        </is>
      </c>
      <c r="F427" s="34" t="inlineStr"/>
      <c r="G427" s="35" t="n">
        <v>792</v>
      </c>
      <c r="H427" s="35" t="n">
        <v>0</v>
      </c>
      <c r="I427" s="35">
        <f>G427-H427</f>
        <v/>
      </c>
      <c r="J427" s="33" t="n">
        <v>2025</v>
      </c>
      <c r="K427" s="33" t="n">
        <v>3</v>
      </c>
      <c r="L427" s="34" t="inlineStr">
        <is>
          <t>Winst- en verliesrekening</t>
        </is>
      </c>
      <c r="M427" s="34" t="inlineStr">
        <is>
          <t>Kantoorkosten</t>
        </is>
      </c>
      <c r="N427" s="34" t="inlineStr">
        <is>
          <t>Kantoor</t>
        </is>
      </c>
      <c r="O427" s="36">
        <f>IFERROR(INDEX('Mapping'!$F$2:$F$60,MATCH(B427,'Mapping'!$A$2:$A$60,0)),"")</f>
        <v/>
      </c>
    </row>
    <row r="428">
      <c r="A428" s="32" t="n">
        <v>45748</v>
      </c>
      <c r="B428" s="33" t="n">
        <v>4400</v>
      </c>
      <c r="C428" s="34" t="inlineStr">
        <is>
          <t>Kantoorbenodigdheden</t>
        </is>
      </c>
      <c r="D428" s="34" t="inlineStr">
        <is>
          <t>Kantoor</t>
        </is>
      </c>
      <c r="E428" s="34" t="inlineStr">
        <is>
          <t>Algemeen</t>
        </is>
      </c>
      <c r="F428" s="34" t="inlineStr"/>
      <c r="G428" s="35" t="n">
        <v>738</v>
      </c>
      <c r="H428" s="35" t="n">
        <v>0</v>
      </c>
      <c r="I428" s="35">
        <f>G428-H428</f>
        <v/>
      </c>
      <c r="J428" s="33" t="n">
        <v>2025</v>
      </c>
      <c r="K428" s="33" t="n">
        <v>4</v>
      </c>
      <c r="L428" s="34" t="inlineStr">
        <is>
          <t>Winst- en verliesrekening</t>
        </is>
      </c>
      <c r="M428" s="34" t="inlineStr">
        <is>
          <t>Kantoorkosten</t>
        </is>
      </c>
      <c r="N428" s="34" t="inlineStr">
        <is>
          <t>Kantoor</t>
        </is>
      </c>
      <c r="O428" s="36">
        <f>IFERROR(INDEX('Mapping'!$F$2:$F$60,MATCH(B428,'Mapping'!$A$2:$A$60,0)),"")</f>
        <v/>
      </c>
    </row>
    <row r="429">
      <c r="A429" s="32" t="n">
        <v>45778</v>
      </c>
      <c r="B429" s="33" t="n">
        <v>4400</v>
      </c>
      <c r="C429" s="34" t="inlineStr">
        <is>
          <t>Kantoorbenodigdheden</t>
        </is>
      </c>
      <c r="D429" s="34" t="inlineStr">
        <is>
          <t>Kantoor</t>
        </is>
      </c>
      <c r="E429" s="34" t="inlineStr">
        <is>
          <t>Algemeen</t>
        </is>
      </c>
      <c r="F429" s="34" t="inlineStr"/>
      <c r="G429" s="35" t="n">
        <v>774</v>
      </c>
      <c r="H429" s="35" t="n">
        <v>0</v>
      </c>
      <c r="I429" s="35">
        <f>G429-H429</f>
        <v/>
      </c>
      <c r="J429" s="33" t="n">
        <v>2025</v>
      </c>
      <c r="K429" s="33" t="n">
        <v>5</v>
      </c>
      <c r="L429" s="34" t="inlineStr">
        <is>
          <t>Winst- en verliesrekening</t>
        </is>
      </c>
      <c r="M429" s="34" t="inlineStr">
        <is>
          <t>Kantoorkosten</t>
        </is>
      </c>
      <c r="N429" s="34" t="inlineStr">
        <is>
          <t>Kantoor</t>
        </is>
      </c>
      <c r="O429" s="36">
        <f>IFERROR(INDEX('Mapping'!$F$2:$F$60,MATCH(B429,'Mapping'!$A$2:$A$60,0)),"")</f>
        <v/>
      </c>
    </row>
    <row r="430">
      <c r="A430" s="32" t="n">
        <v>45809</v>
      </c>
      <c r="B430" s="33" t="n">
        <v>4400</v>
      </c>
      <c r="C430" s="34" t="inlineStr">
        <is>
          <t>Kantoorbenodigdheden</t>
        </is>
      </c>
      <c r="D430" s="34" t="inlineStr">
        <is>
          <t>Kantoor</t>
        </is>
      </c>
      <c r="E430" s="34" t="inlineStr">
        <is>
          <t>Algemeen</t>
        </is>
      </c>
      <c r="F430" s="34" t="inlineStr"/>
      <c r="G430" s="35" t="n">
        <v>810</v>
      </c>
      <c r="H430" s="35" t="n">
        <v>0</v>
      </c>
      <c r="I430" s="35">
        <f>G430-H430</f>
        <v/>
      </c>
      <c r="J430" s="33" t="n">
        <v>2025</v>
      </c>
      <c r="K430" s="33" t="n">
        <v>6</v>
      </c>
      <c r="L430" s="34" t="inlineStr">
        <is>
          <t>Winst- en verliesrekening</t>
        </is>
      </c>
      <c r="M430" s="34" t="inlineStr">
        <is>
          <t>Kantoorkosten</t>
        </is>
      </c>
      <c r="N430" s="34" t="inlineStr">
        <is>
          <t>Kantoor</t>
        </is>
      </c>
      <c r="O430" s="36">
        <f>IFERROR(INDEX('Mapping'!$F$2:$F$60,MATCH(B430,'Mapping'!$A$2:$A$60,0)),"")</f>
        <v/>
      </c>
    </row>
    <row r="431">
      <c r="A431" s="32" t="n">
        <v>45839</v>
      </c>
      <c r="B431" s="33" t="n">
        <v>4400</v>
      </c>
      <c r="C431" s="34" t="inlineStr">
        <is>
          <t>Kantoorbenodigdheden</t>
        </is>
      </c>
      <c r="D431" s="34" t="inlineStr">
        <is>
          <t>Kantoor</t>
        </is>
      </c>
      <c r="E431" s="34" t="inlineStr">
        <is>
          <t>Algemeen</t>
        </is>
      </c>
      <c r="F431" s="34" t="inlineStr"/>
      <c r="G431" s="35" t="n">
        <v>684</v>
      </c>
      <c r="H431" s="35" t="n">
        <v>0</v>
      </c>
      <c r="I431" s="35">
        <f>G431-H431</f>
        <v/>
      </c>
      <c r="J431" s="33" t="n">
        <v>2025</v>
      </c>
      <c r="K431" s="33" t="n">
        <v>7</v>
      </c>
      <c r="L431" s="34" t="inlineStr">
        <is>
          <t>Winst- en verliesrekening</t>
        </is>
      </c>
      <c r="M431" s="34" t="inlineStr">
        <is>
          <t>Kantoorkosten</t>
        </is>
      </c>
      <c r="N431" s="34" t="inlineStr">
        <is>
          <t>Kantoor</t>
        </is>
      </c>
      <c r="O431" s="36">
        <f>IFERROR(INDEX('Mapping'!$F$2:$F$60,MATCH(B431,'Mapping'!$A$2:$A$60,0)),"")</f>
        <v/>
      </c>
    </row>
    <row r="432">
      <c r="A432" s="32" t="n">
        <v>45870</v>
      </c>
      <c r="B432" s="33" t="n">
        <v>4400</v>
      </c>
      <c r="C432" s="34" t="inlineStr">
        <is>
          <t>Kantoorbenodigdheden</t>
        </is>
      </c>
      <c r="D432" s="34" t="inlineStr">
        <is>
          <t>Kantoor</t>
        </is>
      </c>
      <c r="E432" s="34" t="inlineStr">
        <is>
          <t>Algemeen</t>
        </is>
      </c>
      <c r="F432" s="34" t="inlineStr"/>
      <c r="G432" s="35" t="n">
        <v>630</v>
      </c>
      <c r="H432" s="35" t="n">
        <v>0</v>
      </c>
      <c r="I432" s="35">
        <f>G432-H432</f>
        <v/>
      </c>
      <c r="J432" s="33" t="n">
        <v>2025</v>
      </c>
      <c r="K432" s="33" t="n">
        <v>8</v>
      </c>
      <c r="L432" s="34" t="inlineStr">
        <is>
          <t>Winst- en verliesrekening</t>
        </is>
      </c>
      <c r="M432" s="34" t="inlineStr">
        <is>
          <t>Kantoorkosten</t>
        </is>
      </c>
      <c r="N432" s="34" t="inlineStr">
        <is>
          <t>Kantoor</t>
        </is>
      </c>
      <c r="O432" s="36">
        <f>IFERROR(INDEX('Mapping'!$F$2:$F$60,MATCH(B432,'Mapping'!$A$2:$A$60,0)),"")</f>
        <v/>
      </c>
    </row>
    <row r="433">
      <c r="A433" s="32" t="n">
        <v>45901</v>
      </c>
      <c r="B433" s="33" t="n">
        <v>4400</v>
      </c>
      <c r="C433" s="34" t="inlineStr">
        <is>
          <t>Kantoorbenodigdheden</t>
        </is>
      </c>
      <c r="D433" s="34" t="inlineStr">
        <is>
          <t>Kantoor</t>
        </is>
      </c>
      <c r="E433" s="34" t="inlineStr">
        <is>
          <t>Algemeen</t>
        </is>
      </c>
      <c r="F433" s="34" t="inlineStr"/>
      <c r="G433" s="35" t="n">
        <v>792</v>
      </c>
      <c r="H433" s="35" t="n">
        <v>0</v>
      </c>
      <c r="I433" s="35">
        <f>G433-H433</f>
        <v/>
      </c>
      <c r="J433" s="33" t="n">
        <v>2025</v>
      </c>
      <c r="K433" s="33" t="n">
        <v>9</v>
      </c>
      <c r="L433" s="34" t="inlineStr">
        <is>
          <t>Winst- en verliesrekening</t>
        </is>
      </c>
      <c r="M433" s="34" t="inlineStr">
        <is>
          <t>Kantoorkosten</t>
        </is>
      </c>
      <c r="N433" s="34" t="inlineStr">
        <is>
          <t>Kantoor</t>
        </is>
      </c>
      <c r="O433" s="36">
        <f>IFERROR(INDEX('Mapping'!$F$2:$F$60,MATCH(B433,'Mapping'!$A$2:$A$60,0)),"")</f>
        <v/>
      </c>
    </row>
    <row r="434">
      <c r="A434" s="32" t="n">
        <v>45931</v>
      </c>
      <c r="B434" s="33" t="n">
        <v>4400</v>
      </c>
      <c r="C434" s="34" t="inlineStr">
        <is>
          <t>Kantoorbenodigdheden</t>
        </is>
      </c>
      <c r="D434" s="34" t="inlineStr">
        <is>
          <t>Kantoor</t>
        </is>
      </c>
      <c r="E434" s="34" t="inlineStr">
        <is>
          <t>Algemeen</t>
        </is>
      </c>
      <c r="F434" s="34" t="inlineStr"/>
      <c r="G434" s="35" t="n">
        <v>810</v>
      </c>
      <c r="H434" s="35" t="n">
        <v>0</v>
      </c>
      <c r="I434" s="35">
        <f>G434-H434</f>
        <v/>
      </c>
      <c r="J434" s="33" t="n">
        <v>2025</v>
      </c>
      <c r="K434" s="33" t="n">
        <v>10</v>
      </c>
      <c r="L434" s="34" t="inlineStr">
        <is>
          <t>Winst- en verliesrekening</t>
        </is>
      </c>
      <c r="M434" s="34" t="inlineStr">
        <is>
          <t>Kantoorkosten</t>
        </is>
      </c>
      <c r="N434" s="34" t="inlineStr">
        <is>
          <t>Kantoor</t>
        </is>
      </c>
      <c r="O434" s="36">
        <f>IFERROR(INDEX('Mapping'!$F$2:$F$60,MATCH(B434,'Mapping'!$A$2:$A$60,0)),"")</f>
        <v/>
      </c>
    </row>
    <row r="435">
      <c r="A435" s="32" t="n">
        <v>45962</v>
      </c>
      <c r="B435" s="33" t="n">
        <v>4400</v>
      </c>
      <c r="C435" s="34" t="inlineStr">
        <is>
          <t>Kantoorbenodigdheden</t>
        </is>
      </c>
      <c r="D435" s="34" t="inlineStr">
        <is>
          <t>Kantoor</t>
        </is>
      </c>
      <c r="E435" s="34" t="inlineStr">
        <is>
          <t>Algemeen</t>
        </is>
      </c>
      <c r="F435" s="34" t="inlineStr"/>
      <c r="G435" s="35" t="n">
        <v>774</v>
      </c>
      <c r="H435" s="35" t="n">
        <v>0</v>
      </c>
      <c r="I435" s="35">
        <f>G435-H435</f>
        <v/>
      </c>
      <c r="J435" s="33" t="n">
        <v>2025</v>
      </c>
      <c r="K435" s="33" t="n">
        <v>11</v>
      </c>
      <c r="L435" s="34" t="inlineStr">
        <is>
          <t>Winst- en verliesrekening</t>
        </is>
      </c>
      <c r="M435" s="34" t="inlineStr">
        <is>
          <t>Kantoorkosten</t>
        </is>
      </c>
      <c r="N435" s="34" t="inlineStr">
        <is>
          <t>Kantoor</t>
        </is>
      </c>
      <c r="O435" s="36">
        <f>IFERROR(INDEX('Mapping'!$F$2:$F$60,MATCH(B435,'Mapping'!$A$2:$A$60,0)),"")</f>
        <v/>
      </c>
    </row>
    <row r="436">
      <c r="A436" s="32" t="n">
        <v>45992</v>
      </c>
      <c r="B436" s="33" t="n">
        <v>4400</v>
      </c>
      <c r="C436" s="34" t="inlineStr">
        <is>
          <t>Kantoorbenodigdheden</t>
        </is>
      </c>
      <c r="D436" s="34" t="inlineStr">
        <is>
          <t>Kantoor</t>
        </is>
      </c>
      <c r="E436" s="34" t="inlineStr">
        <is>
          <t>Algemeen</t>
        </is>
      </c>
      <c r="F436" s="34" t="inlineStr"/>
      <c r="G436" s="35" t="n">
        <v>936</v>
      </c>
      <c r="H436" s="35" t="n">
        <v>0</v>
      </c>
      <c r="I436" s="35">
        <f>G436-H436</f>
        <v/>
      </c>
      <c r="J436" s="33" t="n">
        <v>2025</v>
      </c>
      <c r="K436" s="33" t="n">
        <v>12</v>
      </c>
      <c r="L436" s="34" t="inlineStr">
        <is>
          <t>Winst- en verliesrekening</t>
        </is>
      </c>
      <c r="M436" s="34" t="inlineStr">
        <is>
          <t>Kantoorkosten</t>
        </is>
      </c>
      <c r="N436" s="34" t="inlineStr">
        <is>
          <t>Kantoor</t>
        </is>
      </c>
      <c r="O436" s="36">
        <f>IFERROR(INDEX('Mapping'!$F$2:$F$60,MATCH(B436,'Mapping'!$A$2:$A$60,0)),"")</f>
        <v/>
      </c>
    </row>
    <row r="437">
      <c r="A437" s="32" t="n">
        <v>45292</v>
      </c>
      <c r="B437" s="33" t="n">
        <v>4410</v>
      </c>
      <c r="C437" s="34" t="inlineStr">
        <is>
          <t>Automatisering en ICT</t>
        </is>
      </c>
      <c r="D437" s="34" t="inlineStr">
        <is>
          <t>Kantoor</t>
        </is>
      </c>
      <c r="E437" s="34" t="inlineStr">
        <is>
          <t>Algemeen</t>
        </is>
      </c>
      <c r="F437" s="34" t="inlineStr"/>
      <c r="G437" s="35" t="n">
        <v>1610</v>
      </c>
      <c r="H437" s="35" t="n">
        <v>0</v>
      </c>
      <c r="I437" s="35">
        <f>G437-H437</f>
        <v/>
      </c>
      <c r="J437" s="33" t="n">
        <v>2024</v>
      </c>
      <c r="K437" s="33" t="n">
        <v>1</v>
      </c>
      <c r="L437" s="34" t="inlineStr">
        <is>
          <t>Winst- en verliesrekening</t>
        </is>
      </c>
      <c r="M437" s="34" t="inlineStr">
        <is>
          <t>Kantoorkosten</t>
        </is>
      </c>
      <c r="N437" s="34" t="inlineStr">
        <is>
          <t>ICT</t>
        </is>
      </c>
      <c r="O437" s="36">
        <f>IFERROR(INDEX('Mapping'!$F$2:$F$60,MATCH(B437,'Mapping'!$A$2:$A$60,0)),"")</f>
        <v/>
      </c>
    </row>
    <row r="438">
      <c r="A438" s="32" t="n">
        <v>45323</v>
      </c>
      <c r="B438" s="33" t="n">
        <v>4410</v>
      </c>
      <c r="C438" s="34" t="inlineStr">
        <is>
          <t>Automatisering en ICT</t>
        </is>
      </c>
      <c r="D438" s="34" t="inlineStr">
        <is>
          <t>Kantoor</t>
        </is>
      </c>
      <c r="E438" s="34" t="inlineStr">
        <is>
          <t>Algemeen</t>
        </is>
      </c>
      <c r="F438" s="34" t="inlineStr"/>
      <c r="G438" s="35" t="n">
        <v>1610</v>
      </c>
      <c r="H438" s="35" t="n">
        <v>0</v>
      </c>
      <c r="I438" s="35">
        <f>G438-H438</f>
        <v/>
      </c>
      <c r="J438" s="33" t="n">
        <v>2024</v>
      </c>
      <c r="K438" s="33" t="n">
        <v>2</v>
      </c>
      <c r="L438" s="34" t="inlineStr">
        <is>
          <t>Winst- en verliesrekening</t>
        </is>
      </c>
      <c r="M438" s="34" t="inlineStr">
        <is>
          <t>Kantoorkosten</t>
        </is>
      </c>
      <c r="N438" s="34" t="inlineStr">
        <is>
          <t>ICT</t>
        </is>
      </c>
      <c r="O438" s="36">
        <f>IFERROR(INDEX('Mapping'!$F$2:$F$60,MATCH(B438,'Mapping'!$A$2:$A$60,0)),"")</f>
        <v/>
      </c>
    </row>
    <row r="439">
      <c r="A439" s="32" t="n">
        <v>45352</v>
      </c>
      <c r="B439" s="33" t="n">
        <v>4410</v>
      </c>
      <c r="C439" s="34" t="inlineStr">
        <is>
          <t>Automatisering en ICT</t>
        </is>
      </c>
      <c r="D439" s="34" t="inlineStr">
        <is>
          <t>Kantoor</t>
        </is>
      </c>
      <c r="E439" s="34" t="inlineStr">
        <is>
          <t>Algemeen</t>
        </is>
      </c>
      <c r="F439" s="34" t="inlineStr"/>
      <c r="G439" s="35" t="n">
        <v>2024</v>
      </c>
      <c r="H439" s="35" t="n">
        <v>0</v>
      </c>
      <c r="I439" s="35">
        <f>G439-H439</f>
        <v/>
      </c>
      <c r="J439" s="33" t="n">
        <v>2024</v>
      </c>
      <c r="K439" s="33" t="n">
        <v>3</v>
      </c>
      <c r="L439" s="34" t="inlineStr">
        <is>
          <t>Winst- en verliesrekening</t>
        </is>
      </c>
      <c r="M439" s="34" t="inlineStr">
        <is>
          <t>Kantoorkosten</t>
        </is>
      </c>
      <c r="N439" s="34" t="inlineStr">
        <is>
          <t>ICT</t>
        </is>
      </c>
      <c r="O439" s="36">
        <f>IFERROR(INDEX('Mapping'!$F$2:$F$60,MATCH(B439,'Mapping'!$A$2:$A$60,0)),"")</f>
        <v/>
      </c>
    </row>
    <row r="440">
      <c r="A440" s="32" t="n">
        <v>45383</v>
      </c>
      <c r="B440" s="33" t="n">
        <v>4410</v>
      </c>
      <c r="C440" s="34" t="inlineStr">
        <is>
          <t>Automatisering en ICT</t>
        </is>
      </c>
      <c r="D440" s="34" t="inlineStr">
        <is>
          <t>Kantoor</t>
        </is>
      </c>
      <c r="E440" s="34" t="inlineStr">
        <is>
          <t>Algemeen</t>
        </is>
      </c>
      <c r="F440" s="34" t="inlineStr"/>
      <c r="G440" s="35" t="n">
        <v>1886</v>
      </c>
      <c r="H440" s="35" t="n">
        <v>0</v>
      </c>
      <c r="I440" s="35">
        <f>G440-H440</f>
        <v/>
      </c>
      <c r="J440" s="33" t="n">
        <v>2024</v>
      </c>
      <c r="K440" s="33" t="n">
        <v>4</v>
      </c>
      <c r="L440" s="34" t="inlineStr">
        <is>
          <t>Winst- en verliesrekening</t>
        </is>
      </c>
      <c r="M440" s="34" t="inlineStr">
        <is>
          <t>Kantoorkosten</t>
        </is>
      </c>
      <c r="N440" s="34" t="inlineStr">
        <is>
          <t>ICT</t>
        </is>
      </c>
      <c r="O440" s="36">
        <f>IFERROR(INDEX('Mapping'!$F$2:$F$60,MATCH(B440,'Mapping'!$A$2:$A$60,0)),"")</f>
        <v/>
      </c>
    </row>
    <row r="441">
      <c r="A441" s="32" t="n">
        <v>45413</v>
      </c>
      <c r="B441" s="33" t="n">
        <v>4410</v>
      </c>
      <c r="C441" s="34" t="inlineStr">
        <is>
          <t>Automatisering en ICT</t>
        </is>
      </c>
      <c r="D441" s="34" t="inlineStr">
        <is>
          <t>Kantoor</t>
        </is>
      </c>
      <c r="E441" s="34" t="inlineStr">
        <is>
          <t>Algemeen</t>
        </is>
      </c>
      <c r="F441" s="34" t="inlineStr"/>
      <c r="G441" s="35" t="n">
        <v>1978</v>
      </c>
      <c r="H441" s="35" t="n">
        <v>0</v>
      </c>
      <c r="I441" s="35">
        <f>G441-H441</f>
        <v/>
      </c>
      <c r="J441" s="33" t="n">
        <v>2024</v>
      </c>
      <c r="K441" s="33" t="n">
        <v>5</v>
      </c>
      <c r="L441" s="34" t="inlineStr">
        <is>
          <t>Winst- en verliesrekening</t>
        </is>
      </c>
      <c r="M441" s="34" t="inlineStr">
        <is>
          <t>Kantoorkosten</t>
        </is>
      </c>
      <c r="N441" s="34" t="inlineStr">
        <is>
          <t>ICT</t>
        </is>
      </c>
      <c r="O441" s="36">
        <f>IFERROR(INDEX('Mapping'!$F$2:$F$60,MATCH(B441,'Mapping'!$A$2:$A$60,0)),"")</f>
        <v/>
      </c>
    </row>
    <row r="442">
      <c r="A442" s="32" t="n">
        <v>45444</v>
      </c>
      <c r="B442" s="33" t="n">
        <v>4410</v>
      </c>
      <c r="C442" s="34" t="inlineStr">
        <is>
          <t>Automatisering en ICT</t>
        </is>
      </c>
      <c r="D442" s="34" t="inlineStr">
        <is>
          <t>Kantoor</t>
        </is>
      </c>
      <c r="E442" s="34" t="inlineStr">
        <is>
          <t>Algemeen</t>
        </is>
      </c>
      <c r="F442" s="34" t="inlineStr"/>
      <c r="G442" s="35" t="n">
        <v>2070</v>
      </c>
      <c r="H442" s="35" t="n">
        <v>0</v>
      </c>
      <c r="I442" s="35">
        <f>G442-H442</f>
        <v/>
      </c>
      <c r="J442" s="33" t="n">
        <v>2024</v>
      </c>
      <c r="K442" s="33" t="n">
        <v>6</v>
      </c>
      <c r="L442" s="34" t="inlineStr">
        <is>
          <t>Winst- en verliesrekening</t>
        </is>
      </c>
      <c r="M442" s="34" t="inlineStr">
        <is>
          <t>Kantoorkosten</t>
        </is>
      </c>
      <c r="N442" s="34" t="inlineStr">
        <is>
          <t>ICT</t>
        </is>
      </c>
      <c r="O442" s="36">
        <f>IFERROR(INDEX('Mapping'!$F$2:$F$60,MATCH(B442,'Mapping'!$A$2:$A$60,0)),"")</f>
        <v/>
      </c>
    </row>
    <row r="443">
      <c r="A443" s="32" t="n">
        <v>45474</v>
      </c>
      <c r="B443" s="33" t="n">
        <v>4410</v>
      </c>
      <c r="C443" s="34" t="inlineStr">
        <is>
          <t>Automatisering en ICT</t>
        </is>
      </c>
      <c r="D443" s="34" t="inlineStr">
        <is>
          <t>Kantoor</t>
        </is>
      </c>
      <c r="E443" s="34" t="inlineStr">
        <is>
          <t>Algemeen</t>
        </is>
      </c>
      <c r="F443" s="34" t="inlineStr"/>
      <c r="G443" s="35" t="n">
        <v>1748</v>
      </c>
      <c r="H443" s="35" t="n">
        <v>0</v>
      </c>
      <c r="I443" s="35">
        <f>G443-H443</f>
        <v/>
      </c>
      <c r="J443" s="33" t="n">
        <v>2024</v>
      </c>
      <c r="K443" s="33" t="n">
        <v>7</v>
      </c>
      <c r="L443" s="34" t="inlineStr">
        <is>
          <t>Winst- en verliesrekening</t>
        </is>
      </c>
      <c r="M443" s="34" t="inlineStr">
        <is>
          <t>Kantoorkosten</t>
        </is>
      </c>
      <c r="N443" s="34" t="inlineStr">
        <is>
          <t>ICT</t>
        </is>
      </c>
      <c r="O443" s="36">
        <f>IFERROR(INDEX('Mapping'!$F$2:$F$60,MATCH(B443,'Mapping'!$A$2:$A$60,0)),"")</f>
        <v/>
      </c>
    </row>
    <row r="444">
      <c r="A444" s="32" t="n">
        <v>45505</v>
      </c>
      <c r="B444" s="33" t="n">
        <v>4410</v>
      </c>
      <c r="C444" s="34" t="inlineStr">
        <is>
          <t>Automatisering en ICT</t>
        </is>
      </c>
      <c r="D444" s="34" t="inlineStr">
        <is>
          <t>Kantoor</t>
        </is>
      </c>
      <c r="E444" s="34" t="inlineStr">
        <is>
          <t>Algemeen</t>
        </is>
      </c>
      <c r="F444" s="34" t="inlineStr"/>
      <c r="G444" s="35" t="n">
        <v>1610</v>
      </c>
      <c r="H444" s="35" t="n">
        <v>0</v>
      </c>
      <c r="I444" s="35">
        <f>G444-H444</f>
        <v/>
      </c>
      <c r="J444" s="33" t="n">
        <v>2024</v>
      </c>
      <c r="K444" s="33" t="n">
        <v>8</v>
      </c>
      <c r="L444" s="34" t="inlineStr">
        <is>
          <t>Winst- en verliesrekening</t>
        </is>
      </c>
      <c r="M444" s="34" t="inlineStr">
        <is>
          <t>Kantoorkosten</t>
        </is>
      </c>
      <c r="N444" s="34" t="inlineStr">
        <is>
          <t>ICT</t>
        </is>
      </c>
      <c r="O444" s="36">
        <f>IFERROR(INDEX('Mapping'!$F$2:$F$60,MATCH(B444,'Mapping'!$A$2:$A$60,0)),"")</f>
        <v/>
      </c>
    </row>
    <row r="445">
      <c r="A445" s="32" t="n">
        <v>45536</v>
      </c>
      <c r="B445" s="33" t="n">
        <v>4410</v>
      </c>
      <c r="C445" s="34" t="inlineStr">
        <is>
          <t>Automatisering en ICT</t>
        </is>
      </c>
      <c r="D445" s="34" t="inlineStr">
        <is>
          <t>Kantoor</t>
        </is>
      </c>
      <c r="E445" s="34" t="inlineStr">
        <is>
          <t>Algemeen</t>
        </is>
      </c>
      <c r="F445" s="34" t="inlineStr"/>
      <c r="G445" s="35" t="n">
        <v>2024</v>
      </c>
      <c r="H445" s="35" t="n">
        <v>0</v>
      </c>
      <c r="I445" s="35">
        <f>G445-H445</f>
        <v/>
      </c>
      <c r="J445" s="33" t="n">
        <v>2024</v>
      </c>
      <c r="K445" s="33" t="n">
        <v>9</v>
      </c>
      <c r="L445" s="34" t="inlineStr">
        <is>
          <t>Winst- en verliesrekening</t>
        </is>
      </c>
      <c r="M445" s="34" t="inlineStr">
        <is>
          <t>Kantoorkosten</t>
        </is>
      </c>
      <c r="N445" s="34" t="inlineStr">
        <is>
          <t>ICT</t>
        </is>
      </c>
      <c r="O445" s="36">
        <f>IFERROR(INDEX('Mapping'!$F$2:$F$60,MATCH(B445,'Mapping'!$A$2:$A$60,0)),"")</f>
        <v/>
      </c>
    </row>
    <row r="446">
      <c r="A446" s="32" t="n">
        <v>45566</v>
      </c>
      <c r="B446" s="33" t="n">
        <v>4410</v>
      </c>
      <c r="C446" s="34" t="inlineStr">
        <is>
          <t>Automatisering en ICT</t>
        </is>
      </c>
      <c r="D446" s="34" t="inlineStr">
        <is>
          <t>Kantoor</t>
        </is>
      </c>
      <c r="E446" s="34" t="inlineStr">
        <is>
          <t>Algemeen</t>
        </is>
      </c>
      <c r="F446" s="34" t="inlineStr"/>
      <c r="G446" s="35" t="n">
        <v>2070</v>
      </c>
      <c r="H446" s="35" t="n">
        <v>0</v>
      </c>
      <c r="I446" s="35">
        <f>G446-H446</f>
        <v/>
      </c>
      <c r="J446" s="33" t="n">
        <v>2024</v>
      </c>
      <c r="K446" s="33" t="n">
        <v>10</v>
      </c>
      <c r="L446" s="34" t="inlineStr">
        <is>
          <t>Winst- en verliesrekening</t>
        </is>
      </c>
      <c r="M446" s="34" t="inlineStr">
        <is>
          <t>Kantoorkosten</t>
        </is>
      </c>
      <c r="N446" s="34" t="inlineStr">
        <is>
          <t>ICT</t>
        </is>
      </c>
      <c r="O446" s="36">
        <f>IFERROR(INDEX('Mapping'!$F$2:$F$60,MATCH(B446,'Mapping'!$A$2:$A$60,0)),"")</f>
        <v/>
      </c>
    </row>
    <row r="447">
      <c r="A447" s="32" t="n">
        <v>45597</v>
      </c>
      <c r="B447" s="33" t="n">
        <v>4410</v>
      </c>
      <c r="C447" s="34" t="inlineStr">
        <is>
          <t>Automatisering en ICT</t>
        </is>
      </c>
      <c r="D447" s="34" t="inlineStr">
        <is>
          <t>Kantoor</t>
        </is>
      </c>
      <c r="E447" s="34" t="inlineStr">
        <is>
          <t>Algemeen</t>
        </is>
      </c>
      <c r="F447" s="34" t="inlineStr"/>
      <c r="G447" s="35" t="n">
        <v>1978</v>
      </c>
      <c r="H447" s="35" t="n">
        <v>0</v>
      </c>
      <c r="I447" s="35">
        <f>G447-H447</f>
        <v/>
      </c>
      <c r="J447" s="33" t="n">
        <v>2024</v>
      </c>
      <c r="K447" s="33" t="n">
        <v>11</v>
      </c>
      <c r="L447" s="34" t="inlineStr">
        <is>
          <t>Winst- en verliesrekening</t>
        </is>
      </c>
      <c r="M447" s="34" t="inlineStr">
        <is>
          <t>Kantoorkosten</t>
        </is>
      </c>
      <c r="N447" s="34" t="inlineStr">
        <is>
          <t>ICT</t>
        </is>
      </c>
      <c r="O447" s="36">
        <f>IFERROR(INDEX('Mapping'!$F$2:$F$60,MATCH(B447,'Mapping'!$A$2:$A$60,0)),"")</f>
        <v/>
      </c>
    </row>
    <row r="448">
      <c r="A448" s="32" t="n">
        <v>45627</v>
      </c>
      <c r="B448" s="33" t="n">
        <v>4410</v>
      </c>
      <c r="C448" s="34" t="inlineStr">
        <is>
          <t>Automatisering en ICT</t>
        </is>
      </c>
      <c r="D448" s="34" t="inlineStr">
        <is>
          <t>Kantoor</t>
        </is>
      </c>
      <c r="E448" s="34" t="inlineStr">
        <is>
          <t>Algemeen</t>
        </is>
      </c>
      <c r="F448" s="34" t="inlineStr"/>
      <c r="G448" s="35" t="n">
        <v>2392</v>
      </c>
      <c r="H448" s="35" t="n">
        <v>0</v>
      </c>
      <c r="I448" s="35">
        <f>G448-H448</f>
        <v/>
      </c>
      <c r="J448" s="33" t="n">
        <v>2024</v>
      </c>
      <c r="K448" s="33" t="n">
        <v>12</v>
      </c>
      <c r="L448" s="34" t="inlineStr">
        <is>
          <t>Winst- en verliesrekening</t>
        </is>
      </c>
      <c r="M448" s="34" t="inlineStr">
        <is>
          <t>Kantoorkosten</t>
        </is>
      </c>
      <c r="N448" s="34" t="inlineStr">
        <is>
          <t>ICT</t>
        </is>
      </c>
      <c r="O448" s="36">
        <f>IFERROR(INDEX('Mapping'!$F$2:$F$60,MATCH(B448,'Mapping'!$A$2:$A$60,0)),"")</f>
        <v/>
      </c>
    </row>
    <row r="449">
      <c r="A449" s="32" t="n">
        <v>45658</v>
      </c>
      <c r="B449" s="33" t="n">
        <v>4410</v>
      </c>
      <c r="C449" s="34" t="inlineStr">
        <is>
          <t>Automatisering en ICT</t>
        </is>
      </c>
      <c r="D449" s="34" t="inlineStr">
        <is>
          <t>Kantoor</t>
        </is>
      </c>
      <c r="E449" s="34" t="inlineStr">
        <is>
          <t>Algemeen</t>
        </is>
      </c>
      <c r="F449" s="34" t="inlineStr"/>
      <c r="G449" s="35" t="n">
        <v>1750</v>
      </c>
      <c r="H449" s="35" t="n">
        <v>0</v>
      </c>
      <c r="I449" s="35">
        <f>G449-H449</f>
        <v/>
      </c>
      <c r="J449" s="33" t="n">
        <v>2025</v>
      </c>
      <c r="K449" s="33" t="n">
        <v>1</v>
      </c>
      <c r="L449" s="34" t="inlineStr">
        <is>
          <t>Winst- en verliesrekening</t>
        </is>
      </c>
      <c r="M449" s="34" t="inlineStr">
        <is>
          <t>Kantoorkosten</t>
        </is>
      </c>
      <c r="N449" s="34" t="inlineStr">
        <is>
          <t>ICT</t>
        </is>
      </c>
      <c r="O449" s="36">
        <f>IFERROR(INDEX('Mapping'!$F$2:$F$60,MATCH(B449,'Mapping'!$A$2:$A$60,0)),"")</f>
        <v/>
      </c>
    </row>
    <row r="450">
      <c r="A450" s="32" t="n">
        <v>45689</v>
      </c>
      <c r="B450" s="33" t="n">
        <v>4410</v>
      </c>
      <c r="C450" s="34" t="inlineStr">
        <is>
          <t>Automatisering en ICT</t>
        </is>
      </c>
      <c r="D450" s="34" t="inlineStr">
        <is>
          <t>Kantoor</t>
        </is>
      </c>
      <c r="E450" s="34" t="inlineStr">
        <is>
          <t>Algemeen</t>
        </is>
      </c>
      <c r="F450" s="34" t="inlineStr"/>
      <c r="G450" s="35" t="n">
        <v>1750</v>
      </c>
      <c r="H450" s="35" t="n">
        <v>0</v>
      </c>
      <c r="I450" s="35">
        <f>G450-H450</f>
        <v/>
      </c>
      <c r="J450" s="33" t="n">
        <v>2025</v>
      </c>
      <c r="K450" s="33" t="n">
        <v>2</v>
      </c>
      <c r="L450" s="34" t="inlineStr">
        <is>
          <t>Winst- en verliesrekening</t>
        </is>
      </c>
      <c r="M450" s="34" t="inlineStr">
        <is>
          <t>Kantoorkosten</t>
        </is>
      </c>
      <c r="N450" s="34" t="inlineStr">
        <is>
          <t>ICT</t>
        </is>
      </c>
      <c r="O450" s="36">
        <f>IFERROR(INDEX('Mapping'!$F$2:$F$60,MATCH(B450,'Mapping'!$A$2:$A$60,0)),"")</f>
        <v/>
      </c>
    </row>
    <row r="451">
      <c r="A451" s="32" t="n">
        <v>45717</v>
      </c>
      <c r="B451" s="33" t="n">
        <v>4410</v>
      </c>
      <c r="C451" s="34" t="inlineStr">
        <is>
          <t>Automatisering en ICT</t>
        </is>
      </c>
      <c r="D451" s="34" t="inlineStr">
        <is>
          <t>Kantoor</t>
        </is>
      </c>
      <c r="E451" s="34" t="inlineStr">
        <is>
          <t>Algemeen</t>
        </is>
      </c>
      <c r="F451" s="34" t="inlineStr"/>
      <c r="G451" s="35" t="n">
        <v>2200</v>
      </c>
      <c r="H451" s="35" t="n">
        <v>0</v>
      </c>
      <c r="I451" s="35">
        <f>G451-H451</f>
        <v/>
      </c>
      <c r="J451" s="33" t="n">
        <v>2025</v>
      </c>
      <c r="K451" s="33" t="n">
        <v>3</v>
      </c>
      <c r="L451" s="34" t="inlineStr">
        <is>
          <t>Winst- en verliesrekening</t>
        </is>
      </c>
      <c r="M451" s="34" t="inlineStr">
        <is>
          <t>Kantoorkosten</t>
        </is>
      </c>
      <c r="N451" s="34" t="inlineStr">
        <is>
          <t>ICT</t>
        </is>
      </c>
      <c r="O451" s="36">
        <f>IFERROR(INDEX('Mapping'!$F$2:$F$60,MATCH(B451,'Mapping'!$A$2:$A$60,0)),"")</f>
        <v/>
      </c>
    </row>
    <row r="452">
      <c r="A452" s="32" t="n">
        <v>45748</v>
      </c>
      <c r="B452" s="33" t="n">
        <v>4410</v>
      </c>
      <c r="C452" s="34" t="inlineStr">
        <is>
          <t>Automatisering en ICT</t>
        </is>
      </c>
      <c r="D452" s="34" t="inlineStr">
        <is>
          <t>Kantoor</t>
        </is>
      </c>
      <c r="E452" s="34" t="inlineStr">
        <is>
          <t>Algemeen</t>
        </is>
      </c>
      <c r="F452" s="34" t="inlineStr"/>
      <c r="G452" s="35" t="n">
        <v>2050</v>
      </c>
      <c r="H452" s="35" t="n">
        <v>0</v>
      </c>
      <c r="I452" s="35">
        <f>G452-H452</f>
        <v/>
      </c>
      <c r="J452" s="33" t="n">
        <v>2025</v>
      </c>
      <c r="K452" s="33" t="n">
        <v>4</v>
      </c>
      <c r="L452" s="34" t="inlineStr">
        <is>
          <t>Winst- en verliesrekening</t>
        </is>
      </c>
      <c r="M452" s="34" t="inlineStr">
        <is>
          <t>Kantoorkosten</t>
        </is>
      </c>
      <c r="N452" s="34" t="inlineStr">
        <is>
          <t>ICT</t>
        </is>
      </c>
      <c r="O452" s="36">
        <f>IFERROR(INDEX('Mapping'!$F$2:$F$60,MATCH(B452,'Mapping'!$A$2:$A$60,0)),"")</f>
        <v/>
      </c>
    </row>
    <row r="453">
      <c r="A453" s="32" t="n">
        <v>45778</v>
      </c>
      <c r="B453" s="33" t="n">
        <v>4410</v>
      </c>
      <c r="C453" s="34" t="inlineStr">
        <is>
          <t>Automatisering en ICT</t>
        </is>
      </c>
      <c r="D453" s="34" t="inlineStr">
        <is>
          <t>Kantoor</t>
        </is>
      </c>
      <c r="E453" s="34" t="inlineStr">
        <is>
          <t>Algemeen</t>
        </is>
      </c>
      <c r="F453" s="34" t="inlineStr"/>
      <c r="G453" s="35" t="n">
        <v>2150</v>
      </c>
      <c r="H453" s="35" t="n">
        <v>0</v>
      </c>
      <c r="I453" s="35">
        <f>G453-H453</f>
        <v/>
      </c>
      <c r="J453" s="33" t="n">
        <v>2025</v>
      </c>
      <c r="K453" s="33" t="n">
        <v>5</v>
      </c>
      <c r="L453" s="34" t="inlineStr">
        <is>
          <t>Winst- en verliesrekening</t>
        </is>
      </c>
      <c r="M453" s="34" t="inlineStr">
        <is>
          <t>Kantoorkosten</t>
        </is>
      </c>
      <c r="N453" s="34" t="inlineStr">
        <is>
          <t>ICT</t>
        </is>
      </c>
      <c r="O453" s="36">
        <f>IFERROR(INDEX('Mapping'!$F$2:$F$60,MATCH(B453,'Mapping'!$A$2:$A$60,0)),"")</f>
        <v/>
      </c>
    </row>
    <row r="454">
      <c r="A454" s="32" t="n">
        <v>45809</v>
      </c>
      <c r="B454" s="33" t="n">
        <v>4410</v>
      </c>
      <c r="C454" s="34" t="inlineStr">
        <is>
          <t>Automatisering en ICT</t>
        </is>
      </c>
      <c r="D454" s="34" t="inlineStr">
        <is>
          <t>Kantoor</t>
        </is>
      </c>
      <c r="E454" s="34" t="inlineStr">
        <is>
          <t>Algemeen</t>
        </is>
      </c>
      <c r="F454" s="34" t="inlineStr"/>
      <c r="G454" s="35" t="n">
        <v>2250</v>
      </c>
      <c r="H454" s="35" t="n">
        <v>0</v>
      </c>
      <c r="I454" s="35">
        <f>G454-H454</f>
        <v/>
      </c>
      <c r="J454" s="33" t="n">
        <v>2025</v>
      </c>
      <c r="K454" s="33" t="n">
        <v>6</v>
      </c>
      <c r="L454" s="34" t="inlineStr">
        <is>
          <t>Winst- en verliesrekening</t>
        </is>
      </c>
      <c r="M454" s="34" t="inlineStr">
        <is>
          <t>Kantoorkosten</t>
        </is>
      </c>
      <c r="N454" s="34" t="inlineStr">
        <is>
          <t>ICT</t>
        </is>
      </c>
      <c r="O454" s="36">
        <f>IFERROR(INDEX('Mapping'!$F$2:$F$60,MATCH(B454,'Mapping'!$A$2:$A$60,0)),"")</f>
        <v/>
      </c>
    </row>
    <row r="455">
      <c r="A455" s="32" t="n">
        <v>45839</v>
      </c>
      <c r="B455" s="33" t="n">
        <v>4410</v>
      </c>
      <c r="C455" s="34" t="inlineStr">
        <is>
          <t>Automatisering en ICT</t>
        </is>
      </c>
      <c r="D455" s="34" t="inlineStr">
        <is>
          <t>Kantoor</t>
        </is>
      </c>
      <c r="E455" s="34" t="inlineStr">
        <is>
          <t>Algemeen</t>
        </is>
      </c>
      <c r="F455" s="34" t="inlineStr"/>
      <c r="G455" s="35" t="n">
        <v>1900</v>
      </c>
      <c r="H455" s="35" t="n">
        <v>0</v>
      </c>
      <c r="I455" s="35">
        <f>G455-H455</f>
        <v/>
      </c>
      <c r="J455" s="33" t="n">
        <v>2025</v>
      </c>
      <c r="K455" s="33" t="n">
        <v>7</v>
      </c>
      <c r="L455" s="34" t="inlineStr">
        <is>
          <t>Winst- en verliesrekening</t>
        </is>
      </c>
      <c r="M455" s="34" t="inlineStr">
        <is>
          <t>Kantoorkosten</t>
        </is>
      </c>
      <c r="N455" s="34" t="inlineStr">
        <is>
          <t>ICT</t>
        </is>
      </c>
      <c r="O455" s="36">
        <f>IFERROR(INDEX('Mapping'!$F$2:$F$60,MATCH(B455,'Mapping'!$A$2:$A$60,0)),"")</f>
        <v/>
      </c>
    </row>
    <row r="456">
      <c r="A456" s="32" t="n">
        <v>45870</v>
      </c>
      <c r="B456" s="33" t="n">
        <v>4410</v>
      </c>
      <c r="C456" s="34" t="inlineStr">
        <is>
          <t>Automatisering en ICT</t>
        </is>
      </c>
      <c r="D456" s="34" t="inlineStr">
        <is>
          <t>Kantoor</t>
        </is>
      </c>
      <c r="E456" s="34" t="inlineStr">
        <is>
          <t>Algemeen</t>
        </is>
      </c>
      <c r="F456" s="34" t="inlineStr"/>
      <c r="G456" s="35" t="n">
        <v>1750</v>
      </c>
      <c r="H456" s="35" t="n">
        <v>0</v>
      </c>
      <c r="I456" s="35">
        <f>G456-H456</f>
        <v/>
      </c>
      <c r="J456" s="33" t="n">
        <v>2025</v>
      </c>
      <c r="K456" s="33" t="n">
        <v>8</v>
      </c>
      <c r="L456" s="34" t="inlineStr">
        <is>
          <t>Winst- en verliesrekening</t>
        </is>
      </c>
      <c r="M456" s="34" t="inlineStr">
        <is>
          <t>Kantoorkosten</t>
        </is>
      </c>
      <c r="N456" s="34" t="inlineStr">
        <is>
          <t>ICT</t>
        </is>
      </c>
      <c r="O456" s="36">
        <f>IFERROR(INDEX('Mapping'!$F$2:$F$60,MATCH(B456,'Mapping'!$A$2:$A$60,0)),"")</f>
        <v/>
      </c>
    </row>
    <row r="457">
      <c r="A457" s="32" t="n">
        <v>45901</v>
      </c>
      <c r="B457" s="33" t="n">
        <v>4410</v>
      </c>
      <c r="C457" s="34" t="inlineStr">
        <is>
          <t>Automatisering en ICT</t>
        </is>
      </c>
      <c r="D457" s="34" t="inlineStr">
        <is>
          <t>Kantoor</t>
        </is>
      </c>
      <c r="E457" s="34" t="inlineStr">
        <is>
          <t>Algemeen</t>
        </is>
      </c>
      <c r="F457" s="34" t="inlineStr"/>
      <c r="G457" s="35" t="n">
        <v>2200</v>
      </c>
      <c r="H457" s="35" t="n">
        <v>0</v>
      </c>
      <c r="I457" s="35">
        <f>G457-H457</f>
        <v/>
      </c>
      <c r="J457" s="33" t="n">
        <v>2025</v>
      </c>
      <c r="K457" s="33" t="n">
        <v>9</v>
      </c>
      <c r="L457" s="34" t="inlineStr">
        <is>
          <t>Winst- en verliesrekening</t>
        </is>
      </c>
      <c r="M457" s="34" t="inlineStr">
        <is>
          <t>Kantoorkosten</t>
        </is>
      </c>
      <c r="N457" s="34" t="inlineStr">
        <is>
          <t>ICT</t>
        </is>
      </c>
      <c r="O457" s="36">
        <f>IFERROR(INDEX('Mapping'!$F$2:$F$60,MATCH(B457,'Mapping'!$A$2:$A$60,0)),"")</f>
        <v/>
      </c>
    </row>
    <row r="458">
      <c r="A458" s="32" t="n">
        <v>45931</v>
      </c>
      <c r="B458" s="33" t="n">
        <v>4410</v>
      </c>
      <c r="C458" s="34" t="inlineStr">
        <is>
          <t>Automatisering en ICT</t>
        </is>
      </c>
      <c r="D458" s="34" t="inlineStr">
        <is>
          <t>Kantoor</t>
        </is>
      </c>
      <c r="E458" s="34" t="inlineStr">
        <is>
          <t>Algemeen</t>
        </is>
      </c>
      <c r="F458" s="34" t="inlineStr"/>
      <c r="G458" s="35" t="n">
        <v>2250</v>
      </c>
      <c r="H458" s="35" t="n">
        <v>0</v>
      </c>
      <c r="I458" s="35">
        <f>G458-H458</f>
        <v/>
      </c>
      <c r="J458" s="33" t="n">
        <v>2025</v>
      </c>
      <c r="K458" s="33" t="n">
        <v>10</v>
      </c>
      <c r="L458" s="34" t="inlineStr">
        <is>
          <t>Winst- en verliesrekening</t>
        </is>
      </c>
      <c r="M458" s="34" t="inlineStr">
        <is>
          <t>Kantoorkosten</t>
        </is>
      </c>
      <c r="N458" s="34" t="inlineStr">
        <is>
          <t>ICT</t>
        </is>
      </c>
      <c r="O458" s="36">
        <f>IFERROR(INDEX('Mapping'!$F$2:$F$60,MATCH(B458,'Mapping'!$A$2:$A$60,0)),"")</f>
        <v/>
      </c>
    </row>
    <row r="459">
      <c r="A459" s="32" t="n">
        <v>45962</v>
      </c>
      <c r="B459" s="33" t="n">
        <v>4410</v>
      </c>
      <c r="C459" s="34" t="inlineStr">
        <is>
          <t>Automatisering en ICT</t>
        </is>
      </c>
      <c r="D459" s="34" t="inlineStr">
        <is>
          <t>Kantoor</t>
        </is>
      </c>
      <c r="E459" s="34" t="inlineStr">
        <is>
          <t>Algemeen</t>
        </is>
      </c>
      <c r="F459" s="34" t="inlineStr"/>
      <c r="G459" s="35" t="n">
        <v>2150</v>
      </c>
      <c r="H459" s="35" t="n">
        <v>0</v>
      </c>
      <c r="I459" s="35">
        <f>G459-H459</f>
        <v/>
      </c>
      <c r="J459" s="33" t="n">
        <v>2025</v>
      </c>
      <c r="K459" s="33" t="n">
        <v>11</v>
      </c>
      <c r="L459" s="34" t="inlineStr">
        <is>
          <t>Winst- en verliesrekening</t>
        </is>
      </c>
      <c r="M459" s="34" t="inlineStr">
        <is>
          <t>Kantoorkosten</t>
        </is>
      </c>
      <c r="N459" s="34" t="inlineStr">
        <is>
          <t>ICT</t>
        </is>
      </c>
      <c r="O459" s="36">
        <f>IFERROR(INDEX('Mapping'!$F$2:$F$60,MATCH(B459,'Mapping'!$A$2:$A$60,0)),"")</f>
        <v/>
      </c>
    </row>
    <row r="460">
      <c r="A460" s="32" t="n">
        <v>45992</v>
      </c>
      <c r="B460" s="33" t="n">
        <v>4410</v>
      </c>
      <c r="C460" s="34" t="inlineStr">
        <is>
          <t>Automatisering en ICT</t>
        </is>
      </c>
      <c r="D460" s="34" t="inlineStr">
        <is>
          <t>Kantoor</t>
        </is>
      </c>
      <c r="E460" s="34" t="inlineStr">
        <is>
          <t>Algemeen</t>
        </is>
      </c>
      <c r="F460" s="34" t="inlineStr"/>
      <c r="G460" s="35" t="n">
        <v>2600</v>
      </c>
      <c r="H460" s="35" t="n">
        <v>0</v>
      </c>
      <c r="I460" s="35">
        <f>G460-H460</f>
        <v/>
      </c>
      <c r="J460" s="33" t="n">
        <v>2025</v>
      </c>
      <c r="K460" s="33" t="n">
        <v>12</v>
      </c>
      <c r="L460" s="34" t="inlineStr">
        <is>
          <t>Winst- en verliesrekening</t>
        </is>
      </c>
      <c r="M460" s="34" t="inlineStr">
        <is>
          <t>Kantoorkosten</t>
        </is>
      </c>
      <c r="N460" s="34" t="inlineStr">
        <is>
          <t>ICT</t>
        </is>
      </c>
      <c r="O460" s="36">
        <f>IFERROR(INDEX('Mapping'!$F$2:$F$60,MATCH(B460,'Mapping'!$A$2:$A$60,0)),"")</f>
        <v/>
      </c>
    </row>
    <row r="461">
      <c r="A461" s="32" t="n">
        <v>45292</v>
      </c>
      <c r="B461" s="33" t="n">
        <v>4420</v>
      </c>
      <c r="C461" s="34" t="inlineStr">
        <is>
          <t>Telefoon en internet</t>
        </is>
      </c>
      <c r="D461" s="34" t="inlineStr">
        <is>
          <t>Kantoor</t>
        </is>
      </c>
      <c r="E461" s="34" t="inlineStr">
        <is>
          <t>Algemeen</t>
        </is>
      </c>
      <c r="F461" s="34" t="inlineStr"/>
      <c r="G461" s="35" t="n">
        <v>560</v>
      </c>
      <c r="H461" s="35" t="n">
        <v>0</v>
      </c>
      <c r="I461" s="35">
        <f>G461-H461</f>
        <v/>
      </c>
      <c r="J461" s="33" t="n">
        <v>2024</v>
      </c>
      <c r="K461" s="33" t="n">
        <v>1</v>
      </c>
      <c r="L461" s="34" t="inlineStr">
        <is>
          <t>Winst- en verliesrekening</t>
        </is>
      </c>
      <c r="M461" s="34" t="inlineStr">
        <is>
          <t>Kantoorkosten</t>
        </is>
      </c>
      <c r="N461" s="34" t="inlineStr">
        <is>
          <t>Telefonie</t>
        </is>
      </c>
      <c r="O461" s="36">
        <f>IFERROR(INDEX('Mapping'!$F$2:$F$60,MATCH(B461,'Mapping'!$A$2:$A$60,0)),"")</f>
        <v/>
      </c>
    </row>
    <row r="462">
      <c r="A462" s="32" t="n">
        <v>45323</v>
      </c>
      <c r="B462" s="33" t="n">
        <v>4420</v>
      </c>
      <c r="C462" s="34" t="inlineStr">
        <is>
          <t>Telefoon en internet</t>
        </is>
      </c>
      <c r="D462" s="34" t="inlineStr">
        <is>
          <t>Kantoor</t>
        </is>
      </c>
      <c r="E462" s="34" t="inlineStr">
        <is>
          <t>Algemeen</t>
        </is>
      </c>
      <c r="F462" s="34" t="inlineStr"/>
      <c r="G462" s="35" t="n">
        <v>560</v>
      </c>
      <c r="H462" s="35" t="n">
        <v>0</v>
      </c>
      <c r="I462" s="35">
        <f>G462-H462</f>
        <v/>
      </c>
      <c r="J462" s="33" t="n">
        <v>2024</v>
      </c>
      <c r="K462" s="33" t="n">
        <v>2</v>
      </c>
      <c r="L462" s="34" t="inlineStr">
        <is>
          <t>Winst- en verliesrekening</t>
        </is>
      </c>
      <c r="M462" s="34" t="inlineStr">
        <is>
          <t>Kantoorkosten</t>
        </is>
      </c>
      <c r="N462" s="34" t="inlineStr">
        <is>
          <t>Telefonie</t>
        </is>
      </c>
      <c r="O462" s="36">
        <f>IFERROR(INDEX('Mapping'!$F$2:$F$60,MATCH(B462,'Mapping'!$A$2:$A$60,0)),"")</f>
        <v/>
      </c>
    </row>
    <row r="463">
      <c r="A463" s="32" t="n">
        <v>45352</v>
      </c>
      <c r="B463" s="33" t="n">
        <v>4420</v>
      </c>
      <c r="C463" s="34" t="inlineStr">
        <is>
          <t>Telefoon en internet</t>
        </is>
      </c>
      <c r="D463" s="34" t="inlineStr">
        <is>
          <t>Kantoor</t>
        </is>
      </c>
      <c r="E463" s="34" t="inlineStr">
        <is>
          <t>Algemeen</t>
        </is>
      </c>
      <c r="F463" s="34" t="inlineStr"/>
      <c r="G463" s="35" t="n">
        <v>704</v>
      </c>
      <c r="H463" s="35" t="n">
        <v>0</v>
      </c>
      <c r="I463" s="35">
        <f>G463-H463</f>
        <v/>
      </c>
      <c r="J463" s="33" t="n">
        <v>2024</v>
      </c>
      <c r="K463" s="33" t="n">
        <v>3</v>
      </c>
      <c r="L463" s="34" t="inlineStr">
        <is>
          <t>Winst- en verliesrekening</t>
        </is>
      </c>
      <c r="M463" s="34" t="inlineStr">
        <is>
          <t>Kantoorkosten</t>
        </is>
      </c>
      <c r="N463" s="34" t="inlineStr">
        <is>
          <t>Telefonie</t>
        </is>
      </c>
      <c r="O463" s="36">
        <f>IFERROR(INDEX('Mapping'!$F$2:$F$60,MATCH(B463,'Mapping'!$A$2:$A$60,0)),"")</f>
        <v/>
      </c>
    </row>
    <row r="464">
      <c r="A464" s="32" t="n">
        <v>45383</v>
      </c>
      <c r="B464" s="33" t="n">
        <v>4420</v>
      </c>
      <c r="C464" s="34" t="inlineStr">
        <is>
          <t>Telefoon en internet</t>
        </is>
      </c>
      <c r="D464" s="34" t="inlineStr">
        <is>
          <t>Kantoor</t>
        </is>
      </c>
      <c r="E464" s="34" t="inlineStr">
        <is>
          <t>Algemeen</t>
        </is>
      </c>
      <c r="F464" s="34" t="inlineStr"/>
      <c r="G464" s="35" t="n">
        <v>656</v>
      </c>
      <c r="H464" s="35" t="n">
        <v>0</v>
      </c>
      <c r="I464" s="35">
        <f>G464-H464</f>
        <v/>
      </c>
      <c r="J464" s="33" t="n">
        <v>2024</v>
      </c>
      <c r="K464" s="33" t="n">
        <v>4</v>
      </c>
      <c r="L464" s="34" t="inlineStr">
        <is>
          <t>Winst- en verliesrekening</t>
        </is>
      </c>
      <c r="M464" s="34" t="inlineStr">
        <is>
          <t>Kantoorkosten</t>
        </is>
      </c>
      <c r="N464" s="34" t="inlineStr">
        <is>
          <t>Telefonie</t>
        </is>
      </c>
      <c r="O464" s="36">
        <f>IFERROR(INDEX('Mapping'!$F$2:$F$60,MATCH(B464,'Mapping'!$A$2:$A$60,0)),"")</f>
        <v/>
      </c>
    </row>
    <row r="465">
      <c r="A465" s="32" t="n">
        <v>45413</v>
      </c>
      <c r="B465" s="33" t="n">
        <v>4420</v>
      </c>
      <c r="C465" s="34" t="inlineStr">
        <is>
          <t>Telefoon en internet</t>
        </is>
      </c>
      <c r="D465" s="34" t="inlineStr">
        <is>
          <t>Kantoor</t>
        </is>
      </c>
      <c r="E465" s="34" t="inlineStr">
        <is>
          <t>Algemeen</t>
        </is>
      </c>
      <c r="F465" s="34" t="inlineStr"/>
      <c r="G465" s="35" t="n">
        <v>688</v>
      </c>
      <c r="H465" s="35" t="n">
        <v>0</v>
      </c>
      <c r="I465" s="35">
        <f>G465-H465</f>
        <v/>
      </c>
      <c r="J465" s="33" t="n">
        <v>2024</v>
      </c>
      <c r="K465" s="33" t="n">
        <v>5</v>
      </c>
      <c r="L465" s="34" t="inlineStr">
        <is>
          <t>Winst- en verliesrekening</t>
        </is>
      </c>
      <c r="M465" s="34" t="inlineStr">
        <is>
          <t>Kantoorkosten</t>
        </is>
      </c>
      <c r="N465" s="34" t="inlineStr">
        <is>
          <t>Telefonie</t>
        </is>
      </c>
      <c r="O465" s="36">
        <f>IFERROR(INDEX('Mapping'!$F$2:$F$60,MATCH(B465,'Mapping'!$A$2:$A$60,0)),"")</f>
        <v/>
      </c>
    </row>
    <row r="466">
      <c r="A466" s="32" t="n">
        <v>45444</v>
      </c>
      <c r="B466" s="33" t="n">
        <v>4420</v>
      </c>
      <c r="C466" s="34" t="inlineStr">
        <is>
          <t>Telefoon en internet</t>
        </is>
      </c>
      <c r="D466" s="34" t="inlineStr">
        <is>
          <t>Kantoor</t>
        </is>
      </c>
      <c r="E466" s="34" t="inlineStr">
        <is>
          <t>Algemeen</t>
        </is>
      </c>
      <c r="F466" s="34" t="inlineStr"/>
      <c r="G466" s="35" t="n">
        <v>720</v>
      </c>
      <c r="H466" s="35" t="n">
        <v>0</v>
      </c>
      <c r="I466" s="35">
        <f>G466-H466</f>
        <v/>
      </c>
      <c r="J466" s="33" t="n">
        <v>2024</v>
      </c>
      <c r="K466" s="33" t="n">
        <v>6</v>
      </c>
      <c r="L466" s="34" t="inlineStr">
        <is>
          <t>Winst- en verliesrekening</t>
        </is>
      </c>
      <c r="M466" s="34" t="inlineStr">
        <is>
          <t>Kantoorkosten</t>
        </is>
      </c>
      <c r="N466" s="34" t="inlineStr">
        <is>
          <t>Telefonie</t>
        </is>
      </c>
      <c r="O466" s="36">
        <f>IFERROR(INDEX('Mapping'!$F$2:$F$60,MATCH(B466,'Mapping'!$A$2:$A$60,0)),"")</f>
        <v/>
      </c>
    </row>
    <row r="467">
      <c r="A467" s="32" t="n">
        <v>45474</v>
      </c>
      <c r="B467" s="33" t="n">
        <v>4420</v>
      </c>
      <c r="C467" s="34" t="inlineStr">
        <is>
          <t>Telefoon en internet</t>
        </is>
      </c>
      <c r="D467" s="34" t="inlineStr">
        <is>
          <t>Kantoor</t>
        </is>
      </c>
      <c r="E467" s="34" t="inlineStr">
        <is>
          <t>Algemeen</t>
        </is>
      </c>
      <c r="F467" s="34" t="inlineStr"/>
      <c r="G467" s="35" t="n">
        <v>608</v>
      </c>
      <c r="H467" s="35" t="n">
        <v>0</v>
      </c>
      <c r="I467" s="35">
        <f>G467-H467</f>
        <v/>
      </c>
      <c r="J467" s="33" t="n">
        <v>2024</v>
      </c>
      <c r="K467" s="33" t="n">
        <v>7</v>
      </c>
      <c r="L467" s="34" t="inlineStr">
        <is>
          <t>Winst- en verliesrekening</t>
        </is>
      </c>
      <c r="M467" s="34" t="inlineStr">
        <is>
          <t>Kantoorkosten</t>
        </is>
      </c>
      <c r="N467" s="34" t="inlineStr">
        <is>
          <t>Telefonie</t>
        </is>
      </c>
      <c r="O467" s="36">
        <f>IFERROR(INDEX('Mapping'!$F$2:$F$60,MATCH(B467,'Mapping'!$A$2:$A$60,0)),"")</f>
        <v/>
      </c>
    </row>
    <row r="468">
      <c r="A468" s="32" t="n">
        <v>45505</v>
      </c>
      <c r="B468" s="33" t="n">
        <v>4420</v>
      </c>
      <c r="C468" s="34" t="inlineStr">
        <is>
          <t>Telefoon en internet</t>
        </is>
      </c>
      <c r="D468" s="34" t="inlineStr">
        <is>
          <t>Kantoor</t>
        </is>
      </c>
      <c r="E468" s="34" t="inlineStr">
        <is>
          <t>Algemeen</t>
        </is>
      </c>
      <c r="F468" s="34" t="inlineStr"/>
      <c r="G468" s="35" t="n">
        <v>560</v>
      </c>
      <c r="H468" s="35" t="n">
        <v>0</v>
      </c>
      <c r="I468" s="35">
        <f>G468-H468</f>
        <v/>
      </c>
      <c r="J468" s="33" t="n">
        <v>2024</v>
      </c>
      <c r="K468" s="33" t="n">
        <v>8</v>
      </c>
      <c r="L468" s="34" t="inlineStr">
        <is>
          <t>Winst- en verliesrekening</t>
        </is>
      </c>
      <c r="M468" s="34" t="inlineStr">
        <is>
          <t>Kantoorkosten</t>
        </is>
      </c>
      <c r="N468" s="34" t="inlineStr">
        <is>
          <t>Telefonie</t>
        </is>
      </c>
      <c r="O468" s="36">
        <f>IFERROR(INDEX('Mapping'!$F$2:$F$60,MATCH(B468,'Mapping'!$A$2:$A$60,0)),"")</f>
        <v/>
      </c>
    </row>
    <row r="469">
      <c r="A469" s="32" t="n">
        <v>45536</v>
      </c>
      <c r="B469" s="33" t="n">
        <v>4420</v>
      </c>
      <c r="C469" s="34" t="inlineStr">
        <is>
          <t>Telefoon en internet</t>
        </is>
      </c>
      <c r="D469" s="34" t="inlineStr">
        <is>
          <t>Kantoor</t>
        </is>
      </c>
      <c r="E469" s="34" t="inlineStr">
        <is>
          <t>Algemeen</t>
        </is>
      </c>
      <c r="F469" s="34" t="inlineStr"/>
      <c r="G469" s="35" t="n">
        <v>704</v>
      </c>
      <c r="H469" s="35" t="n">
        <v>0</v>
      </c>
      <c r="I469" s="35">
        <f>G469-H469</f>
        <v/>
      </c>
      <c r="J469" s="33" t="n">
        <v>2024</v>
      </c>
      <c r="K469" s="33" t="n">
        <v>9</v>
      </c>
      <c r="L469" s="34" t="inlineStr">
        <is>
          <t>Winst- en verliesrekening</t>
        </is>
      </c>
      <c r="M469" s="34" t="inlineStr">
        <is>
          <t>Kantoorkosten</t>
        </is>
      </c>
      <c r="N469" s="34" t="inlineStr">
        <is>
          <t>Telefonie</t>
        </is>
      </c>
      <c r="O469" s="36">
        <f>IFERROR(INDEX('Mapping'!$F$2:$F$60,MATCH(B469,'Mapping'!$A$2:$A$60,0)),"")</f>
        <v/>
      </c>
    </row>
    <row r="470">
      <c r="A470" s="32" t="n">
        <v>45566</v>
      </c>
      <c r="B470" s="33" t="n">
        <v>4420</v>
      </c>
      <c r="C470" s="34" t="inlineStr">
        <is>
          <t>Telefoon en internet</t>
        </is>
      </c>
      <c r="D470" s="34" t="inlineStr">
        <is>
          <t>Kantoor</t>
        </is>
      </c>
      <c r="E470" s="34" t="inlineStr">
        <is>
          <t>Algemeen</t>
        </is>
      </c>
      <c r="F470" s="34" t="inlineStr"/>
      <c r="G470" s="35" t="n">
        <v>720</v>
      </c>
      <c r="H470" s="35" t="n">
        <v>0</v>
      </c>
      <c r="I470" s="35">
        <f>G470-H470</f>
        <v/>
      </c>
      <c r="J470" s="33" t="n">
        <v>2024</v>
      </c>
      <c r="K470" s="33" t="n">
        <v>10</v>
      </c>
      <c r="L470" s="34" t="inlineStr">
        <is>
          <t>Winst- en verliesrekening</t>
        </is>
      </c>
      <c r="M470" s="34" t="inlineStr">
        <is>
          <t>Kantoorkosten</t>
        </is>
      </c>
      <c r="N470" s="34" t="inlineStr">
        <is>
          <t>Telefonie</t>
        </is>
      </c>
      <c r="O470" s="36">
        <f>IFERROR(INDEX('Mapping'!$F$2:$F$60,MATCH(B470,'Mapping'!$A$2:$A$60,0)),"")</f>
        <v/>
      </c>
    </row>
    <row r="471">
      <c r="A471" s="32" t="n">
        <v>45597</v>
      </c>
      <c r="B471" s="33" t="n">
        <v>4420</v>
      </c>
      <c r="C471" s="34" t="inlineStr">
        <is>
          <t>Telefoon en internet</t>
        </is>
      </c>
      <c r="D471" s="34" t="inlineStr">
        <is>
          <t>Kantoor</t>
        </is>
      </c>
      <c r="E471" s="34" t="inlineStr">
        <is>
          <t>Algemeen</t>
        </is>
      </c>
      <c r="F471" s="34" t="inlineStr"/>
      <c r="G471" s="35" t="n">
        <v>688</v>
      </c>
      <c r="H471" s="35" t="n">
        <v>0</v>
      </c>
      <c r="I471" s="35">
        <f>G471-H471</f>
        <v/>
      </c>
      <c r="J471" s="33" t="n">
        <v>2024</v>
      </c>
      <c r="K471" s="33" t="n">
        <v>11</v>
      </c>
      <c r="L471" s="34" t="inlineStr">
        <is>
          <t>Winst- en verliesrekening</t>
        </is>
      </c>
      <c r="M471" s="34" t="inlineStr">
        <is>
          <t>Kantoorkosten</t>
        </is>
      </c>
      <c r="N471" s="34" t="inlineStr">
        <is>
          <t>Telefonie</t>
        </is>
      </c>
      <c r="O471" s="36">
        <f>IFERROR(INDEX('Mapping'!$F$2:$F$60,MATCH(B471,'Mapping'!$A$2:$A$60,0)),"")</f>
        <v/>
      </c>
    </row>
    <row r="472">
      <c r="A472" s="32" t="n">
        <v>45627</v>
      </c>
      <c r="B472" s="33" t="n">
        <v>4420</v>
      </c>
      <c r="C472" s="34" t="inlineStr">
        <is>
          <t>Telefoon en internet</t>
        </is>
      </c>
      <c r="D472" s="34" t="inlineStr">
        <is>
          <t>Kantoor</t>
        </is>
      </c>
      <c r="E472" s="34" t="inlineStr">
        <is>
          <t>Algemeen</t>
        </is>
      </c>
      <c r="F472" s="34" t="inlineStr"/>
      <c r="G472" s="35" t="n">
        <v>832</v>
      </c>
      <c r="H472" s="35" t="n">
        <v>0</v>
      </c>
      <c r="I472" s="35">
        <f>G472-H472</f>
        <v/>
      </c>
      <c r="J472" s="33" t="n">
        <v>2024</v>
      </c>
      <c r="K472" s="33" t="n">
        <v>12</v>
      </c>
      <c r="L472" s="34" t="inlineStr">
        <is>
          <t>Winst- en verliesrekening</t>
        </is>
      </c>
      <c r="M472" s="34" t="inlineStr">
        <is>
          <t>Kantoorkosten</t>
        </is>
      </c>
      <c r="N472" s="34" t="inlineStr">
        <is>
          <t>Telefonie</t>
        </is>
      </c>
      <c r="O472" s="36">
        <f>IFERROR(INDEX('Mapping'!$F$2:$F$60,MATCH(B472,'Mapping'!$A$2:$A$60,0)),"")</f>
        <v/>
      </c>
    </row>
    <row r="473">
      <c r="A473" s="32" t="n">
        <v>45658</v>
      </c>
      <c r="B473" s="33" t="n">
        <v>4420</v>
      </c>
      <c r="C473" s="34" t="inlineStr">
        <is>
          <t>Telefoon en internet</t>
        </is>
      </c>
      <c r="D473" s="34" t="inlineStr">
        <is>
          <t>Kantoor</t>
        </is>
      </c>
      <c r="E473" s="34" t="inlineStr">
        <is>
          <t>Algemeen</t>
        </is>
      </c>
      <c r="F473" s="34" t="inlineStr"/>
      <c r="G473" s="35" t="n">
        <v>560</v>
      </c>
      <c r="H473" s="35" t="n">
        <v>0</v>
      </c>
      <c r="I473" s="35">
        <f>G473-H473</f>
        <v/>
      </c>
      <c r="J473" s="33" t="n">
        <v>2025</v>
      </c>
      <c r="K473" s="33" t="n">
        <v>1</v>
      </c>
      <c r="L473" s="34" t="inlineStr">
        <is>
          <t>Winst- en verliesrekening</t>
        </is>
      </c>
      <c r="M473" s="34" t="inlineStr">
        <is>
          <t>Kantoorkosten</t>
        </is>
      </c>
      <c r="N473" s="34" t="inlineStr">
        <is>
          <t>Telefonie</t>
        </is>
      </c>
      <c r="O473" s="36">
        <f>IFERROR(INDEX('Mapping'!$F$2:$F$60,MATCH(B473,'Mapping'!$A$2:$A$60,0)),"")</f>
        <v/>
      </c>
    </row>
    <row r="474">
      <c r="A474" s="32" t="n">
        <v>45689</v>
      </c>
      <c r="B474" s="33" t="n">
        <v>4420</v>
      </c>
      <c r="C474" s="34" t="inlineStr">
        <is>
          <t>Telefoon en internet</t>
        </is>
      </c>
      <c r="D474" s="34" t="inlineStr">
        <is>
          <t>Kantoor</t>
        </is>
      </c>
      <c r="E474" s="34" t="inlineStr">
        <is>
          <t>Algemeen</t>
        </is>
      </c>
      <c r="F474" s="34" t="inlineStr"/>
      <c r="G474" s="35" t="n">
        <v>560</v>
      </c>
      <c r="H474" s="35" t="n">
        <v>0</v>
      </c>
      <c r="I474" s="35">
        <f>G474-H474</f>
        <v/>
      </c>
      <c r="J474" s="33" t="n">
        <v>2025</v>
      </c>
      <c r="K474" s="33" t="n">
        <v>2</v>
      </c>
      <c r="L474" s="34" t="inlineStr">
        <is>
          <t>Winst- en verliesrekening</t>
        </is>
      </c>
      <c r="M474" s="34" t="inlineStr">
        <is>
          <t>Kantoorkosten</t>
        </is>
      </c>
      <c r="N474" s="34" t="inlineStr">
        <is>
          <t>Telefonie</t>
        </is>
      </c>
      <c r="O474" s="36">
        <f>IFERROR(INDEX('Mapping'!$F$2:$F$60,MATCH(B474,'Mapping'!$A$2:$A$60,0)),"")</f>
        <v/>
      </c>
    </row>
    <row r="475">
      <c r="A475" s="32" t="n">
        <v>45717</v>
      </c>
      <c r="B475" s="33" t="n">
        <v>4420</v>
      </c>
      <c r="C475" s="34" t="inlineStr">
        <is>
          <t>Telefoon en internet</t>
        </is>
      </c>
      <c r="D475" s="34" t="inlineStr">
        <is>
          <t>Kantoor</t>
        </is>
      </c>
      <c r="E475" s="34" t="inlineStr">
        <is>
          <t>Algemeen</t>
        </is>
      </c>
      <c r="F475" s="34" t="inlineStr"/>
      <c r="G475" s="35" t="n">
        <v>704</v>
      </c>
      <c r="H475" s="35" t="n">
        <v>0</v>
      </c>
      <c r="I475" s="35">
        <f>G475-H475</f>
        <v/>
      </c>
      <c r="J475" s="33" t="n">
        <v>2025</v>
      </c>
      <c r="K475" s="33" t="n">
        <v>3</v>
      </c>
      <c r="L475" s="34" t="inlineStr">
        <is>
          <t>Winst- en verliesrekening</t>
        </is>
      </c>
      <c r="M475" s="34" t="inlineStr">
        <is>
          <t>Kantoorkosten</t>
        </is>
      </c>
      <c r="N475" s="34" t="inlineStr">
        <is>
          <t>Telefonie</t>
        </is>
      </c>
      <c r="O475" s="36">
        <f>IFERROR(INDEX('Mapping'!$F$2:$F$60,MATCH(B475,'Mapping'!$A$2:$A$60,0)),"")</f>
        <v/>
      </c>
    </row>
    <row r="476">
      <c r="A476" s="32" t="n">
        <v>45748</v>
      </c>
      <c r="B476" s="33" t="n">
        <v>4420</v>
      </c>
      <c r="C476" s="34" t="inlineStr">
        <is>
          <t>Telefoon en internet</t>
        </is>
      </c>
      <c r="D476" s="34" t="inlineStr">
        <is>
          <t>Kantoor</t>
        </is>
      </c>
      <c r="E476" s="34" t="inlineStr">
        <is>
          <t>Algemeen</t>
        </is>
      </c>
      <c r="F476" s="34" t="inlineStr"/>
      <c r="G476" s="35" t="n">
        <v>656</v>
      </c>
      <c r="H476" s="35" t="n">
        <v>0</v>
      </c>
      <c r="I476" s="35">
        <f>G476-H476</f>
        <v/>
      </c>
      <c r="J476" s="33" t="n">
        <v>2025</v>
      </c>
      <c r="K476" s="33" t="n">
        <v>4</v>
      </c>
      <c r="L476" s="34" t="inlineStr">
        <is>
          <t>Winst- en verliesrekening</t>
        </is>
      </c>
      <c r="M476" s="34" t="inlineStr">
        <is>
          <t>Kantoorkosten</t>
        </is>
      </c>
      <c r="N476" s="34" t="inlineStr">
        <is>
          <t>Telefonie</t>
        </is>
      </c>
      <c r="O476" s="36">
        <f>IFERROR(INDEX('Mapping'!$F$2:$F$60,MATCH(B476,'Mapping'!$A$2:$A$60,0)),"")</f>
        <v/>
      </c>
    </row>
    <row r="477">
      <c r="A477" s="32" t="n">
        <v>45778</v>
      </c>
      <c r="B477" s="33" t="n">
        <v>4420</v>
      </c>
      <c r="C477" s="34" t="inlineStr">
        <is>
          <t>Telefoon en internet</t>
        </is>
      </c>
      <c r="D477" s="34" t="inlineStr">
        <is>
          <t>Kantoor</t>
        </is>
      </c>
      <c r="E477" s="34" t="inlineStr">
        <is>
          <t>Algemeen</t>
        </is>
      </c>
      <c r="F477" s="34" t="inlineStr"/>
      <c r="G477" s="35" t="n">
        <v>688</v>
      </c>
      <c r="H477" s="35" t="n">
        <v>0</v>
      </c>
      <c r="I477" s="35">
        <f>G477-H477</f>
        <v/>
      </c>
      <c r="J477" s="33" t="n">
        <v>2025</v>
      </c>
      <c r="K477" s="33" t="n">
        <v>5</v>
      </c>
      <c r="L477" s="34" t="inlineStr">
        <is>
          <t>Winst- en verliesrekening</t>
        </is>
      </c>
      <c r="M477" s="34" t="inlineStr">
        <is>
          <t>Kantoorkosten</t>
        </is>
      </c>
      <c r="N477" s="34" t="inlineStr">
        <is>
          <t>Telefonie</t>
        </is>
      </c>
      <c r="O477" s="36">
        <f>IFERROR(INDEX('Mapping'!$F$2:$F$60,MATCH(B477,'Mapping'!$A$2:$A$60,0)),"")</f>
        <v/>
      </c>
    </row>
    <row r="478">
      <c r="A478" s="32" t="n">
        <v>45809</v>
      </c>
      <c r="B478" s="33" t="n">
        <v>4420</v>
      </c>
      <c r="C478" s="34" t="inlineStr">
        <is>
          <t>Telefoon en internet</t>
        </is>
      </c>
      <c r="D478" s="34" t="inlineStr">
        <is>
          <t>Kantoor</t>
        </is>
      </c>
      <c r="E478" s="34" t="inlineStr">
        <is>
          <t>Algemeen</t>
        </is>
      </c>
      <c r="F478" s="34" t="inlineStr"/>
      <c r="G478" s="35" t="n">
        <v>720</v>
      </c>
      <c r="H478" s="35" t="n">
        <v>0</v>
      </c>
      <c r="I478" s="35">
        <f>G478-H478</f>
        <v/>
      </c>
      <c r="J478" s="33" t="n">
        <v>2025</v>
      </c>
      <c r="K478" s="33" t="n">
        <v>6</v>
      </c>
      <c r="L478" s="34" t="inlineStr">
        <is>
          <t>Winst- en verliesrekening</t>
        </is>
      </c>
      <c r="M478" s="34" t="inlineStr">
        <is>
          <t>Kantoorkosten</t>
        </is>
      </c>
      <c r="N478" s="34" t="inlineStr">
        <is>
          <t>Telefonie</t>
        </is>
      </c>
      <c r="O478" s="36">
        <f>IFERROR(INDEX('Mapping'!$F$2:$F$60,MATCH(B478,'Mapping'!$A$2:$A$60,0)),"")</f>
        <v/>
      </c>
    </row>
    <row r="479">
      <c r="A479" s="32" t="n">
        <v>45839</v>
      </c>
      <c r="B479" s="33" t="n">
        <v>4420</v>
      </c>
      <c r="C479" s="34" t="inlineStr">
        <is>
          <t>Telefoon en internet</t>
        </is>
      </c>
      <c r="D479" s="34" t="inlineStr">
        <is>
          <t>Kantoor</t>
        </is>
      </c>
      <c r="E479" s="34" t="inlineStr">
        <is>
          <t>Algemeen</t>
        </is>
      </c>
      <c r="F479" s="34" t="inlineStr"/>
      <c r="G479" s="35" t="n">
        <v>608</v>
      </c>
      <c r="H479" s="35" t="n">
        <v>0</v>
      </c>
      <c r="I479" s="35">
        <f>G479-H479</f>
        <v/>
      </c>
      <c r="J479" s="33" t="n">
        <v>2025</v>
      </c>
      <c r="K479" s="33" t="n">
        <v>7</v>
      </c>
      <c r="L479" s="34" t="inlineStr">
        <is>
          <t>Winst- en verliesrekening</t>
        </is>
      </c>
      <c r="M479" s="34" t="inlineStr">
        <is>
          <t>Kantoorkosten</t>
        </is>
      </c>
      <c r="N479" s="34" t="inlineStr">
        <is>
          <t>Telefonie</t>
        </is>
      </c>
      <c r="O479" s="36">
        <f>IFERROR(INDEX('Mapping'!$F$2:$F$60,MATCH(B479,'Mapping'!$A$2:$A$60,0)),"")</f>
        <v/>
      </c>
    </row>
    <row r="480">
      <c r="A480" s="32" t="n">
        <v>45870</v>
      </c>
      <c r="B480" s="33" t="n">
        <v>4420</v>
      </c>
      <c r="C480" s="34" t="inlineStr">
        <is>
          <t>Telefoon en internet</t>
        </is>
      </c>
      <c r="D480" s="34" t="inlineStr">
        <is>
          <t>Kantoor</t>
        </is>
      </c>
      <c r="E480" s="34" t="inlineStr">
        <is>
          <t>Algemeen</t>
        </is>
      </c>
      <c r="F480" s="34" t="inlineStr"/>
      <c r="G480" s="35" t="n">
        <v>560</v>
      </c>
      <c r="H480" s="35" t="n">
        <v>0</v>
      </c>
      <c r="I480" s="35">
        <f>G480-H480</f>
        <v/>
      </c>
      <c r="J480" s="33" t="n">
        <v>2025</v>
      </c>
      <c r="K480" s="33" t="n">
        <v>8</v>
      </c>
      <c r="L480" s="34" t="inlineStr">
        <is>
          <t>Winst- en verliesrekening</t>
        </is>
      </c>
      <c r="M480" s="34" t="inlineStr">
        <is>
          <t>Kantoorkosten</t>
        </is>
      </c>
      <c r="N480" s="34" t="inlineStr">
        <is>
          <t>Telefonie</t>
        </is>
      </c>
      <c r="O480" s="36">
        <f>IFERROR(INDEX('Mapping'!$F$2:$F$60,MATCH(B480,'Mapping'!$A$2:$A$60,0)),"")</f>
        <v/>
      </c>
    </row>
    <row r="481">
      <c r="A481" s="32" t="n">
        <v>45901</v>
      </c>
      <c r="B481" s="33" t="n">
        <v>4420</v>
      </c>
      <c r="C481" s="34" t="inlineStr">
        <is>
          <t>Telefoon en internet</t>
        </is>
      </c>
      <c r="D481" s="34" t="inlineStr">
        <is>
          <t>Kantoor</t>
        </is>
      </c>
      <c r="E481" s="34" t="inlineStr">
        <is>
          <t>Algemeen</t>
        </is>
      </c>
      <c r="F481" s="34" t="inlineStr"/>
      <c r="G481" s="35" t="n">
        <v>704</v>
      </c>
      <c r="H481" s="35" t="n">
        <v>0</v>
      </c>
      <c r="I481" s="35">
        <f>G481-H481</f>
        <v/>
      </c>
      <c r="J481" s="33" t="n">
        <v>2025</v>
      </c>
      <c r="K481" s="33" t="n">
        <v>9</v>
      </c>
      <c r="L481" s="34" t="inlineStr">
        <is>
          <t>Winst- en verliesrekening</t>
        </is>
      </c>
      <c r="M481" s="34" t="inlineStr">
        <is>
          <t>Kantoorkosten</t>
        </is>
      </c>
      <c r="N481" s="34" t="inlineStr">
        <is>
          <t>Telefonie</t>
        </is>
      </c>
      <c r="O481" s="36">
        <f>IFERROR(INDEX('Mapping'!$F$2:$F$60,MATCH(B481,'Mapping'!$A$2:$A$60,0)),"")</f>
        <v/>
      </c>
    </row>
    <row r="482">
      <c r="A482" s="32" t="n">
        <v>45931</v>
      </c>
      <c r="B482" s="33" t="n">
        <v>4420</v>
      </c>
      <c r="C482" s="34" t="inlineStr">
        <is>
          <t>Telefoon en internet</t>
        </is>
      </c>
      <c r="D482" s="34" t="inlineStr">
        <is>
          <t>Kantoor</t>
        </is>
      </c>
      <c r="E482" s="34" t="inlineStr">
        <is>
          <t>Algemeen</t>
        </is>
      </c>
      <c r="F482" s="34" t="inlineStr"/>
      <c r="G482" s="35" t="n">
        <v>720</v>
      </c>
      <c r="H482" s="35" t="n">
        <v>0</v>
      </c>
      <c r="I482" s="35">
        <f>G482-H482</f>
        <v/>
      </c>
      <c r="J482" s="33" t="n">
        <v>2025</v>
      </c>
      <c r="K482" s="33" t="n">
        <v>10</v>
      </c>
      <c r="L482" s="34" t="inlineStr">
        <is>
          <t>Winst- en verliesrekening</t>
        </is>
      </c>
      <c r="M482" s="34" t="inlineStr">
        <is>
          <t>Kantoorkosten</t>
        </is>
      </c>
      <c r="N482" s="34" t="inlineStr">
        <is>
          <t>Telefonie</t>
        </is>
      </c>
      <c r="O482" s="36">
        <f>IFERROR(INDEX('Mapping'!$F$2:$F$60,MATCH(B482,'Mapping'!$A$2:$A$60,0)),"")</f>
        <v/>
      </c>
    </row>
    <row r="483">
      <c r="A483" s="32" t="n">
        <v>45962</v>
      </c>
      <c r="B483" s="33" t="n">
        <v>4420</v>
      </c>
      <c r="C483" s="34" t="inlineStr">
        <is>
          <t>Telefoon en internet</t>
        </is>
      </c>
      <c r="D483" s="34" t="inlineStr">
        <is>
          <t>Kantoor</t>
        </is>
      </c>
      <c r="E483" s="34" t="inlineStr">
        <is>
          <t>Algemeen</t>
        </is>
      </c>
      <c r="F483" s="34" t="inlineStr"/>
      <c r="G483" s="35" t="n">
        <v>688</v>
      </c>
      <c r="H483" s="35" t="n">
        <v>0</v>
      </c>
      <c r="I483" s="35">
        <f>G483-H483</f>
        <v/>
      </c>
      <c r="J483" s="33" t="n">
        <v>2025</v>
      </c>
      <c r="K483" s="33" t="n">
        <v>11</v>
      </c>
      <c r="L483" s="34" t="inlineStr">
        <is>
          <t>Winst- en verliesrekening</t>
        </is>
      </c>
      <c r="M483" s="34" t="inlineStr">
        <is>
          <t>Kantoorkosten</t>
        </is>
      </c>
      <c r="N483" s="34" t="inlineStr">
        <is>
          <t>Telefonie</t>
        </is>
      </c>
      <c r="O483" s="36">
        <f>IFERROR(INDEX('Mapping'!$F$2:$F$60,MATCH(B483,'Mapping'!$A$2:$A$60,0)),"")</f>
        <v/>
      </c>
    </row>
    <row r="484">
      <c r="A484" s="32" t="n">
        <v>45992</v>
      </c>
      <c r="B484" s="33" t="n">
        <v>4420</v>
      </c>
      <c r="C484" s="34" t="inlineStr">
        <is>
          <t>Telefoon en internet</t>
        </is>
      </c>
      <c r="D484" s="34" t="inlineStr">
        <is>
          <t>Kantoor</t>
        </is>
      </c>
      <c r="E484" s="34" t="inlineStr">
        <is>
          <t>Algemeen</t>
        </is>
      </c>
      <c r="F484" s="34" t="inlineStr"/>
      <c r="G484" s="35" t="n">
        <v>832</v>
      </c>
      <c r="H484" s="35" t="n">
        <v>0</v>
      </c>
      <c r="I484" s="35">
        <f>G484-H484</f>
        <v/>
      </c>
      <c r="J484" s="33" t="n">
        <v>2025</v>
      </c>
      <c r="K484" s="33" t="n">
        <v>12</v>
      </c>
      <c r="L484" s="34" t="inlineStr">
        <is>
          <t>Winst- en verliesrekening</t>
        </is>
      </c>
      <c r="M484" s="34" t="inlineStr">
        <is>
          <t>Kantoorkosten</t>
        </is>
      </c>
      <c r="N484" s="34" t="inlineStr">
        <is>
          <t>Telefonie</t>
        </is>
      </c>
      <c r="O484" s="36">
        <f>IFERROR(INDEX('Mapping'!$F$2:$F$60,MATCH(B484,'Mapping'!$A$2:$A$60,0)),"")</f>
        <v/>
      </c>
    </row>
    <row r="485">
      <c r="A485" s="32" t="n">
        <v>45292</v>
      </c>
      <c r="B485" s="33" t="n">
        <v>4500</v>
      </c>
      <c r="C485" s="34" t="inlineStr">
        <is>
          <t>Accountants- en advieskosten</t>
        </is>
      </c>
      <c r="D485" s="34" t="inlineStr">
        <is>
          <t>Algemeen</t>
        </is>
      </c>
      <c r="E485" s="34" t="inlineStr">
        <is>
          <t>Algemeen</t>
        </is>
      </c>
      <c r="F485" s="34" t="inlineStr"/>
      <c r="G485" s="35" t="n">
        <v>1820</v>
      </c>
      <c r="H485" s="35" t="n">
        <v>0</v>
      </c>
      <c r="I485" s="35">
        <f>G485-H485</f>
        <v/>
      </c>
      <c r="J485" s="33" t="n">
        <v>2024</v>
      </c>
      <c r="K485" s="33" t="n">
        <v>1</v>
      </c>
      <c r="L485" s="34" t="inlineStr">
        <is>
          <t>Winst- en verliesrekening</t>
        </is>
      </c>
      <c r="M485" s="34" t="inlineStr">
        <is>
          <t>Algemene kosten</t>
        </is>
      </c>
      <c r="N485" s="34" t="inlineStr">
        <is>
          <t>Advies</t>
        </is>
      </c>
      <c r="O485" s="36">
        <f>IFERROR(INDEX('Mapping'!$F$2:$F$60,MATCH(B485,'Mapping'!$A$2:$A$60,0)),"")</f>
        <v/>
      </c>
    </row>
    <row r="486">
      <c r="A486" s="32" t="n">
        <v>45323</v>
      </c>
      <c r="B486" s="33" t="n">
        <v>4500</v>
      </c>
      <c r="C486" s="34" t="inlineStr">
        <is>
          <t>Accountants- en advieskosten</t>
        </is>
      </c>
      <c r="D486" s="34" t="inlineStr">
        <is>
          <t>Algemeen</t>
        </is>
      </c>
      <c r="E486" s="34" t="inlineStr">
        <is>
          <t>Algemeen</t>
        </is>
      </c>
      <c r="F486" s="34" t="inlineStr"/>
      <c r="G486" s="35" t="n">
        <v>1820</v>
      </c>
      <c r="H486" s="35" t="n">
        <v>0</v>
      </c>
      <c r="I486" s="35">
        <f>G486-H486</f>
        <v/>
      </c>
      <c r="J486" s="33" t="n">
        <v>2024</v>
      </c>
      <c r="K486" s="33" t="n">
        <v>2</v>
      </c>
      <c r="L486" s="34" t="inlineStr">
        <is>
          <t>Winst- en verliesrekening</t>
        </is>
      </c>
      <c r="M486" s="34" t="inlineStr">
        <is>
          <t>Algemene kosten</t>
        </is>
      </c>
      <c r="N486" s="34" t="inlineStr">
        <is>
          <t>Advies</t>
        </is>
      </c>
      <c r="O486" s="36">
        <f>IFERROR(INDEX('Mapping'!$F$2:$F$60,MATCH(B486,'Mapping'!$A$2:$A$60,0)),"")</f>
        <v/>
      </c>
    </row>
    <row r="487">
      <c r="A487" s="32" t="n">
        <v>45352</v>
      </c>
      <c r="B487" s="33" t="n">
        <v>4500</v>
      </c>
      <c r="C487" s="34" t="inlineStr">
        <is>
          <t>Accountants- en advieskosten</t>
        </is>
      </c>
      <c r="D487" s="34" t="inlineStr">
        <is>
          <t>Algemeen</t>
        </is>
      </c>
      <c r="E487" s="34" t="inlineStr">
        <is>
          <t>Algemeen</t>
        </is>
      </c>
      <c r="F487" s="34" t="inlineStr"/>
      <c r="G487" s="35" t="n">
        <v>2288</v>
      </c>
      <c r="H487" s="35" t="n">
        <v>0</v>
      </c>
      <c r="I487" s="35">
        <f>G487-H487</f>
        <v/>
      </c>
      <c r="J487" s="33" t="n">
        <v>2024</v>
      </c>
      <c r="K487" s="33" t="n">
        <v>3</v>
      </c>
      <c r="L487" s="34" t="inlineStr">
        <is>
          <t>Winst- en verliesrekening</t>
        </is>
      </c>
      <c r="M487" s="34" t="inlineStr">
        <is>
          <t>Algemene kosten</t>
        </is>
      </c>
      <c r="N487" s="34" t="inlineStr">
        <is>
          <t>Advies</t>
        </is>
      </c>
      <c r="O487" s="36">
        <f>IFERROR(INDEX('Mapping'!$F$2:$F$60,MATCH(B487,'Mapping'!$A$2:$A$60,0)),"")</f>
        <v/>
      </c>
    </row>
    <row r="488">
      <c r="A488" s="32" t="n">
        <v>45383</v>
      </c>
      <c r="B488" s="33" t="n">
        <v>4500</v>
      </c>
      <c r="C488" s="34" t="inlineStr">
        <is>
          <t>Accountants- en advieskosten</t>
        </is>
      </c>
      <c r="D488" s="34" t="inlineStr">
        <is>
          <t>Algemeen</t>
        </is>
      </c>
      <c r="E488" s="34" t="inlineStr">
        <is>
          <t>Algemeen</t>
        </is>
      </c>
      <c r="F488" s="34" t="inlineStr"/>
      <c r="G488" s="35" t="n">
        <v>2132</v>
      </c>
      <c r="H488" s="35" t="n">
        <v>0</v>
      </c>
      <c r="I488" s="35">
        <f>G488-H488</f>
        <v/>
      </c>
      <c r="J488" s="33" t="n">
        <v>2024</v>
      </c>
      <c r="K488" s="33" t="n">
        <v>4</v>
      </c>
      <c r="L488" s="34" t="inlineStr">
        <is>
          <t>Winst- en verliesrekening</t>
        </is>
      </c>
      <c r="M488" s="34" t="inlineStr">
        <is>
          <t>Algemene kosten</t>
        </is>
      </c>
      <c r="N488" s="34" t="inlineStr">
        <is>
          <t>Advies</t>
        </is>
      </c>
      <c r="O488" s="36">
        <f>IFERROR(INDEX('Mapping'!$F$2:$F$60,MATCH(B488,'Mapping'!$A$2:$A$60,0)),"")</f>
        <v/>
      </c>
    </row>
    <row r="489">
      <c r="A489" s="32" t="n">
        <v>45413</v>
      </c>
      <c r="B489" s="33" t="n">
        <v>4500</v>
      </c>
      <c r="C489" s="34" t="inlineStr">
        <is>
          <t>Accountants- en advieskosten</t>
        </is>
      </c>
      <c r="D489" s="34" t="inlineStr">
        <is>
          <t>Algemeen</t>
        </is>
      </c>
      <c r="E489" s="34" t="inlineStr">
        <is>
          <t>Algemeen</t>
        </is>
      </c>
      <c r="F489" s="34" t="inlineStr"/>
      <c r="G489" s="35" t="n">
        <v>2236</v>
      </c>
      <c r="H489" s="35" t="n">
        <v>0</v>
      </c>
      <c r="I489" s="35">
        <f>G489-H489</f>
        <v/>
      </c>
      <c r="J489" s="33" t="n">
        <v>2024</v>
      </c>
      <c r="K489" s="33" t="n">
        <v>5</v>
      </c>
      <c r="L489" s="34" t="inlineStr">
        <is>
          <t>Winst- en verliesrekening</t>
        </is>
      </c>
      <c r="M489" s="34" t="inlineStr">
        <is>
          <t>Algemene kosten</t>
        </is>
      </c>
      <c r="N489" s="34" t="inlineStr">
        <is>
          <t>Advies</t>
        </is>
      </c>
      <c r="O489" s="36">
        <f>IFERROR(INDEX('Mapping'!$F$2:$F$60,MATCH(B489,'Mapping'!$A$2:$A$60,0)),"")</f>
        <v/>
      </c>
    </row>
    <row r="490">
      <c r="A490" s="32" t="n">
        <v>45444</v>
      </c>
      <c r="B490" s="33" t="n">
        <v>4500</v>
      </c>
      <c r="C490" s="34" t="inlineStr">
        <is>
          <t>Accountants- en advieskosten</t>
        </is>
      </c>
      <c r="D490" s="34" t="inlineStr">
        <is>
          <t>Algemeen</t>
        </is>
      </c>
      <c r="E490" s="34" t="inlineStr">
        <is>
          <t>Algemeen</t>
        </is>
      </c>
      <c r="F490" s="34" t="inlineStr"/>
      <c r="G490" s="35" t="n">
        <v>2340</v>
      </c>
      <c r="H490" s="35" t="n">
        <v>0</v>
      </c>
      <c r="I490" s="35">
        <f>G490-H490</f>
        <v/>
      </c>
      <c r="J490" s="33" t="n">
        <v>2024</v>
      </c>
      <c r="K490" s="33" t="n">
        <v>6</v>
      </c>
      <c r="L490" s="34" t="inlineStr">
        <is>
          <t>Winst- en verliesrekening</t>
        </is>
      </c>
      <c r="M490" s="34" t="inlineStr">
        <is>
          <t>Algemene kosten</t>
        </is>
      </c>
      <c r="N490" s="34" t="inlineStr">
        <is>
          <t>Advies</t>
        </is>
      </c>
      <c r="O490" s="36">
        <f>IFERROR(INDEX('Mapping'!$F$2:$F$60,MATCH(B490,'Mapping'!$A$2:$A$60,0)),"")</f>
        <v/>
      </c>
    </row>
    <row r="491">
      <c r="A491" s="32" t="n">
        <v>45474</v>
      </c>
      <c r="B491" s="33" t="n">
        <v>4500</v>
      </c>
      <c r="C491" s="34" t="inlineStr">
        <is>
          <t>Accountants- en advieskosten</t>
        </is>
      </c>
      <c r="D491" s="34" t="inlineStr">
        <is>
          <t>Algemeen</t>
        </is>
      </c>
      <c r="E491" s="34" t="inlineStr">
        <is>
          <t>Algemeen</t>
        </is>
      </c>
      <c r="F491" s="34" t="inlineStr"/>
      <c r="G491" s="35" t="n">
        <v>1976</v>
      </c>
      <c r="H491" s="35" t="n">
        <v>0</v>
      </c>
      <c r="I491" s="35">
        <f>G491-H491</f>
        <v/>
      </c>
      <c r="J491" s="33" t="n">
        <v>2024</v>
      </c>
      <c r="K491" s="33" t="n">
        <v>7</v>
      </c>
      <c r="L491" s="34" t="inlineStr">
        <is>
          <t>Winst- en verliesrekening</t>
        </is>
      </c>
      <c r="M491" s="34" t="inlineStr">
        <is>
          <t>Algemene kosten</t>
        </is>
      </c>
      <c r="N491" s="34" t="inlineStr">
        <is>
          <t>Advies</t>
        </is>
      </c>
      <c r="O491" s="36">
        <f>IFERROR(INDEX('Mapping'!$F$2:$F$60,MATCH(B491,'Mapping'!$A$2:$A$60,0)),"")</f>
        <v/>
      </c>
    </row>
    <row r="492">
      <c r="A492" s="32" t="n">
        <v>45505</v>
      </c>
      <c r="B492" s="33" t="n">
        <v>4500</v>
      </c>
      <c r="C492" s="34" t="inlineStr">
        <is>
          <t>Accountants- en advieskosten</t>
        </is>
      </c>
      <c r="D492" s="34" t="inlineStr">
        <is>
          <t>Algemeen</t>
        </is>
      </c>
      <c r="E492" s="34" t="inlineStr">
        <is>
          <t>Algemeen</t>
        </is>
      </c>
      <c r="F492" s="34" t="inlineStr"/>
      <c r="G492" s="35" t="n">
        <v>1820</v>
      </c>
      <c r="H492" s="35" t="n">
        <v>0</v>
      </c>
      <c r="I492" s="35">
        <f>G492-H492</f>
        <v/>
      </c>
      <c r="J492" s="33" t="n">
        <v>2024</v>
      </c>
      <c r="K492" s="33" t="n">
        <v>8</v>
      </c>
      <c r="L492" s="34" t="inlineStr">
        <is>
          <t>Winst- en verliesrekening</t>
        </is>
      </c>
      <c r="M492" s="34" t="inlineStr">
        <is>
          <t>Algemene kosten</t>
        </is>
      </c>
      <c r="N492" s="34" t="inlineStr">
        <is>
          <t>Advies</t>
        </is>
      </c>
      <c r="O492" s="36">
        <f>IFERROR(INDEX('Mapping'!$F$2:$F$60,MATCH(B492,'Mapping'!$A$2:$A$60,0)),"")</f>
        <v/>
      </c>
    </row>
    <row r="493">
      <c r="A493" s="32" t="n">
        <v>45536</v>
      </c>
      <c r="B493" s="33" t="n">
        <v>4500</v>
      </c>
      <c r="C493" s="34" t="inlineStr">
        <is>
          <t>Accountants- en advieskosten</t>
        </is>
      </c>
      <c r="D493" s="34" t="inlineStr">
        <is>
          <t>Algemeen</t>
        </is>
      </c>
      <c r="E493" s="34" t="inlineStr">
        <is>
          <t>Algemeen</t>
        </is>
      </c>
      <c r="F493" s="34" t="inlineStr"/>
      <c r="G493" s="35" t="n">
        <v>2288</v>
      </c>
      <c r="H493" s="35" t="n">
        <v>0</v>
      </c>
      <c r="I493" s="35">
        <f>G493-H493</f>
        <v/>
      </c>
      <c r="J493" s="33" t="n">
        <v>2024</v>
      </c>
      <c r="K493" s="33" t="n">
        <v>9</v>
      </c>
      <c r="L493" s="34" t="inlineStr">
        <is>
          <t>Winst- en verliesrekening</t>
        </is>
      </c>
      <c r="M493" s="34" t="inlineStr">
        <is>
          <t>Algemene kosten</t>
        </is>
      </c>
      <c r="N493" s="34" t="inlineStr">
        <is>
          <t>Advies</t>
        </is>
      </c>
      <c r="O493" s="36">
        <f>IFERROR(INDEX('Mapping'!$F$2:$F$60,MATCH(B493,'Mapping'!$A$2:$A$60,0)),"")</f>
        <v/>
      </c>
    </row>
    <row r="494">
      <c r="A494" s="32" t="n">
        <v>45566</v>
      </c>
      <c r="B494" s="33" t="n">
        <v>4500</v>
      </c>
      <c r="C494" s="34" t="inlineStr">
        <is>
          <t>Accountants- en advieskosten</t>
        </is>
      </c>
      <c r="D494" s="34" t="inlineStr">
        <is>
          <t>Algemeen</t>
        </is>
      </c>
      <c r="E494" s="34" t="inlineStr">
        <is>
          <t>Algemeen</t>
        </is>
      </c>
      <c r="F494" s="34" t="inlineStr"/>
      <c r="G494" s="35" t="n">
        <v>2340</v>
      </c>
      <c r="H494" s="35" t="n">
        <v>0</v>
      </c>
      <c r="I494" s="35">
        <f>G494-H494</f>
        <v/>
      </c>
      <c r="J494" s="33" t="n">
        <v>2024</v>
      </c>
      <c r="K494" s="33" t="n">
        <v>10</v>
      </c>
      <c r="L494" s="34" t="inlineStr">
        <is>
          <t>Winst- en verliesrekening</t>
        </is>
      </c>
      <c r="M494" s="34" t="inlineStr">
        <is>
          <t>Algemene kosten</t>
        </is>
      </c>
      <c r="N494" s="34" t="inlineStr">
        <is>
          <t>Advies</t>
        </is>
      </c>
      <c r="O494" s="36">
        <f>IFERROR(INDEX('Mapping'!$F$2:$F$60,MATCH(B494,'Mapping'!$A$2:$A$60,0)),"")</f>
        <v/>
      </c>
    </row>
    <row r="495">
      <c r="A495" s="32" t="n">
        <v>45597</v>
      </c>
      <c r="B495" s="33" t="n">
        <v>4500</v>
      </c>
      <c r="C495" s="34" t="inlineStr">
        <is>
          <t>Accountants- en advieskosten</t>
        </is>
      </c>
      <c r="D495" s="34" t="inlineStr">
        <is>
          <t>Algemeen</t>
        </is>
      </c>
      <c r="E495" s="34" t="inlineStr">
        <is>
          <t>Algemeen</t>
        </is>
      </c>
      <c r="F495" s="34" t="inlineStr"/>
      <c r="G495" s="35" t="n">
        <v>2236</v>
      </c>
      <c r="H495" s="35" t="n">
        <v>0</v>
      </c>
      <c r="I495" s="35">
        <f>G495-H495</f>
        <v/>
      </c>
      <c r="J495" s="33" t="n">
        <v>2024</v>
      </c>
      <c r="K495" s="33" t="n">
        <v>11</v>
      </c>
      <c r="L495" s="34" t="inlineStr">
        <is>
          <t>Winst- en verliesrekening</t>
        </is>
      </c>
      <c r="M495" s="34" t="inlineStr">
        <is>
          <t>Algemene kosten</t>
        </is>
      </c>
      <c r="N495" s="34" t="inlineStr">
        <is>
          <t>Advies</t>
        </is>
      </c>
      <c r="O495" s="36">
        <f>IFERROR(INDEX('Mapping'!$F$2:$F$60,MATCH(B495,'Mapping'!$A$2:$A$60,0)),"")</f>
        <v/>
      </c>
    </row>
    <row r="496">
      <c r="A496" s="32" t="n">
        <v>45627</v>
      </c>
      <c r="B496" s="33" t="n">
        <v>4500</v>
      </c>
      <c r="C496" s="34" t="inlineStr">
        <is>
          <t>Accountants- en advieskosten</t>
        </is>
      </c>
      <c r="D496" s="34" t="inlineStr">
        <is>
          <t>Algemeen</t>
        </is>
      </c>
      <c r="E496" s="34" t="inlineStr">
        <is>
          <t>Algemeen</t>
        </is>
      </c>
      <c r="F496" s="34" t="inlineStr"/>
      <c r="G496" s="35" t="n">
        <v>2704</v>
      </c>
      <c r="H496" s="35" t="n">
        <v>0</v>
      </c>
      <c r="I496" s="35">
        <f>G496-H496</f>
        <v/>
      </c>
      <c r="J496" s="33" t="n">
        <v>2024</v>
      </c>
      <c r="K496" s="33" t="n">
        <v>12</v>
      </c>
      <c r="L496" s="34" t="inlineStr">
        <is>
          <t>Winst- en verliesrekening</t>
        </is>
      </c>
      <c r="M496" s="34" t="inlineStr">
        <is>
          <t>Algemene kosten</t>
        </is>
      </c>
      <c r="N496" s="34" t="inlineStr">
        <is>
          <t>Advies</t>
        </is>
      </c>
      <c r="O496" s="36">
        <f>IFERROR(INDEX('Mapping'!$F$2:$F$60,MATCH(B496,'Mapping'!$A$2:$A$60,0)),"")</f>
        <v/>
      </c>
    </row>
    <row r="497">
      <c r="A497" s="32" t="n">
        <v>45658</v>
      </c>
      <c r="B497" s="33" t="n">
        <v>4500</v>
      </c>
      <c r="C497" s="34" t="inlineStr">
        <is>
          <t>Accountants- en advieskosten</t>
        </is>
      </c>
      <c r="D497" s="34" t="inlineStr">
        <is>
          <t>Algemeen</t>
        </is>
      </c>
      <c r="E497" s="34" t="inlineStr">
        <is>
          <t>Algemeen</t>
        </is>
      </c>
      <c r="F497" s="34" t="inlineStr"/>
      <c r="G497" s="35" t="n">
        <v>1960</v>
      </c>
      <c r="H497" s="35" t="n">
        <v>0</v>
      </c>
      <c r="I497" s="35">
        <f>G497-H497</f>
        <v/>
      </c>
      <c r="J497" s="33" t="n">
        <v>2025</v>
      </c>
      <c r="K497" s="33" t="n">
        <v>1</v>
      </c>
      <c r="L497" s="34" t="inlineStr">
        <is>
          <t>Winst- en verliesrekening</t>
        </is>
      </c>
      <c r="M497" s="34" t="inlineStr">
        <is>
          <t>Algemene kosten</t>
        </is>
      </c>
      <c r="N497" s="34" t="inlineStr">
        <is>
          <t>Advies</t>
        </is>
      </c>
      <c r="O497" s="36">
        <f>IFERROR(INDEX('Mapping'!$F$2:$F$60,MATCH(B497,'Mapping'!$A$2:$A$60,0)),"")</f>
        <v/>
      </c>
    </row>
    <row r="498">
      <c r="A498" s="32" t="n">
        <v>45689</v>
      </c>
      <c r="B498" s="33" t="n">
        <v>4500</v>
      </c>
      <c r="C498" s="34" t="inlineStr">
        <is>
          <t>Accountants- en advieskosten</t>
        </is>
      </c>
      <c r="D498" s="34" t="inlineStr">
        <is>
          <t>Algemeen</t>
        </is>
      </c>
      <c r="E498" s="34" t="inlineStr">
        <is>
          <t>Algemeen</t>
        </is>
      </c>
      <c r="F498" s="34" t="inlineStr"/>
      <c r="G498" s="35" t="n">
        <v>1960</v>
      </c>
      <c r="H498" s="35" t="n">
        <v>0</v>
      </c>
      <c r="I498" s="35">
        <f>G498-H498</f>
        <v/>
      </c>
      <c r="J498" s="33" t="n">
        <v>2025</v>
      </c>
      <c r="K498" s="33" t="n">
        <v>2</v>
      </c>
      <c r="L498" s="34" t="inlineStr">
        <is>
          <t>Winst- en verliesrekening</t>
        </is>
      </c>
      <c r="M498" s="34" t="inlineStr">
        <is>
          <t>Algemene kosten</t>
        </is>
      </c>
      <c r="N498" s="34" t="inlineStr">
        <is>
          <t>Advies</t>
        </is>
      </c>
      <c r="O498" s="36">
        <f>IFERROR(INDEX('Mapping'!$F$2:$F$60,MATCH(B498,'Mapping'!$A$2:$A$60,0)),"")</f>
        <v/>
      </c>
    </row>
    <row r="499">
      <c r="A499" s="32" t="n">
        <v>45717</v>
      </c>
      <c r="B499" s="33" t="n">
        <v>4500</v>
      </c>
      <c r="C499" s="34" t="inlineStr">
        <is>
          <t>Accountants- en advieskosten</t>
        </is>
      </c>
      <c r="D499" s="34" t="inlineStr">
        <is>
          <t>Algemeen</t>
        </is>
      </c>
      <c r="E499" s="34" t="inlineStr">
        <is>
          <t>Algemeen</t>
        </is>
      </c>
      <c r="F499" s="34" t="inlineStr"/>
      <c r="G499" s="35" t="n">
        <v>2464</v>
      </c>
      <c r="H499" s="35" t="n">
        <v>0</v>
      </c>
      <c r="I499" s="35">
        <f>G499-H499</f>
        <v/>
      </c>
      <c r="J499" s="33" t="n">
        <v>2025</v>
      </c>
      <c r="K499" s="33" t="n">
        <v>3</v>
      </c>
      <c r="L499" s="34" t="inlineStr">
        <is>
          <t>Winst- en verliesrekening</t>
        </is>
      </c>
      <c r="M499" s="34" t="inlineStr">
        <is>
          <t>Algemene kosten</t>
        </is>
      </c>
      <c r="N499" s="34" t="inlineStr">
        <is>
          <t>Advies</t>
        </is>
      </c>
      <c r="O499" s="36">
        <f>IFERROR(INDEX('Mapping'!$F$2:$F$60,MATCH(B499,'Mapping'!$A$2:$A$60,0)),"")</f>
        <v/>
      </c>
    </row>
    <row r="500">
      <c r="A500" s="32" t="n">
        <v>45748</v>
      </c>
      <c r="B500" s="33" t="n">
        <v>4500</v>
      </c>
      <c r="C500" s="34" t="inlineStr">
        <is>
          <t>Accountants- en advieskosten</t>
        </is>
      </c>
      <c r="D500" s="34" t="inlineStr">
        <is>
          <t>Algemeen</t>
        </is>
      </c>
      <c r="E500" s="34" t="inlineStr">
        <is>
          <t>Algemeen</t>
        </is>
      </c>
      <c r="F500" s="34" t="inlineStr"/>
      <c r="G500" s="35" t="n">
        <v>2296</v>
      </c>
      <c r="H500" s="35" t="n">
        <v>0</v>
      </c>
      <c r="I500" s="35">
        <f>G500-H500</f>
        <v/>
      </c>
      <c r="J500" s="33" t="n">
        <v>2025</v>
      </c>
      <c r="K500" s="33" t="n">
        <v>4</v>
      </c>
      <c r="L500" s="34" t="inlineStr">
        <is>
          <t>Winst- en verliesrekening</t>
        </is>
      </c>
      <c r="M500" s="34" t="inlineStr">
        <is>
          <t>Algemene kosten</t>
        </is>
      </c>
      <c r="N500" s="34" t="inlineStr">
        <is>
          <t>Advies</t>
        </is>
      </c>
      <c r="O500" s="36">
        <f>IFERROR(INDEX('Mapping'!$F$2:$F$60,MATCH(B500,'Mapping'!$A$2:$A$60,0)),"")</f>
        <v/>
      </c>
    </row>
    <row r="501">
      <c r="A501" s="32" t="n">
        <v>45778</v>
      </c>
      <c r="B501" s="33" t="n">
        <v>4500</v>
      </c>
      <c r="C501" s="34" t="inlineStr">
        <is>
          <t>Accountants- en advieskosten</t>
        </is>
      </c>
      <c r="D501" s="34" t="inlineStr">
        <is>
          <t>Algemeen</t>
        </is>
      </c>
      <c r="E501" s="34" t="inlineStr">
        <is>
          <t>Algemeen</t>
        </is>
      </c>
      <c r="F501" s="34" t="inlineStr"/>
      <c r="G501" s="35" t="n">
        <v>2408</v>
      </c>
      <c r="H501" s="35" t="n">
        <v>0</v>
      </c>
      <c r="I501" s="35">
        <f>G501-H501</f>
        <v/>
      </c>
      <c r="J501" s="33" t="n">
        <v>2025</v>
      </c>
      <c r="K501" s="33" t="n">
        <v>5</v>
      </c>
      <c r="L501" s="34" t="inlineStr">
        <is>
          <t>Winst- en verliesrekening</t>
        </is>
      </c>
      <c r="M501" s="34" t="inlineStr">
        <is>
          <t>Algemene kosten</t>
        </is>
      </c>
      <c r="N501" s="34" t="inlineStr">
        <is>
          <t>Advies</t>
        </is>
      </c>
      <c r="O501" s="36">
        <f>IFERROR(INDEX('Mapping'!$F$2:$F$60,MATCH(B501,'Mapping'!$A$2:$A$60,0)),"")</f>
        <v/>
      </c>
    </row>
    <row r="502">
      <c r="A502" s="32" t="n">
        <v>45809</v>
      </c>
      <c r="B502" s="33" t="n">
        <v>4500</v>
      </c>
      <c r="C502" s="34" t="inlineStr">
        <is>
          <t>Accountants- en advieskosten</t>
        </is>
      </c>
      <c r="D502" s="34" t="inlineStr">
        <is>
          <t>Algemeen</t>
        </is>
      </c>
      <c r="E502" s="34" t="inlineStr">
        <is>
          <t>Algemeen</t>
        </is>
      </c>
      <c r="F502" s="34" t="inlineStr"/>
      <c r="G502" s="35" t="n">
        <v>2520</v>
      </c>
      <c r="H502" s="35" t="n">
        <v>0</v>
      </c>
      <c r="I502" s="35">
        <f>G502-H502</f>
        <v/>
      </c>
      <c r="J502" s="33" t="n">
        <v>2025</v>
      </c>
      <c r="K502" s="33" t="n">
        <v>6</v>
      </c>
      <c r="L502" s="34" t="inlineStr">
        <is>
          <t>Winst- en verliesrekening</t>
        </is>
      </c>
      <c r="M502" s="34" t="inlineStr">
        <is>
          <t>Algemene kosten</t>
        </is>
      </c>
      <c r="N502" s="34" t="inlineStr">
        <is>
          <t>Advies</t>
        </is>
      </c>
      <c r="O502" s="36">
        <f>IFERROR(INDEX('Mapping'!$F$2:$F$60,MATCH(B502,'Mapping'!$A$2:$A$60,0)),"")</f>
        <v/>
      </c>
    </row>
    <row r="503">
      <c r="A503" s="32" t="n">
        <v>45839</v>
      </c>
      <c r="B503" s="33" t="n">
        <v>4500</v>
      </c>
      <c r="C503" s="34" t="inlineStr">
        <is>
          <t>Accountants- en advieskosten</t>
        </is>
      </c>
      <c r="D503" s="34" t="inlineStr">
        <is>
          <t>Algemeen</t>
        </is>
      </c>
      <c r="E503" s="34" t="inlineStr">
        <is>
          <t>Algemeen</t>
        </is>
      </c>
      <c r="F503" s="34" t="inlineStr"/>
      <c r="G503" s="35" t="n">
        <v>2128</v>
      </c>
      <c r="H503" s="35" t="n">
        <v>0</v>
      </c>
      <c r="I503" s="35">
        <f>G503-H503</f>
        <v/>
      </c>
      <c r="J503" s="33" t="n">
        <v>2025</v>
      </c>
      <c r="K503" s="33" t="n">
        <v>7</v>
      </c>
      <c r="L503" s="34" t="inlineStr">
        <is>
          <t>Winst- en verliesrekening</t>
        </is>
      </c>
      <c r="M503" s="34" t="inlineStr">
        <is>
          <t>Algemene kosten</t>
        </is>
      </c>
      <c r="N503" s="34" t="inlineStr">
        <is>
          <t>Advies</t>
        </is>
      </c>
      <c r="O503" s="36">
        <f>IFERROR(INDEX('Mapping'!$F$2:$F$60,MATCH(B503,'Mapping'!$A$2:$A$60,0)),"")</f>
        <v/>
      </c>
    </row>
    <row r="504">
      <c r="A504" s="32" t="n">
        <v>45870</v>
      </c>
      <c r="B504" s="33" t="n">
        <v>4500</v>
      </c>
      <c r="C504" s="34" t="inlineStr">
        <is>
          <t>Accountants- en advieskosten</t>
        </is>
      </c>
      <c r="D504" s="34" t="inlineStr">
        <is>
          <t>Algemeen</t>
        </is>
      </c>
      <c r="E504" s="34" t="inlineStr">
        <is>
          <t>Algemeen</t>
        </is>
      </c>
      <c r="F504" s="34" t="inlineStr"/>
      <c r="G504" s="35" t="n">
        <v>1960</v>
      </c>
      <c r="H504" s="35" t="n">
        <v>0</v>
      </c>
      <c r="I504" s="35">
        <f>G504-H504</f>
        <v/>
      </c>
      <c r="J504" s="33" t="n">
        <v>2025</v>
      </c>
      <c r="K504" s="33" t="n">
        <v>8</v>
      </c>
      <c r="L504" s="34" t="inlineStr">
        <is>
          <t>Winst- en verliesrekening</t>
        </is>
      </c>
      <c r="M504" s="34" t="inlineStr">
        <is>
          <t>Algemene kosten</t>
        </is>
      </c>
      <c r="N504" s="34" t="inlineStr">
        <is>
          <t>Advies</t>
        </is>
      </c>
      <c r="O504" s="36">
        <f>IFERROR(INDEX('Mapping'!$F$2:$F$60,MATCH(B504,'Mapping'!$A$2:$A$60,0)),"")</f>
        <v/>
      </c>
    </row>
    <row r="505">
      <c r="A505" s="32" t="n">
        <v>45901</v>
      </c>
      <c r="B505" s="33" t="n">
        <v>4500</v>
      </c>
      <c r="C505" s="34" t="inlineStr">
        <is>
          <t>Accountants- en advieskosten</t>
        </is>
      </c>
      <c r="D505" s="34" t="inlineStr">
        <is>
          <t>Algemeen</t>
        </is>
      </c>
      <c r="E505" s="34" t="inlineStr">
        <is>
          <t>Algemeen</t>
        </is>
      </c>
      <c r="F505" s="34" t="inlineStr"/>
      <c r="G505" s="35" t="n">
        <v>2464</v>
      </c>
      <c r="H505" s="35" t="n">
        <v>0</v>
      </c>
      <c r="I505" s="35">
        <f>G505-H505</f>
        <v/>
      </c>
      <c r="J505" s="33" t="n">
        <v>2025</v>
      </c>
      <c r="K505" s="33" t="n">
        <v>9</v>
      </c>
      <c r="L505" s="34" t="inlineStr">
        <is>
          <t>Winst- en verliesrekening</t>
        </is>
      </c>
      <c r="M505" s="34" t="inlineStr">
        <is>
          <t>Algemene kosten</t>
        </is>
      </c>
      <c r="N505" s="34" t="inlineStr">
        <is>
          <t>Advies</t>
        </is>
      </c>
      <c r="O505" s="36">
        <f>IFERROR(INDEX('Mapping'!$F$2:$F$60,MATCH(B505,'Mapping'!$A$2:$A$60,0)),"")</f>
        <v/>
      </c>
    </row>
    <row r="506">
      <c r="A506" s="32" t="n">
        <v>45931</v>
      </c>
      <c r="B506" s="33" t="n">
        <v>4500</v>
      </c>
      <c r="C506" s="34" t="inlineStr">
        <is>
          <t>Accountants- en advieskosten</t>
        </is>
      </c>
      <c r="D506" s="34" t="inlineStr">
        <is>
          <t>Algemeen</t>
        </is>
      </c>
      <c r="E506" s="34" t="inlineStr">
        <is>
          <t>Algemeen</t>
        </is>
      </c>
      <c r="F506" s="34" t="inlineStr"/>
      <c r="G506" s="35" t="n">
        <v>2520</v>
      </c>
      <c r="H506" s="35" t="n">
        <v>0</v>
      </c>
      <c r="I506" s="35">
        <f>G506-H506</f>
        <v/>
      </c>
      <c r="J506" s="33" t="n">
        <v>2025</v>
      </c>
      <c r="K506" s="33" t="n">
        <v>10</v>
      </c>
      <c r="L506" s="34" t="inlineStr">
        <is>
          <t>Winst- en verliesrekening</t>
        </is>
      </c>
      <c r="M506" s="34" t="inlineStr">
        <is>
          <t>Algemene kosten</t>
        </is>
      </c>
      <c r="N506" s="34" t="inlineStr">
        <is>
          <t>Advies</t>
        </is>
      </c>
      <c r="O506" s="36">
        <f>IFERROR(INDEX('Mapping'!$F$2:$F$60,MATCH(B506,'Mapping'!$A$2:$A$60,0)),"")</f>
        <v/>
      </c>
    </row>
    <row r="507">
      <c r="A507" s="32" t="n">
        <v>45962</v>
      </c>
      <c r="B507" s="33" t="n">
        <v>4500</v>
      </c>
      <c r="C507" s="34" t="inlineStr">
        <is>
          <t>Accountants- en advieskosten</t>
        </is>
      </c>
      <c r="D507" s="34" t="inlineStr">
        <is>
          <t>Algemeen</t>
        </is>
      </c>
      <c r="E507" s="34" t="inlineStr">
        <is>
          <t>Algemeen</t>
        </is>
      </c>
      <c r="F507" s="34" t="inlineStr"/>
      <c r="G507" s="35" t="n">
        <v>2408</v>
      </c>
      <c r="H507" s="35" t="n">
        <v>0</v>
      </c>
      <c r="I507" s="35">
        <f>G507-H507</f>
        <v/>
      </c>
      <c r="J507" s="33" t="n">
        <v>2025</v>
      </c>
      <c r="K507" s="33" t="n">
        <v>11</v>
      </c>
      <c r="L507" s="34" t="inlineStr">
        <is>
          <t>Winst- en verliesrekening</t>
        </is>
      </c>
      <c r="M507" s="34" t="inlineStr">
        <is>
          <t>Algemene kosten</t>
        </is>
      </c>
      <c r="N507" s="34" t="inlineStr">
        <is>
          <t>Advies</t>
        </is>
      </c>
      <c r="O507" s="36">
        <f>IFERROR(INDEX('Mapping'!$F$2:$F$60,MATCH(B507,'Mapping'!$A$2:$A$60,0)),"")</f>
        <v/>
      </c>
    </row>
    <row r="508">
      <c r="A508" s="32" t="n">
        <v>45992</v>
      </c>
      <c r="B508" s="33" t="n">
        <v>4500</v>
      </c>
      <c r="C508" s="34" t="inlineStr">
        <is>
          <t>Accountants- en advieskosten</t>
        </is>
      </c>
      <c r="D508" s="34" t="inlineStr">
        <is>
          <t>Algemeen</t>
        </is>
      </c>
      <c r="E508" s="34" t="inlineStr">
        <is>
          <t>Algemeen</t>
        </is>
      </c>
      <c r="F508" s="34" t="inlineStr"/>
      <c r="G508" s="35" t="n">
        <v>2912</v>
      </c>
      <c r="H508" s="35" t="n">
        <v>0</v>
      </c>
      <c r="I508" s="35">
        <f>G508-H508</f>
        <v/>
      </c>
      <c r="J508" s="33" t="n">
        <v>2025</v>
      </c>
      <c r="K508" s="33" t="n">
        <v>12</v>
      </c>
      <c r="L508" s="34" t="inlineStr">
        <is>
          <t>Winst- en verliesrekening</t>
        </is>
      </c>
      <c r="M508" s="34" t="inlineStr">
        <is>
          <t>Algemene kosten</t>
        </is>
      </c>
      <c r="N508" s="34" t="inlineStr">
        <is>
          <t>Advies</t>
        </is>
      </c>
      <c r="O508" s="36">
        <f>IFERROR(INDEX('Mapping'!$F$2:$F$60,MATCH(B508,'Mapping'!$A$2:$A$60,0)),"")</f>
        <v/>
      </c>
    </row>
    <row r="509">
      <c r="A509" s="32" t="n">
        <v>45292</v>
      </c>
      <c r="B509" s="33" t="n">
        <v>4510</v>
      </c>
      <c r="C509" s="34" t="inlineStr">
        <is>
          <t>Verzekeringen</t>
        </is>
      </c>
      <c r="D509" s="34" t="inlineStr">
        <is>
          <t>Algemeen</t>
        </is>
      </c>
      <c r="E509" s="34" t="inlineStr">
        <is>
          <t>Algemeen</t>
        </is>
      </c>
      <c r="F509" s="34" t="inlineStr"/>
      <c r="G509" s="35" t="n">
        <v>1540</v>
      </c>
      <c r="H509" s="35" t="n">
        <v>0</v>
      </c>
      <c r="I509" s="35">
        <f>G509-H509</f>
        <v/>
      </c>
      <c r="J509" s="33" t="n">
        <v>2024</v>
      </c>
      <c r="K509" s="33" t="n">
        <v>1</v>
      </c>
      <c r="L509" s="34" t="inlineStr">
        <is>
          <t>Winst- en verliesrekening</t>
        </is>
      </c>
      <c r="M509" s="34" t="inlineStr">
        <is>
          <t>Algemene kosten</t>
        </is>
      </c>
      <c r="N509" s="34" t="inlineStr">
        <is>
          <t>Verzekering</t>
        </is>
      </c>
      <c r="O509" s="36">
        <f>IFERROR(INDEX('Mapping'!$F$2:$F$60,MATCH(B509,'Mapping'!$A$2:$A$60,0)),"")</f>
        <v/>
      </c>
    </row>
    <row r="510">
      <c r="A510" s="32" t="n">
        <v>45323</v>
      </c>
      <c r="B510" s="33" t="n">
        <v>4510</v>
      </c>
      <c r="C510" s="34" t="inlineStr">
        <is>
          <t>Verzekeringen</t>
        </is>
      </c>
      <c r="D510" s="34" t="inlineStr">
        <is>
          <t>Algemeen</t>
        </is>
      </c>
      <c r="E510" s="34" t="inlineStr">
        <is>
          <t>Algemeen</t>
        </is>
      </c>
      <c r="F510" s="34" t="inlineStr"/>
      <c r="G510" s="35" t="n">
        <v>1540</v>
      </c>
      <c r="H510" s="35" t="n">
        <v>0</v>
      </c>
      <c r="I510" s="35">
        <f>G510-H510</f>
        <v/>
      </c>
      <c r="J510" s="33" t="n">
        <v>2024</v>
      </c>
      <c r="K510" s="33" t="n">
        <v>2</v>
      </c>
      <c r="L510" s="34" t="inlineStr">
        <is>
          <t>Winst- en verliesrekening</t>
        </is>
      </c>
      <c r="M510" s="34" t="inlineStr">
        <is>
          <t>Algemene kosten</t>
        </is>
      </c>
      <c r="N510" s="34" t="inlineStr">
        <is>
          <t>Verzekering</t>
        </is>
      </c>
      <c r="O510" s="36">
        <f>IFERROR(INDEX('Mapping'!$F$2:$F$60,MATCH(B510,'Mapping'!$A$2:$A$60,0)),"")</f>
        <v/>
      </c>
    </row>
    <row r="511">
      <c r="A511" s="32" t="n">
        <v>45352</v>
      </c>
      <c r="B511" s="33" t="n">
        <v>4510</v>
      </c>
      <c r="C511" s="34" t="inlineStr">
        <is>
          <t>Verzekeringen</t>
        </is>
      </c>
      <c r="D511" s="34" t="inlineStr">
        <is>
          <t>Algemeen</t>
        </is>
      </c>
      <c r="E511" s="34" t="inlineStr">
        <is>
          <t>Algemeen</t>
        </is>
      </c>
      <c r="F511" s="34" t="inlineStr"/>
      <c r="G511" s="35" t="n">
        <v>1936</v>
      </c>
      <c r="H511" s="35" t="n">
        <v>0</v>
      </c>
      <c r="I511" s="35">
        <f>G511-H511</f>
        <v/>
      </c>
      <c r="J511" s="33" t="n">
        <v>2024</v>
      </c>
      <c r="K511" s="33" t="n">
        <v>3</v>
      </c>
      <c r="L511" s="34" t="inlineStr">
        <is>
          <t>Winst- en verliesrekening</t>
        </is>
      </c>
      <c r="M511" s="34" t="inlineStr">
        <is>
          <t>Algemene kosten</t>
        </is>
      </c>
      <c r="N511" s="34" t="inlineStr">
        <is>
          <t>Verzekering</t>
        </is>
      </c>
      <c r="O511" s="36">
        <f>IFERROR(INDEX('Mapping'!$F$2:$F$60,MATCH(B511,'Mapping'!$A$2:$A$60,0)),"")</f>
        <v/>
      </c>
    </row>
    <row r="512">
      <c r="A512" s="32" t="n">
        <v>45383</v>
      </c>
      <c r="B512" s="33" t="n">
        <v>4510</v>
      </c>
      <c r="C512" s="34" t="inlineStr">
        <is>
          <t>Verzekeringen</t>
        </is>
      </c>
      <c r="D512" s="34" t="inlineStr">
        <is>
          <t>Algemeen</t>
        </is>
      </c>
      <c r="E512" s="34" t="inlineStr">
        <is>
          <t>Algemeen</t>
        </is>
      </c>
      <c r="F512" s="34" t="inlineStr"/>
      <c r="G512" s="35" t="n">
        <v>1804</v>
      </c>
      <c r="H512" s="35" t="n">
        <v>0</v>
      </c>
      <c r="I512" s="35">
        <f>G512-H512</f>
        <v/>
      </c>
      <c r="J512" s="33" t="n">
        <v>2024</v>
      </c>
      <c r="K512" s="33" t="n">
        <v>4</v>
      </c>
      <c r="L512" s="34" t="inlineStr">
        <is>
          <t>Winst- en verliesrekening</t>
        </is>
      </c>
      <c r="M512" s="34" t="inlineStr">
        <is>
          <t>Algemene kosten</t>
        </is>
      </c>
      <c r="N512" s="34" t="inlineStr">
        <is>
          <t>Verzekering</t>
        </is>
      </c>
      <c r="O512" s="36">
        <f>IFERROR(INDEX('Mapping'!$F$2:$F$60,MATCH(B512,'Mapping'!$A$2:$A$60,0)),"")</f>
        <v/>
      </c>
    </row>
    <row r="513">
      <c r="A513" s="32" t="n">
        <v>45413</v>
      </c>
      <c r="B513" s="33" t="n">
        <v>4510</v>
      </c>
      <c r="C513" s="34" t="inlineStr">
        <is>
          <t>Verzekeringen</t>
        </is>
      </c>
      <c r="D513" s="34" t="inlineStr">
        <is>
          <t>Algemeen</t>
        </is>
      </c>
      <c r="E513" s="34" t="inlineStr">
        <is>
          <t>Algemeen</t>
        </is>
      </c>
      <c r="F513" s="34" t="inlineStr"/>
      <c r="G513" s="35" t="n">
        <v>1892</v>
      </c>
      <c r="H513" s="35" t="n">
        <v>0</v>
      </c>
      <c r="I513" s="35">
        <f>G513-H513</f>
        <v/>
      </c>
      <c r="J513" s="33" t="n">
        <v>2024</v>
      </c>
      <c r="K513" s="33" t="n">
        <v>5</v>
      </c>
      <c r="L513" s="34" t="inlineStr">
        <is>
          <t>Winst- en verliesrekening</t>
        </is>
      </c>
      <c r="M513" s="34" t="inlineStr">
        <is>
          <t>Algemene kosten</t>
        </is>
      </c>
      <c r="N513" s="34" t="inlineStr">
        <is>
          <t>Verzekering</t>
        </is>
      </c>
      <c r="O513" s="36">
        <f>IFERROR(INDEX('Mapping'!$F$2:$F$60,MATCH(B513,'Mapping'!$A$2:$A$60,0)),"")</f>
        <v/>
      </c>
    </row>
    <row r="514">
      <c r="A514" s="32" t="n">
        <v>45444</v>
      </c>
      <c r="B514" s="33" t="n">
        <v>4510</v>
      </c>
      <c r="C514" s="34" t="inlineStr">
        <is>
          <t>Verzekeringen</t>
        </is>
      </c>
      <c r="D514" s="34" t="inlineStr">
        <is>
          <t>Algemeen</t>
        </is>
      </c>
      <c r="E514" s="34" t="inlineStr">
        <is>
          <t>Algemeen</t>
        </is>
      </c>
      <c r="F514" s="34" t="inlineStr"/>
      <c r="G514" s="35" t="n">
        <v>1980</v>
      </c>
      <c r="H514" s="35" t="n">
        <v>0</v>
      </c>
      <c r="I514" s="35">
        <f>G514-H514</f>
        <v/>
      </c>
      <c r="J514" s="33" t="n">
        <v>2024</v>
      </c>
      <c r="K514" s="33" t="n">
        <v>6</v>
      </c>
      <c r="L514" s="34" t="inlineStr">
        <is>
          <t>Winst- en verliesrekening</t>
        </is>
      </c>
      <c r="M514" s="34" t="inlineStr">
        <is>
          <t>Algemene kosten</t>
        </is>
      </c>
      <c r="N514" s="34" t="inlineStr">
        <is>
          <t>Verzekering</t>
        </is>
      </c>
      <c r="O514" s="36">
        <f>IFERROR(INDEX('Mapping'!$F$2:$F$60,MATCH(B514,'Mapping'!$A$2:$A$60,0)),"")</f>
        <v/>
      </c>
    </row>
    <row r="515">
      <c r="A515" s="32" t="n">
        <v>45474</v>
      </c>
      <c r="B515" s="33" t="n">
        <v>4510</v>
      </c>
      <c r="C515" s="34" t="inlineStr">
        <is>
          <t>Verzekeringen</t>
        </is>
      </c>
      <c r="D515" s="34" t="inlineStr">
        <is>
          <t>Algemeen</t>
        </is>
      </c>
      <c r="E515" s="34" t="inlineStr">
        <is>
          <t>Algemeen</t>
        </is>
      </c>
      <c r="F515" s="34" t="inlineStr"/>
      <c r="G515" s="35" t="n">
        <v>1672</v>
      </c>
      <c r="H515" s="35" t="n">
        <v>0</v>
      </c>
      <c r="I515" s="35">
        <f>G515-H515</f>
        <v/>
      </c>
      <c r="J515" s="33" t="n">
        <v>2024</v>
      </c>
      <c r="K515" s="33" t="n">
        <v>7</v>
      </c>
      <c r="L515" s="34" t="inlineStr">
        <is>
          <t>Winst- en verliesrekening</t>
        </is>
      </c>
      <c r="M515" s="34" t="inlineStr">
        <is>
          <t>Algemene kosten</t>
        </is>
      </c>
      <c r="N515" s="34" t="inlineStr">
        <is>
          <t>Verzekering</t>
        </is>
      </c>
      <c r="O515" s="36">
        <f>IFERROR(INDEX('Mapping'!$F$2:$F$60,MATCH(B515,'Mapping'!$A$2:$A$60,0)),"")</f>
        <v/>
      </c>
    </row>
    <row r="516">
      <c r="A516" s="32" t="n">
        <v>45505</v>
      </c>
      <c r="B516" s="33" t="n">
        <v>4510</v>
      </c>
      <c r="C516" s="34" t="inlineStr">
        <is>
          <t>Verzekeringen</t>
        </is>
      </c>
      <c r="D516" s="34" t="inlineStr">
        <is>
          <t>Algemeen</t>
        </is>
      </c>
      <c r="E516" s="34" t="inlineStr">
        <is>
          <t>Algemeen</t>
        </is>
      </c>
      <c r="F516" s="34" t="inlineStr"/>
      <c r="G516" s="35" t="n">
        <v>1540</v>
      </c>
      <c r="H516" s="35" t="n">
        <v>0</v>
      </c>
      <c r="I516" s="35">
        <f>G516-H516</f>
        <v/>
      </c>
      <c r="J516" s="33" t="n">
        <v>2024</v>
      </c>
      <c r="K516" s="33" t="n">
        <v>8</v>
      </c>
      <c r="L516" s="34" t="inlineStr">
        <is>
          <t>Winst- en verliesrekening</t>
        </is>
      </c>
      <c r="M516" s="34" t="inlineStr">
        <is>
          <t>Algemene kosten</t>
        </is>
      </c>
      <c r="N516" s="34" t="inlineStr">
        <is>
          <t>Verzekering</t>
        </is>
      </c>
      <c r="O516" s="36">
        <f>IFERROR(INDEX('Mapping'!$F$2:$F$60,MATCH(B516,'Mapping'!$A$2:$A$60,0)),"")</f>
        <v/>
      </c>
    </row>
    <row r="517">
      <c r="A517" s="32" t="n">
        <v>45536</v>
      </c>
      <c r="B517" s="33" t="n">
        <v>4510</v>
      </c>
      <c r="C517" s="34" t="inlineStr">
        <is>
          <t>Verzekeringen</t>
        </is>
      </c>
      <c r="D517" s="34" t="inlineStr">
        <is>
          <t>Algemeen</t>
        </is>
      </c>
      <c r="E517" s="34" t="inlineStr">
        <is>
          <t>Algemeen</t>
        </is>
      </c>
      <c r="F517" s="34" t="inlineStr"/>
      <c r="G517" s="35" t="n">
        <v>1936</v>
      </c>
      <c r="H517" s="35" t="n">
        <v>0</v>
      </c>
      <c r="I517" s="35">
        <f>G517-H517</f>
        <v/>
      </c>
      <c r="J517" s="33" t="n">
        <v>2024</v>
      </c>
      <c r="K517" s="33" t="n">
        <v>9</v>
      </c>
      <c r="L517" s="34" t="inlineStr">
        <is>
          <t>Winst- en verliesrekening</t>
        </is>
      </c>
      <c r="M517" s="34" t="inlineStr">
        <is>
          <t>Algemene kosten</t>
        </is>
      </c>
      <c r="N517" s="34" t="inlineStr">
        <is>
          <t>Verzekering</t>
        </is>
      </c>
      <c r="O517" s="36">
        <f>IFERROR(INDEX('Mapping'!$F$2:$F$60,MATCH(B517,'Mapping'!$A$2:$A$60,0)),"")</f>
        <v/>
      </c>
    </row>
    <row r="518">
      <c r="A518" s="32" t="n">
        <v>45566</v>
      </c>
      <c r="B518" s="33" t="n">
        <v>4510</v>
      </c>
      <c r="C518" s="34" t="inlineStr">
        <is>
          <t>Verzekeringen</t>
        </is>
      </c>
      <c r="D518" s="34" t="inlineStr">
        <is>
          <t>Algemeen</t>
        </is>
      </c>
      <c r="E518" s="34" t="inlineStr">
        <is>
          <t>Algemeen</t>
        </is>
      </c>
      <c r="F518" s="34" t="inlineStr"/>
      <c r="G518" s="35" t="n">
        <v>1980</v>
      </c>
      <c r="H518" s="35" t="n">
        <v>0</v>
      </c>
      <c r="I518" s="35">
        <f>G518-H518</f>
        <v/>
      </c>
      <c r="J518" s="33" t="n">
        <v>2024</v>
      </c>
      <c r="K518" s="33" t="n">
        <v>10</v>
      </c>
      <c r="L518" s="34" t="inlineStr">
        <is>
          <t>Winst- en verliesrekening</t>
        </is>
      </c>
      <c r="M518" s="34" t="inlineStr">
        <is>
          <t>Algemene kosten</t>
        </is>
      </c>
      <c r="N518" s="34" t="inlineStr">
        <is>
          <t>Verzekering</t>
        </is>
      </c>
      <c r="O518" s="36">
        <f>IFERROR(INDEX('Mapping'!$F$2:$F$60,MATCH(B518,'Mapping'!$A$2:$A$60,0)),"")</f>
        <v/>
      </c>
    </row>
    <row r="519">
      <c r="A519" s="32" t="n">
        <v>45597</v>
      </c>
      <c r="B519" s="33" t="n">
        <v>4510</v>
      </c>
      <c r="C519" s="34" t="inlineStr">
        <is>
          <t>Verzekeringen</t>
        </is>
      </c>
      <c r="D519" s="34" t="inlineStr">
        <is>
          <t>Algemeen</t>
        </is>
      </c>
      <c r="E519" s="34" t="inlineStr">
        <is>
          <t>Algemeen</t>
        </is>
      </c>
      <c r="F519" s="34" t="inlineStr"/>
      <c r="G519" s="35" t="n">
        <v>1892</v>
      </c>
      <c r="H519" s="35" t="n">
        <v>0</v>
      </c>
      <c r="I519" s="35">
        <f>G519-H519</f>
        <v/>
      </c>
      <c r="J519" s="33" t="n">
        <v>2024</v>
      </c>
      <c r="K519" s="33" t="n">
        <v>11</v>
      </c>
      <c r="L519" s="34" t="inlineStr">
        <is>
          <t>Winst- en verliesrekening</t>
        </is>
      </c>
      <c r="M519" s="34" t="inlineStr">
        <is>
          <t>Algemene kosten</t>
        </is>
      </c>
      <c r="N519" s="34" t="inlineStr">
        <is>
          <t>Verzekering</t>
        </is>
      </c>
      <c r="O519" s="36">
        <f>IFERROR(INDEX('Mapping'!$F$2:$F$60,MATCH(B519,'Mapping'!$A$2:$A$60,0)),"")</f>
        <v/>
      </c>
    </row>
    <row r="520">
      <c r="A520" s="32" t="n">
        <v>45627</v>
      </c>
      <c r="B520" s="33" t="n">
        <v>4510</v>
      </c>
      <c r="C520" s="34" t="inlineStr">
        <is>
          <t>Verzekeringen</t>
        </is>
      </c>
      <c r="D520" s="34" t="inlineStr">
        <is>
          <t>Algemeen</t>
        </is>
      </c>
      <c r="E520" s="34" t="inlineStr">
        <is>
          <t>Algemeen</t>
        </is>
      </c>
      <c r="F520" s="34" t="inlineStr"/>
      <c r="G520" s="35" t="n">
        <v>2288</v>
      </c>
      <c r="H520" s="35" t="n">
        <v>0</v>
      </c>
      <c r="I520" s="35">
        <f>G520-H520</f>
        <v/>
      </c>
      <c r="J520" s="33" t="n">
        <v>2024</v>
      </c>
      <c r="K520" s="33" t="n">
        <v>12</v>
      </c>
      <c r="L520" s="34" t="inlineStr">
        <is>
          <t>Winst- en verliesrekening</t>
        </is>
      </c>
      <c r="M520" s="34" t="inlineStr">
        <is>
          <t>Algemene kosten</t>
        </is>
      </c>
      <c r="N520" s="34" t="inlineStr">
        <is>
          <t>Verzekering</t>
        </is>
      </c>
      <c r="O520" s="36">
        <f>IFERROR(INDEX('Mapping'!$F$2:$F$60,MATCH(B520,'Mapping'!$A$2:$A$60,0)),"")</f>
        <v/>
      </c>
    </row>
    <row r="521">
      <c r="A521" s="32" t="n">
        <v>45658</v>
      </c>
      <c r="B521" s="33" t="n">
        <v>4510</v>
      </c>
      <c r="C521" s="34" t="inlineStr">
        <is>
          <t>Verzekeringen</t>
        </is>
      </c>
      <c r="D521" s="34" t="inlineStr">
        <is>
          <t>Algemeen</t>
        </is>
      </c>
      <c r="E521" s="34" t="inlineStr">
        <is>
          <t>Algemeen</t>
        </is>
      </c>
      <c r="F521" s="34" t="inlineStr"/>
      <c r="G521" s="35" t="n">
        <v>1680</v>
      </c>
      <c r="H521" s="35" t="n">
        <v>0</v>
      </c>
      <c r="I521" s="35">
        <f>G521-H521</f>
        <v/>
      </c>
      <c r="J521" s="33" t="n">
        <v>2025</v>
      </c>
      <c r="K521" s="33" t="n">
        <v>1</v>
      </c>
      <c r="L521" s="34" t="inlineStr">
        <is>
          <t>Winst- en verliesrekening</t>
        </is>
      </c>
      <c r="M521" s="34" t="inlineStr">
        <is>
          <t>Algemene kosten</t>
        </is>
      </c>
      <c r="N521" s="34" t="inlineStr">
        <is>
          <t>Verzekering</t>
        </is>
      </c>
      <c r="O521" s="36">
        <f>IFERROR(INDEX('Mapping'!$F$2:$F$60,MATCH(B521,'Mapping'!$A$2:$A$60,0)),"")</f>
        <v/>
      </c>
    </row>
    <row r="522">
      <c r="A522" s="32" t="n">
        <v>45689</v>
      </c>
      <c r="B522" s="33" t="n">
        <v>4510</v>
      </c>
      <c r="C522" s="34" t="inlineStr">
        <is>
          <t>Verzekeringen</t>
        </is>
      </c>
      <c r="D522" s="34" t="inlineStr">
        <is>
          <t>Algemeen</t>
        </is>
      </c>
      <c r="E522" s="34" t="inlineStr">
        <is>
          <t>Algemeen</t>
        </is>
      </c>
      <c r="F522" s="34" t="inlineStr"/>
      <c r="G522" s="35" t="n">
        <v>1680</v>
      </c>
      <c r="H522" s="35" t="n">
        <v>0</v>
      </c>
      <c r="I522" s="35">
        <f>G522-H522</f>
        <v/>
      </c>
      <c r="J522" s="33" t="n">
        <v>2025</v>
      </c>
      <c r="K522" s="33" t="n">
        <v>2</v>
      </c>
      <c r="L522" s="34" t="inlineStr">
        <is>
          <t>Winst- en verliesrekening</t>
        </is>
      </c>
      <c r="M522" s="34" t="inlineStr">
        <is>
          <t>Algemene kosten</t>
        </is>
      </c>
      <c r="N522" s="34" t="inlineStr">
        <is>
          <t>Verzekering</t>
        </is>
      </c>
      <c r="O522" s="36">
        <f>IFERROR(INDEX('Mapping'!$F$2:$F$60,MATCH(B522,'Mapping'!$A$2:$A$60,0)),"")</f>
        <v/>
      </c>
    </row>
    <row r="523">
      <c r="A523" s="32" t="n">
        <v>45717</v>
      </c>
      <c r="B523" s="33" t="n">
        <v>4510</v>
      </c>
      <c r="C523" s="34" t="inlineStr">
        <is>
          <t>Verzekeringen</t>
        </is>
      </c>
      <c r="D523" s="34" t="inlineStr">
        <is>
          <t>Algemeen</t>
        </is>
      </c>
      <c r="E523" s="34" t="inlineStr">
        <is>
          <t>Algemeen</t>
        </is>
      </c>
      <c r="F523" s="34" t="inlineStr"/>
      <c r="G523" s="35" t="n">
        <v>2112</v>
      </c>
      <c r="H523" s="35" t="n">
        <v>0</v>
      </c>
      <c r="I523" s="35">
        <f>G523-H523</f>
        <v/>
      </c>
      <c r="J523" s="33" t="n">
        <v>2025</v>
      </c>
      <c r="K523" s="33" t="n">
        <v>3</v>
      </c>
      <c r="L523" s="34" t="inlineStr">
        <is>
          <t>Winst- en verliesrekening</t>
        </is>
      </c>
      <c r="M523" s="34" t="inlineStr">
        <is>
          <t>Algemene kosten</t>
        </is>
      </c>
      <c r="N523" s="34" t="inlineStr">
        <is>
          <t>Verzekering</t>
        </is>
      </c>
      <c r="O523" s="36">
        <f>IFERROR(INDEX('Mapping'!$F$2:$F$60,MATCH(B523,'Mapping'!$A$2:$A$60,0)),"")</f>
        <v/>
      </c>
    </row>
    <row r="524">
      <c r="A524" s="32" t="n">
        <v>45748</v>
      </c>
      <c r="B524" s="33" t="n">
        <v>4510</v>
      </c>
      <c r="C524" s="34" t="inlineStr">
        <is>
          <t>Verzekeringen</t>
        </is>
      </c>
      <c r="D524" s="34" t="inlineStr">
        <is>
          <t>Algemeen</t>
        </is>
      </c>
      <c r="E524" s="34" t="inlineStr">
        <is>
          <t>Algemeen</t>
        </is>
      </c>
      <c r="F524" s="34" t="inlineStr"/>
      <c r="G524" s="35" t="n">
        <v>1968</v>
      </c>
      <c r="H524" s="35" t="n">
        <v>0</v>
      </c>
      <c r="I524" s="35">
        <f>G524-H524</f>
        <v/>
      </c>
      <c r="J524" s="33" t="n">
        <v>2025</v>
      </c>
      <c r="K524" s="33" t="n">
        <v>4</v>
      </c>
      <c r="L524" s="34" t="inlineStr">
        <is>
          <t>Winst- en verliesrekening</t>
        </is>
      </c>
      <c r="M524" s="34" t="inlineStr">
        <is>
          <t>Algemene kosten</t>
        </is>
      </c>
      <c r="N524" s="34" t="inlineStr">
        <is>
          <t>Verzekering</t>
        </is>
      </c>
      <c r="O524" s="36">
        <f>IFERROR(INDEX('Mapping'!$F$2:$F$60,MATCH(B524,'Mapping'!$A$2:$A$60,0)),"")</f>
        <v/>
      </c>
    </row>
    <row r="525">
      <c r="A525" s="32" t="n">
        <v>45778</v>
      </c>
      <c r="B525" s="33" t="n">
        <v>4510</v>
      </c>
      <c r="C525" s="34" t="inlineStr">
        <is>
          <t>Verzekeringen</t>
        </is>
      </c>
      <c r="D525" s="34" t="inlineStr">
        <is>
          <t>Algemeen</t>
        </is>
      </c>
      <c r="E525" s="34" t="inlineStr">
        <is>
          <t>Algemeen</t>
        </is>
      </c>
      <c r="F525" s="34" t="inlineStr"/>
      <c r="G525" s="35" t="n">
        <v>2064</v>
      </c>
      <c r="H525" s="35" t="n">
        <v>0</v>
      </c>
      <c r="I525" s="35">
        <f>G525-H525</f>
        <v/>
      </c>
      <c r="J525" s="33" t="n">
        <v>2025</v>
      </c>
      <c r="K525" s="33" t="n">
        <v>5</v>
      </c>
      <c r="L525" s="34" t="inlineStr">
        <is>
          <t>Winst- en verliesrekening</t>
        </is>
      </c>
      <c r="M525" s="34" t="inlineStr">
        <is>
          <t>Algemene kosten</t>
        </is>
      </c>
      <c r="N525" s="34" t="inlineStr">
        <is>
          <t>Verzekering</t>
        </is>
      </c>
      <c r="O525" s="36">
        <f>IFERROR(INDEX('Mapping'!$F$2:$F$60,MATCH(B525,'Mapping'!$A$2:$A$60,0)),"")</f>
        <v/>
      </c>
    </row>
    <row r="526">
      <c r="A526" s="32" t="n">
        <v>45809</v>
      </c>
      <c r="B526" s="33" t="n">
        <v>4510</v>
      </c>
      <c r="C526" s="34" t="inlineStr">
        <is>
          <t>Verzekeringen</t>
        </is>
      </c>
      <c r="D526" s="34" t="inlineStr">
        <is>
          <t>Algemeen</t>
        </is>
      </c>
      <c r="E526" s="34" t="inlineStr">
        <is>
          <t>Algemeen</t>
        </is>
      </c>
      <c r="F526" s="34" t="inlineStr"/>
      <c r="G526" s="35" t="n">
        <v>2160</v>
      </c>
      <c r="H526" s="35" t="n">
        <v>0</v>
      </c>
      <c r="I526" s="35">
        <f>G526-H526</f>
        <v/>
      </c>
      <c r="J526" s="33" t="n">
        <v>2025</v>
      </c>
      <c r="K526" s="33" t="n">
        <v>6</v>
      </c>
      <c r="L526" s="34" t="inlineStr">
        <is>
          <t>Winst- en verliesrekening</t>
        </is>
      </c>
      <c r="M526" s="34" t="inlineStr">
        <is>
          <t>Algemene kosten</t>
        </is>
      </c>
      <c r="N526" s="34" t="inlineStr">
        <is>
          <t>Verzekering</t>
        </is>
      </c>
      <c r="O526" s="36">
        <f>IFERROR(INDEX('Mapping'!$F$2:$F$60,MATCH(B526,'Mapping'!$A$2:$A$60,0)),"")</f>
        <v/>
      </c>
    </row>
    <row r="527">
      <c r="A527" s="32" t="n">
        <v>45839</v>
      </c>
      <c r="B527" s="33" t="n">
        <v>4510</v>
      </c>
      <c r="C527" s="34" t="inlineStr">
        <is>
          <t>Verzekeringen</t>
        </is>
      </c>
      <c r="D527" s="34" t="inlineStr">
        <is>
          <t>Algemeen</t>
        </is>
      </c>
      <c r="E527" s="34" t="inlineStr">
        <is>
          <t>Algemeen</t>
        </is>
      </c>
      <c r="F527" s="34" t="inlineStr"/>
      <c r="G527" s="35" t="n">
        <v>1824</v>
      </c>
      <c r="H527" s="35" t="n">
        <v>0</v>
      </c>
      <c r="I527" s="35">
        <f>G527-H527</f>
        <v/>
      </c>
      <c r="J527" s="33" t="n">
        <v>2025</v>
      </c>
      <c r="K527" s="33" t="n">
        <v>7</v>
      </c>
      <c r="L527" s="34" t="inlineStr">
        <is>
          <t>Winst- en verliesrekening</t>
        </is>
      </c>
      <c r="M527" s="34" t="inlineStr">
        <is>
          <t>Algemene kosten</t>
        </is>
      </c>
      <c r="N527" s="34" t="inlineStr">
        <is>
          <t>Verzekering</t>
        </is>
      </c>
      <c r="O527" s="36">
        <f>IFERROR(INDEX('Mapping'!$F$2:$F$60,MATCH(B527,'Mapping'!$A$2:$A$60,0)),"")</f>
        <v/>
      </c>
    </row>
    <row r="528">
      <c r="A528" s="32" t="n">
        <v>45870</v>
      </c>
      <c r="B528" s="33" t="n">
        <v>4510</v>
      </c>
      <c r="C528" s="34" t="inlineStr">
        <is>
          <t>Verzekeringen</t>
        </is>
      </c>
      <c r="D528" s="34" t="inlineStr">
        <is>
          <t>Algemeen</t>
        </is>
      </c>
      <c r="E528" s="34" t="inlineStr">
        <is>
          <t>Algemeen</t>
        </is>
      </c>
      <c r="F528" s="34" t="inlineStr"/>
      <c r="G528" s="35" t="n">
        <v>1680</v>
      </c>
      <c r="H528" s="35" t="n">
        <v>0</v>
      </c>
      <c r="I528" s="35">
        <f>G528-H528</f>
        <v/>
      </c>
      <c r="J528" s="33" t="n">
        <v>2025</v>
      </c>
      <c r="K528" s="33" t="n">
        <v>8</v>
      </c>
      <c r="L528" s="34" t="inlineStr">
        <is>
          <t>Winst- en verliesrekening</t>
        </is>
      </c>
      <c r="M528" s="34" t="inlineStr">
        <is>
          <t>Algemene kosten</t>
        </is>
      </c>
      <c r="N528" s="34" t="inlineStr">
        <is>
          <t>Verzekering</t>
        </is>
      </c>
      <c r="O528" s="36">
        <f>IFERROR(INDEX('Mapping'!$F$2:$F$60,MATCH(B528,'Mapping'!$A$2:$A$60,0)),"")</f>
        <v/>
      </c>
    </row>
    <row r="529">
      <c r="A529" s="32" t="n">
        <v>45901</v>
      </c>
      <c r="B529" s="33" t="n">
        <v>4510</v>
      </c>
      <c r="C529" s="34" t="inlineStr">
        <is>
          <t>Verzekeringen</t>
        </is>
      </c>
      <c r="D529" s="34" t="inlineStr">
        <is>
          <t>Algemeen</t>
        </is>
      </c>
      <c r="E529" s="34" t="inlineStr">
        <is>
          <t>Algemeen</t>
        </is>
      </c>
      <c r="F529" s="34" t="inlineStr"/>
      <c r="G529" s="35" t="n">
        <v>2112</v>
      </c>
      <c r="H529" s="35" t="n">
        <v>0</v>
      </c>
      <c r="I529" s="35">
        <f>G529-H529</f>
        <v/>
      </c>
      <c r="J529" s="33" t="n">
        <v>2025</v>
      </c>
      <c r="K529" s="33" t="n">
        <v>9</v>
      </c>
      <c r="L529" s="34" t="inlineStr">
        <is>
          <t>Winst- en verliesrekening</t>
        </is>
      </c>
      <c r="M529" s="34" t="inlineStr">
        <is>
          <t>Algemene kosten</t>
        </is>
      </c>
      <c r="N529" s="34" t="inlineStr">
        <is>
          <t>Verzekering</t>
        </is>
      </c>
      <c r="O529" s="36">
        <f>IFERROR(INDEX('Mapping'!$F$2:$F$60,MATCH(B529,'Mapping'!$A$2:$A$60,0)),"")</f>
        <v/>
      </c>
    </row>
    <row r="530">
      <c r="A530" s="32" t="n">
        <v>45931</v>
      </c>
      <c r="B530" s="33" t="n">
        <v>4510</v>
      </c>
      <c r="C530" s="34" t="inlineStr">
        <is>
          <t>Verzekeringen</t>
        </is>
      </c>
      <c r="D530" s="34" t="inlineStr">
        <is>
          <t>Algemeen</t>
        </is>
      </c>
      <c r="E530" s="34" t="inlineStr">
        <is>
          <t>Algemeen</t>
        </is>
      </c>
      <c r="F530" s="34" t="inlineStr"/>
      <c r="G530" s="35" t="n">
        <v>2160</v>
      </c>
      <c r="H530" s="35" t="n">
        <v>0</v>
      </c>
      <c r="I530" s="35">
        <f>G530-H530</f>
        <v/>
      </c>
      <c r="J530" s="33" t="n">
        <v>2025</v>
      </c>
      <c r="K530" s="33" t="n">
        <v>10</v>
      </c>
      <c r="L530" s="34" t="inlineStr">
        <is>
          <t>Winst- en verliesrekening</t>
        </is>
      </c>
      <c r="M530" s="34" t="inlineStr">
        <is>
          <t>Algemene kosten</t>
        </is>
      </c>
      <c r="N530" s="34" t="inlineStr">
        <is>
          <t>Verzekering</t>
        </is>
      </c>
      <c r="O530" s="36">
        <f>IFERROR(INDEX('Mapping'!$F$2:$F$60,MATCH(B530,'Mapping'!$A$2:$A$60,0)),"")</f>
        <v/>
      </c>
    </row>
    <row r="531">
      <c r="A531" s="32" t="n">
        <v>45962</v>
      </c>
      <c r="B531" s="33" t="n">
        <v>4510</v>
      </c>
      <c r="C531" s="34" t="inlineStr">
        <is>
          <t>Verzekeringen</t>
        </is>
      </c>
      <c r="D531" s="34" t="inlineStr">
        <is>
          <t>Algemeen</t>
        </is>
      </c>
      <c r="E531" s="34" t="inlineStr">
        <is>
          <t>Algemeen</t>
        </is>
      </c>
      <c r="F531" s="34" t="inlineStr"/>
      <c r="G531" s="35" t="n">
        <v>2064</v>
      </c>
      <c r="H531" s="35" t="n">
        <v>0</v>
      </c>
      <c r="I531" s="35">
        <f>G531-H531</f>
        <v/>
      </c>
      <c r="J531" s="33" t="n">
        <v>2025</v>
      </c>
      <c r="K531" s="33" t="n">
        <v>11</v>
      </c>
      <c r="L531" s="34" t="inlineStr">
        <is>
          <t>Winst- en verliesrekening</t>
        </is>
      </c>
      <c r="M531" s="34" t="inlineStr">
        <is>
          <t>Algemene kosten</t>
        </is>
      </c>
      <c r="N531" s="34" t="inlineStr">
        <is>
          <t>Verzekering</t>
        </is>
      </c>
      <c r="O531" s="36">
        <f>IFERROR(INDEX('Mapping'!$F$2:$F$60,MATCH(B531,'Mapping'!$A$2:$A$60,0)),"")</f>
        <v/>
      </c>
    </row>
    <row r="532">
      <c r="A532" s="32" t="n">
        <v>45992</v>
      </c>
      <c r="B532" s="33" t="n">
        <v>4510</v>
      </c>
      <c r="C532" s="34" t="inlineStr">
        <is>
          <t>Verzekeringen</t>
        </is>
      </c>
      <c r="D532" s="34" t="inlineStr">
        <is>
          <t>Algemeen</t>
        </is>
      </c>
      <c r="E532" s="34" t="inlineStr">
        <is>
          <t>Algemeen</t>
        </is>
      </c>
      <c r="F532" s="34" t="inlineStr"/>
      <c r="G532" s="35" t="n">
        <v>2496</v>
      </c>
      <c r="H532" s="35" t="n">
        <v>0</v>
      </c>
      <c r="I532" s="35">
        <f>G532-H532</f>
        <v/>
      </c>
      <c r="J532" s="33" t="n">
        <v>2025</v>
      </c>
      <c r="K532" s="33" t="n">
        <v>12</v>
      </c>
      <c r="L532" s="34" t="inlineStr">
        <is>
          <t>Winst- en verliesrekening</t>
        </is>
      </c>
      <c r="M532" s="34" t="inlineStr">
        <is>
          <t>Algemene kosten</t>
        </is>
      </c>
      <c r="N532" s="34" t="inlineStr">
        <is>
          <t>Verzekering</t>
        </is>
      </c>
      <c r="O532" s="36">
        <f>IFERROR(INDEX('Mapping'!$F$2:$F$60,MATCH(B532,'Mapping'!$A$2:$A$60,0)),"")</f>
        <v/>
      </c>
    </row>
    <row r="533">
      <c r="A533" s="32" t="n">
        <v>45292</v>
      </c>
      <c r="B533" s="33" t="n">
        <v>4520</v>
      </c>
      <c r="C533" s="34" t="inlineStr">
        <is>
          <t>Overige algemene kosten</t>
        </is>
      </c>
      <c r="D533" s="34" t="inlineStr">
        <is>
          <t>Algemeen</t>
        </is>
      </c>
      <c r="E533" s="34" t="inlineStr">
        <is>
          <t>Algemeen</t>
        </is>
      </c>
      <c r="F533" s="34" t="inlineStr"/>
      <c r="G533" s="35" t="n">
        <v>1120</v>
      </c>
      <c r="H533" s="35" t="n">
        <v>0</v>
      </c>
      <c r="I533" s="35">
        <f>G533-H533</f>
        <v/>
      </c>
      <c r="J533" s="33" t="n">
        <v>2024</v>
      </c>
      <c r="K533" s="33" t="n">
        <v>1</v>
      </c>
      <c r="L533" s="34" t="inlineStr">
        <is>
          <t>Winst- en verliesrekening</t>
        </is>
      </c>
      <c r="M533" s="34" t="inlineStr">
        <is>
          <t>Algemene kosten</t>
        </is>
      </c>
      <c r="N533" s="34" t="inlineStr">
        <is>
          <t>Overig</t>
        </is>
      </c>
      <c r="O533" s="36">
        <f>IFERROR(INDEX('Mapping'!$F$2:$F$60,MATCH(B533,'Mapping'!$A$2:$A$60,0)),"")</f>
        <v/>
      </c>
    </row>
    <row r="534">
      <c r="A534" s="32" t="n">
        <v>45323</v>
      </c>
      <c r="B534" s="33" t="n">
        <v>4520</v>
      </c>
      <c r="C534" s="34" t="inlineStr">
        <is>
          <t>Overige algemene kosten</t>
        </is>
      </c>
      <c r="D534" s="34" t="inlineStr">
        <is>
          <t>Algemeen</t>
        </is>
      </c>
      <c r="E534" s="34" t="inlineStr">
        <is>
          <t>Algemeen</t>
        </is>
      </c>
      <c r="F534" s="34" t="inlineStr"/>
      <c r="G534" s="35" t="n">
        <v>1120</v>
      </c>
      <c r="H534" s="35" t="n">
        <v>0</v>
      </c>
      <c r="I534" s="35">
        <f>G534-H534</f>
        <v/>
      </c>
      <c r="J534" s="33" t="n">
        <v>2024</v>
      </c>
      <c r="K534" s="33" t="n">
        <v>2</v>
      </c>
      <c r="L534" s="34" t="inlineStr">
        <is>
          <t>Winst- en verliesrekening</t>
        </is>
      </c>
      <c r="M534" s="34" t="inlineStr">
        <is>
          <t>Algemene kosten</t>
        </is>
      </c>
      <c r="N534" s="34" t="inlineStr">
        <is>
          <t>Overig</t>
        </is>
      </c>
      <c r="O534" s="36">
        <f>IFERROR(INDEX('Mapping'!$F$2:$F$60,MATCH(B534,'Mapping'!$A$2:$A$60,0)),"")</f>
        <v/>
      </c>
    </row>
    <row r="535">
      <c r="A535" s="32" t="n">
        <v>45352</v>
      </c>
      <c r="B535" s="33" t="n">
        <v>4520</v>
      </c>
      <c r="C535" s="34" t="inlineStr">
        <is>
          <t>Overige algemene kosten</t>
        </is>
      </c>
      <c r="D535" s="34" t="inlineStr">
        <is>
          <t>Algemeen</t>
        </is>
      </c>
      <c r="E535" s="34" t="inlineStr">
        <is>
          <t>Algemeen</t>
        </is>
      </c>
      <c r="F535" s="34" t="inlineStr"/>
      <c r="G535" s="35" t="n">
        <v>1408</v>
      </c>
      <c r="H535" s="35" t="n">
        <v>0</v>
      </c>
      <c r="I535" s="35">
        <f>G535-H535</f>
        <v/>
      </c>
      <c r="J535" s="33" t="n">
        <v>2024</v>
      </c>
      <c r="K535" s="33" t="n">
        <v>3</v>
      </c>
      <c r="L535" s="34" t="inlineStr">
        <is>
          <t>Winst- en verliesrekening</t>
        </is>
      </c>
      <c r="M535" s="34" t="inlineStr">
        <is>
          <t>Algemene kosten</t>
        </is>
      </c>
      <c r="N535" s="34" t="inlineStr">
        <is>
          <t>Overig</t>
        </is>
      </c>
      <c r="O535" s="36">
        <f>IFERROR(INDEX('Mapping'!$F$2:$F$60,MATCH(B535,'Mapping'!$A$2:$A$60,0)),"")</f>
        <v/>
      </c>
    </row>
    <row r="536">
      <c r="A536" s="32" t="n">
        <v>45383</v>
      </c>
      <c r="B536" s="33" t="n">
        <v>4520</v>
      </c>
      <c r="C536" s="34" t="inlineStr">
        <is>
          <t>Overige algemene kosten</t>
        </is>
      </c>
      <c r="D536" s="34" t="inlineStr">
        <is>
          <t>Algemeen</t>
        </is>
      </c>
      <c r="E536" s="34" t="inlineStr">
        <is>
          <t>Algemeen</t>
        </is>
      </c>
      <c r="F536" s="34" t="inlineStr"/>
      <c r="G536" s="35" t="n">
        <v>1312</v>
      </c>
      <c r="H536" s="35" t="n">
        <v>0</v>
      </c>
      <c r="I536" s="35">
        <f>G536-H536</f>
        <v/>
      </c>
      <c r="J536" s="33" t="n">
        <v>2024</v>
      </c>
      <c r="K536" s="33" t="n">
        <v>4</v>
      </c>
      <c r="L536" s="34" t="inlineStr">
        <is>
          <t>Winst- en verliesrekening</t>
        </is>
      </c>
      <c r="M536" s="34" t="inlineStr">
        <is>
          <t>Algemene kosten</t>
        </is>
      </c>
      <c r="N536" s="34" t="inlineStr">
        <is>
          <t>Overig</t>
        </is>
      </c>
      <c r="O536" s="36">
        <f>IFERROR(INDEX('Mapping'!$F$2:$F$60,MATCH(B536,'Mapping'!$A$2:$A$60,0)),"")</f>
        <v/>
      </c>
    </row>
    <row r="537">
      <c r="A537" s="32" t="n">
        <v>45413</v>
      </c>
      <c r="B537" s="33" t="n">
        <v>4520</v>
      </c>
      <c r="C537" s="34" t="inlineStr">
        <is>
          <t>Overige algemene kosten</t>
        </is>
      </c>
      <c r="D537" s="34" t="inlineStr">
        <is>
          <t>Algemeen</t>
        </is>
      </c>
      <c r="E537" s="34" t="inlineStr">
        <is>
          <t>Algemeen</t>
        </is>
      </c>
      <c r="F537" s="34" t="inlineStr"/>
      <c r="G537" s="35" t="n">
        <v>1376</v>
      </c>
      <c r="H537" s="35" t="n">
        <v>0</v>
      </c>
      <c r="I537" s="35">
        <f>G537-H537</f>
        <v/>
      </c>
      <c r="J537" s="33" t="n">
        <v>2024</v>
      </c>
      <c r="K537" s="33" t="n">
        <v>5</v>
      </c>
      <c r="L537" s="34" t="inlineStr">
        <is>
          <t>Winst- en verliesrekening</t>
        </is>
      </c>
      <c r="M537" s="34" t="inlineStr">
        <is>
          <t>Algemene kosten</t>
        </is>
      </c>
      <c r="N537" s="34" t="inlineStr">
        <is>
          <t>Overig</t>
        </is>
      </c>
      <c r="O537" s="36">
        <f>IFERROR(INDEX('Mapping'!$F$2:$F$60,MATCH(B537,'Mapping'!$A$2:$A$60,0)),"")</f>
        <v/>
      </c>
    </row>
    <row r="538">
      <c r="A538" s="32" t="n">
        <v>45444</v>
      </c>
      <c r="B538" s="33" t="n">
        <v>4520</v>
      </c>
      <c r="C538" s="34" t="inlineStr">
        <is>
          <t>Overige algemene kosten</t>
        </is>
      </c>
      <c r="D538" s="34" t="inlineStr">
        <is>
          <t>Algemeen</t>
        </is>
      </c>
      <c r="E538" s="34" t="inlineStr">
        <is>
          <t>Algemeen</t>
        </is>
      </c>
      <c r="F538" s="34" t="inlineStr"/>
      <c r="G538" s="35" t="n">
        <v>1440</v>
      </c>
      <c r="H538" s="35" t="n">
        <v>0</v>
      </c>
      <c r="I538" s="35">
        <f>G538-H538</f>
        <v/>
      </c>
      <c r="J538" s="33" t="n">
        <v>2024</v>
      </c>
      <c r="K538" s="33" t="n">
        <v>6</v>
      </c>
      <c r="L538" s="34" t="inlineStr">
        <is>
          <t>Winst- en verliesrekening</t>
        </is>
      </c>
      <c r="M538" s="34" t="inlineStr">
        <is>
          <t>Algemene kosten</t>
        </is>
      </c>
      <c r="N538" s="34" t="inlineStr">
        <is>
          <t>Overig</t>
        </is>
      </c>
      <c r="O538" s="36">
        <f>IFERROR(INDEX('Mapping'!$F$2:$F$60,MATCH(B538,'Mapping'!$A$2:$A$60,0)),"")</f>
        <v/>
      </c>
    </row>
    <row r="539">
      <c r="A539" s="32" t="n">
        <v>45474</v>
      </c>
      <c r="B539" s="33" t="n">
        <v>4520</v>
      </c>
      <c r="C539" s="34" t="inlineStr">
        <is>
          <t>Overige algemene kosten</t>
        </is>
      </c>
      <c r="D539" s="34" t="inlineStr">
        <is>
          <t>Algemeen</t>
        </is>
      </c>
      <c r="E539" s="34" t="inlineStr">
        <is>
          <t>Algemeen</t>
        </is>
      </c>
      <c r="F539" s="34" t="inlineStr"/>
      <c r="G539" s="35" t="n">
        <v>1216</v>
      </c>
      <c r="H539" s="35" t="n">
        <v>0</v>
      </c>
      <c r="I539" s="35">
        <f>G539-H539</f>
        <v/>
      </c>
      <c r="J539" s="33" t="n">
        <v>2024</v>
      </c>
      <c r="K539" s="33" t="n">
        <v>7</v>
      </c>
      <c r="L539" s="34" t="inlineStr">
        <is>
          <t>Winst- en verliesrekening</t>
        </is>
      </c>
      <c r="M539" s="34" t="inlineStr">
        <is>
          <t>Algemene kosten</t>
        </is>
      </c>
      <c r="N539" s="34" t="inlineStr">
        <is>
          <t>Overig</t>
        </is>
      </c>
      <c r="O539" s="36">
        <f>IFERROR(INDEX('Mapping'!$F$2:$F$60,MATCH(B539,'Mapping'!$A$2:$A$60,0)),"")</f>
        <v/>
      </c>
    </row>
    <row r="540">
      <c r="A540" s="32" t="n">
        <v>45505</v>
      </c>
      <c r="B540" s="33" t="n">
        <v>4520</v>
      </c>
      <c r="C540" s="34" t="inlineStr">
        <is>
          <t>Overige algemene kosten</t>
        </is>
      </c>
      <c r="D540" s="34" t="inlineStr">
        <is>
          <t>Algemeen</t>
        </is>
      </c>
      <c r="E540" s="34" t="inlineStr">
        <is>
          <t>Algemeen</t>
        </is>
      </c>
      <c r="F540" s="34" t="inlineStr"/>
      <c r="G540" s="35" t="n">
        <v>1120</v>
      </c>
      <c r="H540" s="35" t="n">
        <v>0</v>
      </c>
      <c r="I540" s="35">
        <f>G540-H540</f>
        <v/>
      </c>
      <c r="J540" s="33" t="n">
        <v>2024</v>
      </c>
      <c r="K540" s="33" t="n">
        <v>8</v>
      </c>
      <c r="L540" s="34" t="inlineStr">
        <is>
          <t>Winst- en verliesrekening</t>
        </is>
      </c>
      <c r="M540" s="34" t="inlineStr">
        <is>
          <t>Algemene kosten</t>
        </is>
      </c>
      <c r="N540" s="34" t="inlineStr">
        <is>
          <t>Overig</t>
        </is>
      </c>
      <c r="O540" s="36">
        <f>IFERROR(INDEX('Mapping'!$F$2:$F$60,MATCH(B540,'Mapping'!$A$2:$A$60,0)),"")</f>
        <v/>
      </c>
    </row>
    <row r="541">
      <c r="A541" s="32" t="n">
        <v>45536</v>
      </c>
      <c r="B541" s="33" t="n">
        <v>4520</v>
      </c>
      <c r="C541" s="34" t="inlineStr">
        <is>
          <t>Overige algemene kosten</t>
        </is>
      </c>
      <c r="D541" s="34" t="inlineStr">
        <is>
          <t>Algemeen</t>
        </is>
      </c>
      <c r="E541" s="34" t="inlineStr">
        <is>
          <t>Algemeen</t>
        </is>
      </c>
      <c r="F541" s="34" t="inlineStr"/>
      <c r="G541" s="35" t="n">
        <v>1408</v>
      </c>
      <c r="H541" s="35" t="n">
        <v>0</v>
      </c>
      <c r="I541" s="35">
        <f>G541-H541</f>
        <v/>
      </c>
      <c r="J541" s="33" t="n">
        <v>2024</v>
      </c>
      <c r="K541" s="33" t="n">
        <v>9</v>
      </c>
      <c r="L541" s="34" t="inlineStr">
        <is>
          <t>Winst- en verliesrekening</t>
        </is>
      </c>
      <c r="M541" s="34" t="inlineStr">
        <is>
          <t>Algemene kosten</t>
        </is>
      </c>
      <c r="N541" s="34" t="inlineStr">
        <is>
          <t>Overig</t>
        </is>
      </c>
      <c r="O541" s="36">
        <f>IFERROR(INDEX('Mapping'!$F$2:$F$60,MATCH(B541,'Mapping'!$A$2:$A$60,0)),"")</f>
        <v/>
      </c>
    </row>
    <row r="542">
      <c r="A542" s="32" t="n">
        <v>45566</v>
      </c>
      <c r="B542" s="33" t="n">
        <v>4520</v>
      </c>
      <c r="C542" s="34" t="inlineStr">
        <is>
          <t>Overige algemene kosten</t>
        </is>
      </c>
      <c r="D542" s="34" t="inlineStr">
        <is>
          <t>Algemeen</t>
        </is>
      </c>
      <c r="E542" s="34" t="inlineStr">
        <is>
          <t>Algemeen</t>
        </is>
      </c>
      <c r="F542" s="34" t="inlineStr"/>
      <c r="G542" s="35" t="n">
        <v>1440</v>
      </c>
      <c r="H542" s="35" t="n">
        <v>0</v>
      </c>
      <c r="I542" s="35">
        <f>G542-H542</f>
        <v/>
      </c>
      <c r="J542" s="33" t="n">
        <v>2024</v>
      </c>
      <c r="K542" s="33" t="n">
        <v>10</v>
      </c>
      <c r="L542" s="34" t="inlineStr">
        <is>
          <t>Winst- en verliesrekening</t>
        </is>
      </c>
      <c r="M542" s="34" t="inlineStr">
        <is>
          <t>Algemene kosten</t>
        </is>
      </c>
      <c r="N542" s="34" t="inlineStr">
        <is>
          <t>Overig</t>
        </is>
      </c>
      <c r="O542" s="36">
        <f>IFERROR(INDEX('Mapping'!$F$2:$F$60,MATCH(B542,'Mapping'!$A$2:$A$60,0)),"")</f>
        <v/>
      </c>
    </row>
    <row r="543">
      <c r="A543" s="32" t="n">
        <v>45597</v>
      </c>
      <c r="B543" s="33" t="n">
        <v>4520</v>
      </c>
      <c r="C543" s="34" t="inlineStr">
        <is>
          <t>Overige algemene kosten</t>
        </is>
      </c>
      <c r="D543" s="34" t="inlineStr">
        <is>
          <t>Algemeen</t>
        </is>
      </c>
      <c r="E543" s="34" t="inlineStr">
        <is>
          <t>Algemeen</t>
        </is>
      </c>
      <c r="F543" s="34" t="inlineStr"/>
      <c r="G543" s="35" t="n">
        <v>1376</v>
      </c>
      <c r="H543" s="35" t="n">
        <v>0</v>
      </c>
      <c r="I543" s="35">
        <f>G543-H543</f>
        <v/>
      </c>
      <c r="J543" s="33" t="n">
        <v>2024</v>
      </c>
      <c r="K543" s="33" t="n">
        <v>11</v>
      </c>
      <c r="L543" s="34" t="inlineStr">
        <is>
          <t>Winst- en verliesrekening</t>
        </is>
      </c>
      <c r="M543" s="34" t="inlineStr">
        <is>
          <t>Algemene kosten</t>
        </is>
      </c>
      <c r="N543" s="34" t="inlineStr">
        <is>
          <t>Overig</t>
        </is>
      </c>
      <c r="O543" s="36">
        <f>IFERROR(INDEX('Mapping'!$F$2:$F$60,MATCH(B543,'Mapping'!$A$2:$A$60,0)),"")</f>
        <v/>
      </c>
    </row>
    <row r="544">
      <c r="A544" s="32" t="n">
        <v>45627</v>
      </c>
      <c r="B544" s="33" t="n">
        <v>4520</v>
      </c>
      <c r="C544" s="34" t="inlineStr">
        <is>
          <t>Overige algemene kosten</t>
        </is>
      </c>
      <c r="D544" s="34" t="inlineStr">
        <is>
          <t>Algemeen</t>
        </is>
      </c>
      <c r="E544" s="34" t="inlineStr">
        <is>
          <t>Algemeen</t>
        </is>
      </c>
      <c r="F544" s="34" t="inlineStr"/>
      <c r="G544" s="35" t="n">
        <v>1664</v>
      </c>
      <c r="H544" s="35" t="n">
        <v>0</v>
      </c>
      <c r="I544" s="35">
        <f>G544-H544</f>
        <v/>
      </c>
      <c r="J544" s="33" t="n">
        <v>2024</v>
      </c>
      <c r="K544" s="33" t="n">
        <v>12</v>
      </c>
      <c r="L544" s="34" t="inlineStr">
        <is>
          <t>Winst- en verliesrekening</t>
        </is>
      </c>
      <c r="M544" s="34" t="inlineStr">
        <is>
          <t>Algemene kosten</t>
        </is>
      </c>
      <c r="N544" s="34" t="inlineStr">
        <is>
          <t>Overig</t>
        </is>
      </c>
      <c r="O544" s="36">
        <f>IFERROR(INDEX('Mapping'!$F$2:$F$60,MATCH(B544,'Mapping'!$A$2:$A$60,0)),"")</f>
        <v/>
      </c>
    </row>
    <row r="545">
      <c r="A545" s="32" t="n">
        <v>45658</v>
      </c>
      <c r="B545" s="33" t="n">
        <v>4520</v>
      </c>
      <c r="C545" s="34" t="inlineStr">
        <is>
          <t>Overige algemene kosten</t>
        </is>
      </c>
      <c r="D545" s="34" t="inlineStr">
        <is>
          <t>Algemeen</t>
        </is>
      </c>
      <c r="E545" s="34" t="inlineStr">
        <is>
          <t>Algemeen</t>
        </is>
      </c>
      <c r="F545" s="34" t="inlineStr"/>
      <c r="G545" s="35" t="n">
        <v>1120</v>
      </c>
      <c r="H545" s="35" t="n">
        <v>0</v>
      </c>
      <c r="I545" s="35">
        <f>G545-H545</f>
        <v/>
      </c>
      <c r="J545" s="33" t="n">
        <v>2025</v>
      </c>
      <c r="K545" s="33" t="n">
        <v>1</v>
      </c>
      <c r="L545" s="34" t="inlineStr">
        <is>
          <t>Winst- en verliesrekening</t>
        </is>
      </c>
      <c r="M545" s="34" t="inlineStr">
        <is>
          <t>Algemene kosten</t>
        </is>
      </c>
      <c r="N545" s="34" t="inlineStr">
        <is>
          <t>Overig</t>
        </is>
      </c>
      <c r="O545" s="36">
        <f>IFERROR(INDEX('Mapping'!$F$2:$F$60,MATCH(B545,'Mapping'!$A$2:$A$60,0)),"")</f>
        <v/>
      </c>
    </row>
    <row r="546">
      <c r="A546" s="32" t="n">
        <v>45689</v>
      </c>
      <c r="B546" s="33" t="n">
        <v>4520</v>
      </c>
      <c r="C546" s="34" t="inlineStr">
        <is>
          <t>Overige algemene kosten</t>
        </is>
      </c>
      <c r="D546" s="34" t="inlineStr">
        <is>
          <t>Algemeen</t>
        </is>
      </c>
      <c r="E546" s="34" t="inlineStr">
        <is>
          <t>Algemeen</t>
        </is>
      </c>
      <c r="F546" s="34" t="inlineStr"/>
      <c r="G546" s="35" t="n">
        <v>1120</v>
      </c>
      <c r="H546" s="35" t="n">
        <v>0</v>
      </c>
      <c r="I546" s="35">
        <f>G546-H546</f>
        <v/>
      </c>
      <c r="J546" s="33" t="n">
        <v>2025</v>
      </c>
      <c r="K546" s="33" t="n">
        <v>2</v>
      </c>
      <c r="L546" s="34" t="inlineStr">
        <is>
          <t>Winst- en verliesrekening</t>
        </is>
      </c>
      <c r="M546" s="34" t="inlineStr">
        <is>
          <t>Algemene kosten</t>
        </is>
      </c>
      <c r="N546" s="34" t="inlineStr">
        <is>
          <t>Overig</t>
        </is>
      </c>
      <c r="O546" s="36">
        <f>IFERROR(INDEX('Mapping'!$F$2:$F$60,MATCH(B546,'Mapping'!$A$2:$A$60,0)),"")</f>
        <v/>
      </c>
    </row>
    <row r="547">
      <c r="A547" s="32" t="n">
        <v>45717</v>
      </c>
      <c r="B547" s="33" t="n">
        <v>4520</v>
      </c>
      <c r="C547" s="34" t="inlineStr">
        <is>
          <t>Overige algemene kosten</t>
        </is>
      </c>
      <c r="D547" s="34" t="inlineStr">
        <is>
          <t>Algemeen</t>
        </is>
      </c>
      <c r="E547" s="34" t="inlineStr">
        <is>
          <t>Algemeen</t>
        </is>
      </c>
      <c r="F547" s="34" t="inlineStr"/>
      <c r="G547" s="35" t="n">
        <v>1408</v>
      </c>
      <c r="H547" s="35" t="n">
        <v>0</v>
      </c>
      <c r="I547" s="35">
        <f>G547-H547</f>
        <v/>
      </c>
      <c r="J547" s="33" t="n">
        <v>2025</v>
      </c>
      <c r="K547" s="33" t="n">
        <v>3</v>
      </c>
      <c r="L547" s="34" t="inlineStr">
        <is>
          <t>Winst- en verliesrekening</t>
        </is>
      </c>
      <c r="M547" s="34" t="inlineStr">
        <is>
          <t>Algemene kosten</t>
        </is>
      </c>
      <c r="N547" s="34" t="inlineStr">
        <is>
          <t>Overig</t>
        </is>
      </c>
      <c r="O547" s="36">
        <f>IFERROR(INDEX('Mapping'!$F$2:$F$60,MATCH(B547,'Mapping'!$A$2:$A$60,0)),"")</f>
        <v/>
      </c>
    </row>
    <row r="548">
      <c r="A548" s="32" t="n">
        <v>45748</v>
      </c>
      <c r="B548" s="33" t="n">
        <v>4520</v>
      </c>
      <c r="C548" s="34" t="inlineStr">
        <is>
          <t>Overige algemene kosten</t>
        </is>
      </c>
      <c r="D548" s="34" t="inlineStr">
        <is>
          <t>Algemeen</t>
        </is>
      </c>
      <c r="E548" s="34" t="inlineStr">
        <is>
          <t>Algemeen</t>
        </is>
      </c>
      <c r="F548" s="34" t="inlineStr"/>
      <c r="G548" s="35" t="n">
        <v>1312</v>
      </c>
      <c r="H548" s="35" t="n">
        <v>0</v>
      </c>
      <c r="I548" s="35">
        <f>G548-H548</f>
        <v/>
      </c>
      <c r="J548" s="33" t="n">
        <v>2025</v>
      </c>
      <c r="K548" s="33" t="n">
        <v>4</v>
      </c>
      <c r="L548" s="34" t="inlineStr">
        <is>
          <t>Winst- en verliesrekening</t>
        </is>
      </c>
      <c r="M548" s="34" t="inlineStr">
        <is>
          <t>Algemene kosten</t>
        </is>
      </c>
      <c r="N548" s="34" t="inlineStr">
        <is>
          <t>Overig</t>
        </is>
      </c>
      <c r="O548" s="36">
        <f>IFERROR(INDEX('Mapping'!$F$2:$F$60,MATCH(B548,'Mapping'!$A$2:$A$60,0)),"")</f>
        <v/>
      </c>
    </row>
    <row r="549">
      <c r="A549" s="32" t="n">
        <v>45778</v>
      </c>
      <c r="B549" s="33" t="n">
        <v>4520</v>
      </c>
      <c r="C549" s="34" t="inlineStr">
        <is>
          <t>Overige algemene kosten</t>
        </is>
      </c>
      <c r="D549" s="34" t="inlineStr">
        <is>
          <t>Algemeen</t>
        </is>
      </c>
      <c r="E549" s="34" t="inlineStr">
        <is>
          <t>Algemeen</t>
        </is>
      </c>
      <c r="F549" s="34" t="inlineStr"/>
      <c r="G549" s="35" t="n">
        <v>1376</v>
      </c>
      <c r="H549" s="35" t="n">
        <v>0</v>
      </c>
      <c r="I549" s="35">
        <f>G549-H549</f>
        <v/>
      </c>
      <c r="J549" s="33" t="n">
        <v>2025</v>
      </c>
      <c r="K549" s="33" t="n">
        <v>5</v>
      </c>
      <c r="L549" s="34" t="inlineStr">
        <is>
          <t>Winst- en verliesrekening</t>
        </is>
      </c>
      <c r="M549" s="34" t="inlineStr">
        <is>
          <t>Algemene kosten</t>
        </is>
      </c>
      <c r="N549" s="34" t="inlineStr">
        <is>
          <t>Overig</t>
        </is>
      </c>
      <c r="O549" s="36">
        <f>IFERROR(INDEX('Mapping'!$F$2:$F$60,MATCH(B549,'Mapping'!$A$2:$A$60,0)),"")</f>
        <v/>
      </c>
    </row>
    <row r="550">
      <c r="A550" s="32" t="n">
        <v>45809</v>
      </c>
      <c r="B550" s="33" t="n">
        <v>4520</v>
      </c>
      <c r="C550" s="34" t="inlineStr">
        <is>
          <t>Overige algemene kosten</t>
        </is>
      </c>
      <c r="D550" s="34" t="inlineStr">
        <is>
          <t>Algemeen</t>
        </is>
      </c>
      <c r="E550" s="34" t="inlineStr">
        <is>
          <t>Algemeen</t>
        </is>
      </c>
      <c r="F550" s="34" t="inlineStr"/>
      <c r="G550" s="35" t="n">
        <v>1440</v>
      </c>
      <c r="H550" s="35" t="n">
        <v>0</v>
      </c>
      <c r="I550" s="35">
        <f>G550-H550</f>
        <v/>
      </c>
      <c r="J550" s="33" t="n">
        <v>2025</v>
      </c>
      <c r="K550" s="33" t="n">
        <v>6</v>
      </c>
      <c r="L550" s="34" t="inlineStr">
        <is>
          <t>Winst- en verliesrekening</t>
        </is>
      </c>
      <c r="M550" s="34" t="inlineStr">
        <is>
          <t>Algemene kosten</t>
        </is>
      </c>
      <c r="N550" s="34" t="inlineStr">
        <is>
          <t>Overig</t>
        </is>
      </c>
      <c r="O550" s="36">
        <f>IFERROR(INDEX('Mapping'!$F$2:$F$60,MATCH(B550,'Mapping'!$A$2:$A$60,0)),"")</f>
        <v/>
      </c>
    </row>
    <row r="551">
      <c r="A551" s="32" t="n">
        <v>45839</v>
      </c>
      <c r="B551" s="33" t="n">
        <v>4520</v>
      </c>
      <c r="C551" s="34" t="inlineStr">
        <is>
          <t>Overige algemene kosten</t>
        </is>
      </c>
      <c r="D551" s="34" t="inlineStr">
        <is>
          <t>Algemeen</t>
        </is>
      </c>
      <c r="E551" s="34" t="inlineStr">
        <is>
          <t>Algemeen</t>
        </is>
      </c>
      <c r="F551" s="34" t="inlineStr"/>
      <c r="G551" s="35" t="n">
        <v>1216</v>
      </c>
      <c r="H551" s="35" t="n">
        <v>0</v>
      </c>
      <c r="I551" s="35">
        <f>G551-H551</f>
        <v/>
      </c>
      <c r="J551" s="33" t="n">
        <v>2025</v>
      </c>
      <c r="K551" s="33" t="n">
        <v>7</v>
      </c>
      <c r="L551" s="34" t="inlineStr">
        <is>
          <t>Winst- en verliesrekening</t>
        </is>
      </c>
      <c r="M551" s="34" t="inlineStr">
        <is>
          <t>Algemene kosten</t>
        </is>
      </c>
      <c r="N551" s="34" t="inlineStr">
        <is>
          <t>Overig</t>
        </is>
      </c>
      <c r="O551" s="36">
        <f>IFERROR(INDEX('Mapping'!$F$2:$F$60,MATCH(B551,'Mapping'!$A$2:$A$60,0)),"")</f>
        <v/>
      </c>
    </row>
    <row r="552">
      <c r="A552" s="32" t="n">
        <v>45870</v>
      </c>
      <c r="B552" s="33" t="n">
        <v>4520</v>
      </c>
      <c r="C552" s="34" t="inlineStr">
        <is>
          <t>Overige algemene kosten</t>
        </is>
      </c>
      <c r="D552" s="34" t="inlineStr">
        <is>
          <t>Algemeen</t>
        </is>
      </c>
      <c r="E552" s="34" t="inlineStr">
        <is>
          <t>Algemeen</t>
        </is>
      </c>
      <c r="F552" s="34" t="inlineStr"/>
      <c r="G552" s="35" t="n">
        <v>1120</v>
      </c>
      <c r="H552" s="35" t="n">
        <v>0</v>
      </c>
      <c r="I552" s="35">
        <f>G552-H552</f>
        <v/>
      </c>
      <c r="J552" s="33" t="n">
        <v>2025</v>
      </c>
      <c r="K552" s="33" t="n">
        <v>8</v>
      </c>
      <c r="L552" s="34" t="inlineStr">
        <is>
          <t>Winst- en verliesrekening</t>
        </is>
      </c>
      <c r="M552" s="34" t="inlineStr">
        <is>
          <t>Algemene kosten</t>
        </is>
      </c>
      <c r="N552" s="34" t="inlineStr">
        <is>
          <t>Overig</t>
        </is>
      </c>
      <c r="O552" s="36">
        <f>IFERROR(INDEX('Mapping'!$F$2:$F$60,MATCH(B552,'Mapping'!$A$2:$A$60,0)),"")</f>
        <v/>
      </c>
    </row>
    <row r="553">
      <c r="A553" s="32" t="n">
        <v>45901</v>
      </c>
      <c r="B553" s="33" t="n">
        <v>4520</v>
      </c>
      <c r="C553" s="34" t="inlineStr">
        <is>
          <t>Overige algemene kosten</t>
        </is>
      </c>
      <c r="D553" s="34" t="inlineStr">
        <is>
          <t>Algemeen</t>
        </is>
      </c>
      <c r="E553" s="34" t="inlineStr">
        <is>
          <t>Algemeen</t>
        </is>
      </c>
      <c r="F553" s="34" t="inlineStr"/>
      <c r="G553" s="35" t="n">
        <v>1408</v>
      </c>
      <c r="H553" s="35" t="n">
        <v>0</v>
      </c>
      <c r="I553" s="35">
        <f>G553-H553</f>
        <v/>
      </c>
      <c r="J553" s="33" t="n">
        <v>2025</v>
      </c>
      <c r="K553" s="33" t="n">
        <v>9</v>
      </c>
      <c r="L553" s="34" t="inlineStr">
        <is>
          <t>Winst- en verliesrekening</t>
        </is>
      </c>
      <c r="M553" s="34" t="inlineStr">
        <is>
          <t>Algemene kosten</t>
        </is>
      </c>
      <c r="N553" s="34" t="inlineStr">
        <is>
          <t>Overig</t>
        </is>
      </c>
      <c r="O553" s="36">
        <f>IFERROR(INDEX('Mapping'!$F$2:$F$60,MATCH(B553,'Mapping'!$A$2:$A$60,0)),"")</f>
        <v/>
      </c>
    </row>
    <row r="554">
      <c r="A554" s="32" t="n">
        <v>45931</v>
      </c>
      <c r="B554" s="33" t="n">
        <v>4520</v>
      </c>
      <c r="C554" s="34" t="inlineStr">
        <is>
          <t>Overige algemene kosten</t>
        </is>
      </c>
      <c r="D554" s="34" t="inlineStr">
        <is>
          <t>Algemeen</t>
        </is>
      </c>
      <c r="E554" s="34" t="inlineStr">
        <is>
          <t>Algemeen</t>
        </is>
      </c>
      <c r="F554" s="34" t="inlineStr"/>
      <c r="G554" s="35" t="n">
        <v>1440</v>
      </c>
      <c r="H554" s="35" t="n">
        <v>0</v>
      </c>
      <c r="I554" s="35">
        <f>G554-H554</f>
        <v/>
      </c>
      <c r="J554" s="33" t="n">
        <v>2025</v>
      </c>
      <c r="K554" s="33" t="n">
        <v>10</v>
      </c>
      <c r="L554" s="34" t="inlineStr">
        <is>
          <t>Winst- en verliesrekening</t>
        </is>
      </c>
      <c r="M554" s="34" t="inlineStr">
        <is>
          <t>Algemene kosten</t>
        </is>
      </c>
      <c r="N554" s="34" t="inlineStr">
        <is>
          <t>Overig</t>
        </is>
      </c>
      <c r="O554" s="36">
        <f>IFERROR(INDEX('Mapping'!$F$2:$F$60,MATCH(B554,'Mapping'!$A$2:$A$60,0)),"")</f>
        <v/>
      </c>
    </row>
    <row r="555">
      <c r="A555" s="32" t="n">
        <v>45962</v>
      </c>
      <c r="B555" s="33" t="n">
        <v>4520</v>
      </c>
      <c r="C555" s="34" t="inlineStr">
        <is>
          <t>Overige algemene kosten</t>
        </is>
      </c>
      <c r="D555" s="34" t="inlineStr">
        <is>
          <t>Algemeen</t>
        </is>
      </c>
      <c r="E555" s="34" t="inlineStr">
        <is>
          <t>Algemeen</t>
        </is>
      </c>
      <c r="F555" s="34" t="inlineStr"/>
      <c r="G555" s="35" t="n">
        <v>1376</v>
      </c>
      <c r="H555" s="35" t="n">
        <v>0</v>
      </c>
      <c r="I555" s="35">
        <f>G555-H555</f>
        <v/>
      </c>
      <c r="J555" s="33" t="n">
        <v>2025</v>
      </c>
      <c r="K555" s="33" t="n">
        <v>11</v>
      </c>
      <c r="L555" s="34" t="inlineStr">
        <is>
          <t>Winst- en verliesrekening</t>
        </is>
      </c>
      <c r="M555" s="34" t="inlineStr">
        <is>
          <t>Algemene kosten</t>
        </is>
      </c>
      <c r="N555" s="34" t="inlineStr">
        <is>
          <t>Overig</t>
        </is>
      </c>
      <c r="O555" s="36">
        <f>IFERROR(INDEX('Mapping'!$F$2:$F$60,MATCH(B555,'Mapping'!$A$2:$A$60,0)),"")</f>
        <v/>
      </c>
    </row>
    <row r="556">
      <c r="A556" s="32" t="n">
        <v>45992</v>
      </c>
      <c r="B556" s="33" t="n">
        <v>4520</v>
      </c>
      <c r="C556" s="34" t="inlineStr">
        <is>
          <t>Overige algemene kosten</t>
        </is>
      </c>
      <c r="D556" s="34" t="inlineStr">
        <is>
          <t>Algemeen</t>
        </is>
      </c>
      <c r="E556" s="34" t="inlineStr">
        <is>
          <t>Algemeen</t>
        </is>
      </c>
      <c r="F556" s="34" t="inlineStr"/>
      <c r="G556" s="35" t="n">
        <v>1664</v>
      </c>
      <c r="H556" s="35" t="n">
        <v>0</v>
      </c>
      <c r="I556" s="35">
        <f>G556-H556</f>
        <v/>
      </c>
      <c r="J556" s="33" t="n">
        <v>2025</v>
      </c>
      <c r="K556" s="33" t="n">
        <v>12</v>
      </c>
      <c r="L556" s="34" t="inlineStr">
        <is>
          <t>Winst- en verliesrekening</t>
        </is>
      </c>
      <c r="M556" s="34" t="inlineStr">
        <is>
          <t>Algemene kosten</t>
        </is>
      </c>
      <c r="N556" s="34" t="inlineStr">
        <is>
          <t>Overig</t>
        </is>
      </c>
      <c r="O556" s="36">
        <f>IFERROR(INDEX('Mapping'!$F$2:$F$60,MATCH(B556,'Mapping'!$A$2:$A$60,0)),"")</f>
        <v/>
      </c>
    </row>
    <row r="557">
      <c r="A557" s="32" t="n">
        <v>45292</v>
      </c>
      <c r="B557" s="33" t="n">
        <v>4600</v>
      </c>
      <c r="C557" s="34" t="inlineStr">
        <is>
          <t>Afschrijving inventaris</t>
        </is>
      </c>
      <c r="D557" s="34" t="inlineStr">
        <is>
          <t>Overhead</t>
        </is>
      </c>
      <c r="E557" s="34" t="inlineStr">
        <is>
          <t>Algemeen</t>
        </is>
      </c>
      <c r="F557" s="34" t="inlineStr"/>
      <c r="G557" s="35" t="n">
        <v>2940</v>
      </c>
      <c r="H557" s="35" t="n">
        <v>0</v>
      </c>
      <c r="I557" s="35">
        <f>G557-H557</f>
        <v/>
      </c>
      <c r="J557" s="33" t="n">
        <v>2024</v>
      </c>
      <c r="K557" s="33" t="n">
        <v>1</v>
      </c>
      <c r="L557" s="34" t="inlineStr">
        <is>
          <t>Winst- en verliesrekening</t>
        </is>
      </c>
      <c r="M557" s="34" t="inlineStr">
        <is>
          <t>Afschrijvingen</t>
        </is>
      </c>
      <c r="N557" s="34" t="inlineStr">
        <is>
          <t>Afschr. inventaris</t>
        </is>
      </c>
      <c r="O557" s="36">
        <f>IFERROR(INDEX('Mapping'!$F$2:$F$60,MATCH(B557,'Mapping'!$A$2:$A$60,0)),"")</f>
        <v/>
      </c>
    </row>
    <row r="558">
      <c r="A558" s="32" t="n">
        <v>45323</v>
      </c>
      <c r="B558" s="33" t="n">
        <v>4600</v>
      </c>
      <c r="C558" s="34" t="inlineStr">
        <is>
          <t>Afschrijving inventaris</t>
        </is>
      </c>
      <c r="D558" s="34" t="inlineStr">
        <is>
          <t>Overhead</t>
        </is>
      </c>
      <c r="E558" s="34" t="inlineStr">
        <is>
          <t>Algemeen</t>
        </is>
      </c>
      <c r="F558" s="34" t="inlineStr"/>
      <c r="G558" s="35" t="n">
        <v>2940</v>
      </c>
      <c r="H558" s="35" t="n">
        <v>0</v>
      </c>
      <c r="I558" s="35">
        <f>G558-H558</f>
        <v/>
      </c>
      <c r="J558" s="33" t="n">
        <v>2024</v>
      </c>
      <c r="K558" s="33" t="n">
        <v>2</v>
      </c>
      <c r="L558" s="34" t="inlineStr">
        <is>
          <t>Winst- en verliesrekening</t>
        </is>
      </c>
      <c r="M558" s="34" t="inlineStr">
        <is>
          <t>Afschrijvingen</t>
        </is>
      </c>
      <c r="N558" s="34" t="inlineStr">
        <is>
          <t>Afschr. inventaris</t>
        </is>
      </c>
      <c r="O558" s="36">
        <f>IFERROR(INDEX('Mapping'!$F$2:$F$60,MATCH(B558,'Mapping'!$A$2:$A$60,0)),"")</f>
        <v/>
      </c>
    </row>
    <row r="559">
      <c r="A559" s="32" t="n">
        <v>45352</v>
      </c>
      <c r="B559" s="33" t="n">
        <v>4600</v>
      </c>
      <c r="C559" s="34" t="inlineStr">
        <is>
          <t>Afschrijving inventaris</t>
        </is>
      </c>
      <c r="D559" s="34" t="inlineStr">
        <is>
          <t>Overhead</t>
        </is>
      </c>
      <c r="E559" s="34" t="inlineStr">
        <is>
          <t>Algemeen</t>
        </is>
      </c>
      <c r="F559" s="34" t="inlineStr"/>
      <c r="G559" s="35" t="n">
        <v>3696</v>
      </c>
      <c r="H559" s="35" t="n">
        <v>0</v>
      </c>
      <c r="I559" s="35">
        <f>G559-H559</f>
        <v/>
      </c>
      <c r="J559" s="33" t="n">
        <v>2024</v>
      </c>
      <c r="K559" s="33" t="n">
        <v>3</v>
      </c>
      <c r="L559" s="34" t="inlineStr">
        <is>
          <t>Winst- en verliesrekening</t>
        </is>
      </c>
      <c r="M559" s="34" t="inlineStr">
        <is>
          <t>Afschrijvingen</t>
        </is>
      </c>
      <c r="N559" s="34" t="inlineStr">
        <is>
          <t>Afschr. inventaris</t>
        </is>
      </c>
      <c r="O559" s="36">
        <f>IFERROR(INDEX('Mapping'!$F$2:$F$60,MATCH(B559,'Mapping'!$A$2:$A$60,0)),"")</f>
        <v/>
      </c>
    </row>
    <row r="560">
      <c r="A560" s="32" t="n">
        <v>45383</v>
      </c>
      <c r="B560" s="33" t="n">
        <v>4600</v>
      </c>
      <c r="C560" s="34" t="inlineStr">
        <is>
          <t>Afschrijving inventaris</t>
        </is>
      </c>
      <c r="D560" s="34" t="inlineStr">
        <is>
          <t>Overhead</t>
        </is>
      </c>
      <c r="E560" s="34" t="inlineStr">
        <is>
          <t>Algemeen</t>
        </is>
      </c>
      <c r="F560" s="34" t="inlineStr"/>
      <c r="G560" s="35" t="n">
        <v>3444</v>
      </c>
      <c r="H560" s="35" t="n">
        <v>0</v>
      </c>
      <c r="I560" s="35">
        <f>G560-H560</f>
        <v/>
      </c>
      <c r="J560" s="33" t="n">
        <v>2024</v>
      </c>
      <c r="K560" s="33" t="n">
        <v>4</v>
      </c>
      <c r="L560" s="34" t="inlineStr">
        <is>
          <t>Winst- en verliesrekening</t>
        </is>
      </c>
      <c r="M560" s="34" t="inlineStr">
        <is>
          <t>Afschrijvingen</t>
        </is>
      </c>
      <c r="N560" s="34" t="inlineStr">
        <is>
          <t>Afschr. inventaris</t>
        </is>
      </c>
      <c r="O560" s="36">
        <f>IFERROR(INDEX('Mapping'!$F$2:$F$60,MATCH(B560,'Mapping'!$A$2:$A$60,0)),"")</f>
        <v/>
      </c>
    </row>
    <row r="561">
      <c r="A561" s="32" t="n">
        <v>45413</v>
      </c>
      <c r="B561" s="33" t="n">
        <v>4600</v>
      </c>
      <c r="C561" s="34" t="inlineStr">
        <is>
          <t>Afschrijving inventaris</t>
        </is>
      </c>
      <c r="D561" s="34" t="inlineStr">
        <is>
          <t>Overhead</t>
        </is>
      </c>
      <c r="E561" s="34" t="inlineStr">
        <is>
          <t>Algemeen</t>
        </is>
      </c>
      <c r="F561" s="34" t="inlineStr"/>
      <c r="G561" s="35" t="n">
        <v>3612</v>
      </c>
      <c r="H561" s="35" t="n">
        <v>0</v>
      </c>
      <c r="I561" s="35">
        <f>G561-H561</f>
        <v/>
      </c>
      <c r="J561" s="33" t="n">
        <v>2024</v>
      </c>
      <c r="K561" s="33" t="n">
        <v>5</v>
      </c>
      <c r="L561" s="34" t="inlineStr">
        <is>
          <t>Winst- en verliesrekening</t>
        </is>
      </c>
      <c r="M561" s="34" t="inlineStr">
        <is>
          <t>Afschrijvingen</t>
        </is>
      </c>
      <c r="N561" s="34" t="inlineStr">
        <is>
          <t>Afschr. inventaris</t>
        </is>
      </c>
      <c r="O561" s="36">
        <f>IFERROR(INDEX('Mapping'!$F$2:$F$60,MATCH(B561,'Mapping'!$A$2:$A$60,0)),"")</f>
        <v/>
      </c>
    </row>
    <row r="562">
      <c r="A562" s="32" t="n">
        <v>45444</v>
      </c>
      <c r="B562" s="33" t="n">
        <v>4600</v>
      </c>
      <c r="C562" s="34" t="inlineStr">
        <is>
          <t>Afschrijving inventaris</t>
        </is>
      </c>
      <c r="D562" s="34" t="inlineStr">
        <is>
          <t>Overhead</t>
        </is>
      </c>
      <c r="E562" s="34" t="inlineStr">
        <is>
          <t>Algemeen</t>
        </is>
      </c>
      <c r="F562" s="34" t="inlineStr"/>
      <c r="G562" s="35" t="n">
        <v>3780</v>
      </c>
      <c r="H562" s="35" t="n">
        <v>0</v>
      </c>
      <c r="I562" s="35">
        <f>G562-H562</f>
        <v/>
      </c>
      <c r="J562" s="33" t="n">
        <v>2024</v>
      </c>
      <c r="K562" s="33" t="n">
        <v>6</v>
      </c>
      <c r="L562" s="34" t="inlineStr">
        <is>
          <t>Winst- en verliesrekening</t>
        </is>
      </c>
      <c r="M562" s="34" t="inlineStr">
        <is>
          <t>Afschrijvingen</t>
        </is>
      </c>
      <c r="N562" s="34" t="inlineStr">
        <is>
          <t>Afschr. inventaris</t>
        </is>
      </c>
      <c r="O562" s="36">
        <f>IFERROR(INDEX('Mapping'!$F$2:$F$60,MATCH(B562,'Mapping'!$A$2:$A$60,0)),"")</f>
        <v/>
      </c>
    </row>
    <row r="563">
      <c r="A563" s="32" t="n">
        <v>45474</v>
      </c>
      <c r="B563" s="33" t="n">
        <v>4600</v>
      </c>
      <c r="C563" s="34" t="inlineStr">
        <is>
          <t>Afschrijving inventaris</t>
        </is>
      </c>
      <c r="D563" s="34" t="inlineStr">
        <is>
          <t>Overhead</t>
        </is>
      </c>
      <c r="E563" s="34" t="inlineStr">
        <is>
          <t>Algemeen</t>
        </is>
      </c>
      <c r="F563" s="34" t="inlineStr"/>
      <c r="G563" s="35" t="n">
        <v>3192</v>
      </c>
      <c r="H563" s="35" t="n">
        <v>0</v>
      </c>
      <c r="I563" s="35">
        <f>G563-H563</f>
        <v/>
      </c>
      <c r="J563" s="33" t="n">
        <v>2024</v>
      </c>
      <c r="K563" s="33" t="n">
        <v>7</v>
      </c>
      <c r="L563" s="34" t="inlineStr">
        <is>
          <t>Winst- en verliesrekening</t>
        </is>
      </c>
      <c r="M563" s="34" t="inlineStr">
        <is>
          <t>Afschrijvingen</t>
        </is>
      </c>
      <c r="N563" s="34" t="inlineStr">
        <is>
          <t>Afschr. inventaris</t>
        </is>
      </c>
      <c r="O563" s="36">
        <f>IFERROR(INDEX('Mapping'!$F$2:$F$60,MATCH(B563,'Mapping'!$A$2:$A$60,0)),"")</f>
        <v/>
      </c>
    </row>
    <row r="564">
      <c r="A564" s="32" t="n">
        <v>45505</v>
      </c>
      <c r="B564" s="33" t="n">
        <v>4600</v>
      </c>
      <c r="C564" s="34" t="inlineStr">
        <is>
          <t>Afschrijving inventaris</t>
        </is>
      </c>
      <c r="D564" s="34" t="inlineStr">
        <is>
          <t>Overhead</t>
        </is>
      </c>
      <c r="E564" s="34" t="inlineStr">
        <is>
          <t>Algemeen</t>
        </is>
      </c>
      <c r="F564" s="34" t="inlineStr"/>
      <c r="G564" s="35" t="n">
        <v>2940</v>
      </c>
      <c r="H564" s="35" t="n">
        <v>0</v>
      </c>
      <c r="I564" s="35">
        <f>G564-H564</f>
        <v/>
      </c>
      <c r="J564" s="33" t="n">
        <v>2024</v>
      </c>
      <c r="K564" s="33" t="n">
        <v>8</v>
      </c>
      <c r="L564" s="34" t="inlineStr">
        <is>
          <t>Winst- en verliesrekening</t>
        </is>
      </c>
      <c r="M564" s="34" t="inlineStr">
        <is>
          <t>Afschrijvingen</t>
        </is>
      </c>
      <c r="N564" s="34" t="inlineStr">
        <is>
          <t>Afschr. inventaris</t>
        </is>
      </c>
      <c r="O564" s="36">
        <f>IFERROR(INDEX('Mapping'!$F$2:$F$60,MATCH(B564,'Mapping'!$A$2:$A$60,0)),"")</f>
        <v/>
      </c>
    </row>
    <row r="565">
      <c r="A565" s="32" t="n">
        <v>45536</v>
      </c>
      <c r="B565" s="33" t="n">
        <v>4600</v>
      </c>
      <c r="C565" s="34" t="inlineStr">
        <is>
          <t>Afschrijving inventaris</t>
        </is>
      </c>
      <c r="D565" s="34" t="inlineStr">
        <is>
          <t>Overhead</t>
        </is>
      </c>
      <c r="E565" s="34" t="inlineStr">
        <is>
          <t>Algemeen</t>
        </is>
      </c>
      <c r="F565" s="34" t="inlineStr"/>
      <c r="G565" s="35" t="n">
        <v>3696</v>
      </c>
      <c r="H565" s="35" t="n">
        <v>0</v>
      </c>
      <c r="I565" s="35">
        <f>G565-H565</f>
        <v/>
      </c>
      <c r="J565" s="33" t="n">
        <v>2024</v>
      </c>
      <c r="K565" s="33" t="n">
        <v>9</v>
      </c>
      <c r="L565" s="34" t="inlineStr">
        <is>
          <t>Winst- en verliesrekening</t>
        </is>
      </c>
      <c r="M565" s="34" t="inlineStr">
        <is>
          <t>Afschrijvingen</t>
        </is>
      </c>
      <c r="N565" s="34" t="inlineStr">
        <is>
          <t>Afschr. inventaris</t>
        </is>
      </c>
      <c r="O565" s="36">
        <f>IFERROR(INDEX('Mapping'!$F$2:$F$60,MATCH(B565,'Mapping'!$A$2:$A$60,0)),"")</f>
        <v/>
      </c>
    </row>
    <row r="566">
      <c r="A566" s="32" t="n">
        <v>45566</v>
      </c>
      <c r="B566" s="33" t="n">
        <v>4600</v>
      </c>
      <c r="C566" s="34" t="inlineStr">
        <is>
          <t>Afschrijving inventaris</t>
        </is>
      </c>
      <c r="D566" s="34" t="inlineStr">
        <is>
          <t>Overhead</t>
        </is>
      </c>
      <c r="E566" s="34" t="inlineStr">
        <is>
          <t>Algemeen</t>
        </is>
      </c>
      <c r="F566" s="34" t="inlineStr"/>
      <c r="G566" s="35" t="n">
        <v>3780</v>
      </c>
      <c r="H566" s="35" t="n">
        <v>0</v>
      </c>
      <c r="I566" s="35">
        <f>G566-H566</f>
        <v/>
      </c>
      <c r="J566" s="33" t="n">
        <v>2024</v>
      </c>
      <c r="K566" s="33" t="n">
        <v>10</v>
      </c>
      <c r="L566" s="34" t="inlineStr">
        <is>
          <t>Winst- en verliesrekening</t>
        </is>
      </c>
      <c r="M566" s="34" t="inlineStr">
        <is>
          <t>Afschrijvingen</t>
        </is>
      </c>
      <c r="N566" s="34" t="inlineStr">
        <is>
          <t>Afschr. inventaris</t>
        </is>
      </c>
      <c r="O566" s="36">
        <f>IFERROR(INDEX('Mapping'!$F$2:$F$60,MATCH(B566,'Mapping'!$A$2:$A$60,0)),"")</f>
        <v/>
      </c>
    </row>
    <row r="567">
      <c r="A567" s="32" t="n">
        <v>45597</v>
      </c>
      <c r="B567" s="33" t="n">
        <v>4600</v>
      </c>
      <c r="C567" s="34" t="inlineStr">
        <is>
          <t>Afschrijving inventaris</t>
        </is>
      </c>
      <c r="D567" s="34" t="inlineStr">
        <is>
          <t>Overhead</t>
        </is>
      </c>
      <c r="E567" s="34" t="inlineStr">
        <is>
          <t>Algemeen</t>
        </is>
      </c>
      <c r="F567" s="34" t="inlineStr"/>
      <c r="G567" s="35" t="n">
        <v>3612</v>
      </c>
      <c r="H567" s="35" t="n">
        <v>0</v>
      </c>
      <c r="I567" s="35">
        <f>G567-H567</f>
        <v/>
      </c>
      <c r="J567" s="33" t="n">
        <v>2024</v>
      </c>
      <c r="K567" s="33" t="n">
        <v>11</v>
      </c>
      <c r="L567" s="34" t="inlineStr">
        <is>
          <t>Winst- en verliesrekening</t>
        </is>
      </c>
      <c r="M567" s="34" t="inlineStr">
        <is>
          <t>Afschrijvingen</t>
        </is>
      </c>
      <c r="N567" s="34" t="inlineStr">
        <is>
          <t>Afschr. inventaris</t>
        </is>
      </c>
      <c r="O567" s="36">
        <f>IFERROR(INDEX('Mapping'!$F$2:$F$60,MATCH(B567,'Mapping'!$A$2:$A$60,0)),"")</f>
        <v/>
      </c>
    </row>
    <row r="568">
      <c r="A568" s="32" t="n">
        <v>45627</v>
      </c>
      <c r="B568" s="33" t="n">
        <v>4600</v>
      </c>
      <c r="C568" s="34" t="inlineStr">
        <is>
          <t>Afschrijving inventaris</t>
        </is>
      </c>
      <c r="D568" s="34" t="inlineStr">
        <is>
          <t>Overhead</t>
        </is>
      </c>
      <c r="E568" s="34" t="inlineStr">
        <is>
          <t>Algemeen</t>
        </is>
      </c>
      <c r="F568" s="34" t="inlineStr"/>
      <c r="G568" s="35" t="n">
        <v>4368</v>
      </c>
      <c r="H568" s="35" t="n">
        <v>0</v>
      </c>
      <c r="I568" s="35">
        <f>G568-H568</f>
        <v/>
      </c>
      <c r="J568" s="33" t="n">
        <v>2024</v>
      </c>
      <c r="K568" s="33" t="n">
        <v>12</v>
      </c>
      <c r="L568" s="34" t="inlineStr">
        <is>
          <t>Winst- en verliesrekening</t>
        </is>
      </c>
      <c r="M568" s="34" t="inlineStr">
        <is>
          <t>Afschrijvingen</t>
        </is>
      </c>
      <c r="N568" s="34" t="inlineStr">
        <is>
          <t>Afschr. inventaris</t>
        </is>
      </c>
      <c r="O568" s="36">
        <f>IFERROR(INDEX('Mapping'!$F$2:$F$60,MATCH(B568,'Mapping'!$A$2:$A$60,0)),"")</f>
        <v/>
      </c>
    </row>
    <row r="569">
      <c r="A569" s="32" t="n">
        <v>45658</v>
      </c>
      <c r="B569" s="33" t="n">
        <v>4600</v>
      </c>
      <c r="C569" s="34" t="inlineStr">
        <is>
          <t>Afschrijving inventaris</t>
        </is>
      </c>
      <c r="D569" s="34" t="inlineStr">
        <is>
          <t>Overhead</t>
        </is>
      </c>
      <c r="E569" s="34" t="inlineStr">
        <is>
          <t>Algemeen</t>
        </is>
      </c>
      <c r="F569" s="34" t="inlineStr"/>
      <c r="G569" s="35" t="n">
        <v>3080</v>
      </c>
      <c r="H569" s="35" t="n">
        <v>0</v>
      </c>
      <c r="I569" s="35">
        <f>G569-H569</f>
        <v/>
      </c>
      <c r="J569" s="33" t="n">
        <v>2025</v>
      </c>
      <c r="K569" s="33" t="n">
        <v>1</v>
      </c>
      <c r="L569" s="34" t="inlineStr">
        <is>
          <t>Winst- en verliesrekening</t>
        </is>
      </c>
      <c r="M569" s="34" t="inlineStr">
        <is>
          <t>Afschrijvingen</t>
        </is>
      </c>
      <c r="N569" s="34" t="inlineStr">
        <is>
          <t>Afschr. inventaris</t>
        </is>
      </c>
      <c r="O569" s="36">
        <f>IFERROR(INDEX('Mapping'!$F$2:$F$60,MATCH(B569,'Mapping'!$A$2:$A$60,0)),"")</f>
        <v/>
      </c>
    </row>
    <row r="570">
      <c r="A570" s="32" t="n">
        <v>45689</v>
      </c>
      <c r="B570" s="33" t="n">
        <v>4600</v>
      </c>
      <c r="C570" s="34" t="inlineStr">
        <is>
          <t>Afschrijving inventaris</t>
        </is>
      </c>
      <c r="D570" s="34" t="inlineStr">
        <is>
          <t>Overhead</t>
        </is>
      </c>
      <c r="E570" s="34" t="inlineStr">
        <is>
          <t>Algemeen</t>
        </is>
      </c>
      <c r="F570" s="34" t="inlineStr"/>
      <c r="G570" s="35" t="n">
        <v>3080</v>
      </c>
      <c r="H570" s="35" t="n">
        <v>0</v>
      </c>
      <c r="I570" s="35">
        <f>G570-H570</f>
        <v/>
      </c>
      <c r="J570" s="33" t="n">
        <v>2025</v>
      </c>
      <c r="K570" s="33" t="n">
        <v>2</v>
      </c>
      <c r="L570" s="34" t="inlineStr">
        <is>
          <t>Winst- en verliesrekening</t>
        </is>
      </c>
      <c r="M570" s="34" t="inlineStr">
        <is>
          <t>Afschrijvingen</t>
        </is>
      </c>
      <c r="N570" s="34" t="inlineStr">
        <is>
          <t>Afschr. inventaris</t>
        </is>
      </c>
      <c r="O570" s="36">
        <f>IFERROR(INDEX('Mapping'!$F$2:$F$60,MATCH(B570,'Mapping'!$A$2:$A$60,0)),"")</f>
        <v/>
      </c>
    </row>
    <row r="571">
      <c r="A571" s="32" t="n">
        <v>45717</v>
      </c>
      <c r="B571" s="33" t="n">
        <v>4600</v>
      </c>
      <c r="C571" s="34" t="inlineStr">
        <is>
          <t>Afschrijving inventaris</t>
        </is>
      </c>
      <c r="D571" s="34" t="inlineStr">
        <is>
          <t>Overhead</t>
        </is>
      </c>
      <c r="E571" s="34" t="inlineStr">
        <is>
          <t>Algemeen</t>
        </is>
      </c>
      <c r="F571" s="34" t="inlineStr"/>
      <c r="G571" s="35" t="n">
        <v>3872</v>
      </c>
      <c r="H571" s="35" t="n">
        <v>0</v>
      </c>
      <c r="I571" s="35">
        <f>G571-H571</f>
        <v/>
      </c>
      <c r="J571" s="33" t="n">
        <v>2025</v>
      </c>
      <c r="K571" s="33" t="n">
        <v>3</v>
      </c>
      <c r="L571" s="34" t="inlineStr">
        <is>
          <t>Winst- en verliesrekening</t>
        </is>
      </c>
      <c r="M571" s="34" t="inlineStr">
        <is>
          <t>Afschrijvingen</t>
        </is>
      </c>
      <c r="N571" s="34" t="inlineStr">
        <is>
          <t>Afschr. inventaris</t>
        </is>
      </c>
      <c r="O571" s="36">
        <f>IFERROR(INDEX('Mapping'!$F$2:$F$60,MATCH(B571,'Mapping'!$A$2:$A$60,0)),"")</f>
        <v/>
      </c>
    </row>
    <row r="572">
      <c r="A572" s="32" t="n">
        <v>45748</v>
      </c>
      <c r="B572" s="33" t="n">
        <v>4600</v>
      </c>
      <c r="C572" s="34" t="inlineStr">
        <is>
          <t>Afschrijving inventaris</t>
        </is>
      </c>
      <c r="D572" s="34" t="inlineStr">
        <is>
          <t>Overhead</t>
        </is>
      </c>
      <c r="E572" s="34" t="inlineStr">
        <is>
          <t>Algemeen</t>
        </is>
      </c>
      <c r="F572" s="34" t="inlineStr"/>
      <c r="G572" s="35" t="n">
        <v>3608</v>
      </c>
      <c r="H572" s="35" t="n">
        <v>0</v>
      </c>
      <c r="I572" s="35">
        <f>G572-H572</f>
        <v/>
      </c>
      <c r="J572" s="33" t="n">
        <v>2025</v>
      </c>
      <c r="K572" s="33" t="n">
        <v>4</v>
      </c>
      <c r="L572" s="34" t="inlineStr">
        <is>
          <t>Winst- en verliesrekening</t>
        </is>
      </c>
      <c r="M572" s="34" t="inlineStr">
        <is>
          <t>Afschrijvingen</t>
        </is>
      </c>
      <c r="N572" s="34" t="inlineStr">
        <is>
          <t>Afschr. inventaris</t>
        </is>
      </c>
      <c r="O572" s="36">
        <f>IFERROR(INDEX('Mapping'!$F$2:$F$60,MATCH(B572,'Mapping'!$A$2:$A$60,0)),"")</f>
        <v/>
      </c>
    </row>
    <row r="573">
      <c r="A573" s="32" t="n">
        <v>45778</v>
      </c>
      <c r="B573" s="33" t="n">
        <v>4600</v>
      </c>
      <c r="C573" s="34" t="inlineStr">
        <is>
          <t>Afschrijving inventaris</t>
        </is>
      </c>
      <c r="D573" s="34" t="inlineStr">
        <is>
          <t>Overhead</t>
        </is>
      </c>
      <c r="E573" s="34" t="inlineStr">
        <is>
          <t>Algemeen</t>
        </is>
      </c>
      <c r="F573" s="34" t="inlineStr"/>
      <c r="G573" s="35" t="n">
        <v>3784</v>
      </c>
      <c r="H573" s="35" t="n">
        <v>0</v>
      </c>
      <c r="I573" s="35">
        <f>G573-H573</f>
        <v/>
      </c>
      <c r="J573" s="33" t="n">
        <v>2025</v>
      </c>
      <c r="K573" s="33" t="n">
        <v>5</v>
      </c>
      <c r="L573" s="34" t="inlineStr">
        <is>
          <t>Winst- en verliesrekening</t>
        </is>
      </c>
      <c r="M573" s="34" t="inlineStr">
        <is>
          <t>Afschrijvingen</t>
        </is>
      </c>
      <c r="N573" s="34" t="inlineStr">
        <is>
          <t>Afschr. inventaris</t>
        </is>
      </c>
      <c r="O573" s="36">
        <f>IFERROR(INDEX('Mapping'!$F$2:$F$60,MATCH(B573,'Mapping'!$A$2:$A$60,0)),"")</f>
        <v/>
      </c>
    </row>
    <row r="574">
      <c r="A574" s="32" t="n">
        <v>45809</v>
      </c>
      <c r="B574" s="33" t="n">
        <v>4600</v>
      </c>
      <c r="C574" s="34" t="inlineStr">
        <is>
          <t>Afschrijving inventaris</t>
        </is>
      </c>
      <c r="D574" s="34" t="inlineStr">
        <is>
          <t>Overhead</t>
        </is>
      </c>
      <c r="E574" s="34" t="inlineStr">
        <is>
          <t>Algemeen</t>
        </is>
      </c>
      <c r="F574" s="34" t="inlineStr"/>
      <c r="G574" s="35" t="n">
        <v>3960</v>
      </c>
      <c r="H574" s="35" t="n">
        <v>0</v>
      </c>
      <c r="I574" s="35">
        <f>G574-H574</f>
        <v/>
      </c>
      <c r="J574" s="33" t="n">
        <v>2025</v>
      </c>
      <c r="K574" s="33" t="n">
        <v>6</v>
      </c>
      <c r="L574" s="34" t="inlineStr">
        <is>
          <t>Winst- en verliesrekening</t>
        </is>
      </c>
      <c r="M574" s="34" t="inlineStr">
        <is>
          <t>Afschrijvingen</t>
        </is>
      </c>
      <c r="N574" s="34" t="inlineStr">
        <is>
          <t>Afschr. inventaris</t>
        </is>
      </c>
      <c r="O574" s="36">
        <f>IFERROR(INDEX('Mapping'!$F$2:$F$60,MATCH(B574,'Mapping'!$A$2:$A$60,0)),"")</f>
        <v/>
      </c>
    </row>
    <row r="575">
      <c r="A575" s="32" t="n">
        <v>45839</v>
      </c>
      <c r="B575" s="33" t="n">
        <v>4600</v>
      </c>
      <c r="C575" s="34" t="inlineStr">
        <is>
          <t>Afschrijving inventaris</t>
        </is>
      </c>
      <c r="D575" s="34" t="inlineStr">
        <is>
          <t>Overhead</t>
        </is>
      </c>
      <c r="E575" s="34" t="inlineStr">
        <is>
          <t>Algemeen</t>
        </is>
      </c>
      <c r="F575" s="34" t="inlineStr"/>
      <c r="G575" s="35" t="n">
        <v>3344</v>
      </c>
      <c r="H575" s="35" t="n">
        <v>0</v>
      </c>
      <c r="I575" s="35">
        <f>G575-H575</f>
        <v/>
      </c>
      <c r="J575" s="33" t="n">
        <v>2025</v>
      </c>
      <c r="K575" s="33" t="n">
        <v>7</v>
      </c>
      <c r="L575" s="34" t="inlineStr">
        <is>
          <t>Winst- en verliesrekening</t>
        </is>
      </c>
      <c r="M575" s="34" t="inlineStr">
        <is>
          <t>Afschrijvingen</t>
        </is>
      </c>
      <c r="N575" s="34" t="inlineStr">
        <is>
          <t>Afschr. inventaris</t>
        </is>
      </c>
      <c r="O575" s="36">
        <f>IFERROR(INDEX('Mapping'!$F$2:$F$60,MATCH(B575,'Mapping'!$A$2:$A$60,0)),"")</f>
        <v/>
      </c>
    </row>
    <row r="576">
      <c r="A576" s="32" t="n">
        <v>45870</v>
      </c>
      <c r="B576" s="33" t="n">
        <v>4600</v>
      </c>
      <c r="C576" s="34" t="inlineStr">
        <is>
          <t>Afschrijving inventaris</t>
        </is>
      </c>
      <c r="D576" s="34" t="inlineStr">
        <is>
          <t>Overhead</t>
        </is>
      </c>
      <c r="E576" s="34" t="inlineStr">
        <is>
          <t>Algemeen</t>
        </is>
      </c>
      <c r="F576" s="34" t="inlineStr"/>
      <c r="G576" s="35" t="n">
        <v>3080</v>
      </c>
      <c r="H576" s="35" t="n">
        <v>0</v>
      </c>
      <c r="I576" s="35">
        <f>G576-H576</f>
        <v/>
      </c>
      <c r="J576" s="33" t="n">
        <v>2025</v>
      </c>
      <c r="K576" s="33" t="n">
        <v>8</v>
      </c>
      <c r="L576" s="34" t="inlineStr">
        <is>
          <t>Winst- en verliesrekening</t>
        </is>
      </c>
      <c r="M576" s="34" t="inlineStr">
        <is>
          <t>Afschrijvingen</t>
        </is>
      </c>
      <c r="N576" s="34" t="inlineStr">
        <is>
          <t>Afschr. inventaris</t>
        </is>
      </c>
      <c r="O576" s="36">
        <f>IFERROR(INDEX('Mapping'!$F$2:$F$60,MATCH(B576,'Mapping'!$A$2:$A$60,0)),"")</f>
        <v/>
      </c>
    </row>
    <row r="577">
      <c r="A577" s="32" t="n">
        <v>45901</v>
      </c>
      <c r="B577" s="33" t="n">
        <v>4600</v>
      </c>
      <c r="C577" s="34" t="inlineStr">
        <is>
          <t>Afschrijving inventaris</t>
        </is>
      </c>
      <c r="D577" s="34" t="inlineStr">
        <is>
          <t>Overhead</t>
        </is>
      </c>
      <c r="E577" s="34" t="inlineStr">
        <is>
          <t>Algemeen</t>
        </is>
      </c>
      <c r="F577" s="34" t="inlineStr"/>
      <c r="G577" s="35" t="n">
        <v>3872</v>
      </c>
      <c r="H577" s="35" t="n">
        <v>0</v>
      </c>
      <c r="I577" s="35">
        <f>G577-H577</f>
        <v/>
      </c>
      <c r="J577" s="33" t="n">
        <v>2025</v>
      </c>
      <c r="K577" s="33" t="n">
        <v>9</v>
      </c>
      <c r="L577" s="34" t="inlineStr">
        <is>
          <t>Winst- en verliesrekening</t>
        </is>
      </c>
      <c r="M577" s="34" t="inlineStr">
        <is>
          <t>Afschrijvingen</t>
        </is>
      </c>
      <c r="N577" s="34" t="inlineStr">
        <is>
          <t>Afschr. inventaris</t>
        </is>
      </c>
      <c r="O577" s="36">
        <f>IFERROR(INDEX('Mapping'!$F$2:$F$60,MATCH(B577,'Mapping'!$A$2:$A$60,0)),"")</f>
        <v/>
      </c>
    </row>
    <row r="578">
      <c r="A578" s="32" t="n">
        <v>45931</v>
      </c>
      <c r="B578" s="33" t="n">
        <v>4600</v>
      </c>
      <c r="C578" s="34" t="inlineStr">
        <is>
          <t>Afschrijving inventaris</t>
        </is>
      </c>
      <c r="D578" s="34" t="inlineStr">
        <is>
          <t>Overhead</t>
        </is>
      </c>
      <c r="E578" s="34" t="inlineStr">
        <is>
          <t>Algemeen</t>
        </is>
      </c>
      <c r="F578" s="34" t="inlineStr"/>
      <c r="G578" s="35" t="n">
        <v>3960</v>
      </c>
      <c r="H578" s="35" t="n">
        <v>0</v>
      </c>
      <c r="I578" s="35">
        <f>G578-H578</f>
        <v/>
      </c>
      <c r="J578" s="33" t="n">
        <v>2025</v>
      </c>
      <c r="K578" s="33" t="n">
        <v>10</v>
      </c>
      <c r="L578" s="34" t="inlineStr">
        <is>
          <t>Winst- en verliesrekening</t>
        </is>
      </c>
      <c r="M578" s="34" t="inlineStr">
        <is>
          <t>Afschrijvingen</t>
        </is>
      </c>
      <c r="N578" s="34" t="inlineStr">
        <is>
          <t>Afschr. inventaris</t>
        </is>
      </c>
      <c r="O578" s="36">
        <f>IFERROR(INDEX('Mapping'!$F$2:$F$60,MATCH(B578,'Mapping'!$A$2:$A$60,0)),"")</f>
        <v/>
      </c>
    </row>
    <row r="579">
      <c r="A579" s="32" t="n">
        <v>45962</v>
      </c>
      <c r="B579" s="33" t="n">
        <v>4600</v>
      </c>
      <c r="C579" s="34" t="inlineStr">
        <is>
          <t>Afschrijving inventaris</t>
        </is>
      </c>
      <c r="D579" s="34" t="inlineStr">
        <is>
          <t>Overhead</t>
        </is>
      </c>
      <c r="E579" s="34" t="inlineStr">
        <is>
          <t>Algemeen</t>
        </is>
      </c>
      <c r="F579" s="34" t="inlineStr"/>
      <c r="G579" s="35" t="n">
        <v>3784</v>
      </c>
      <c r="H579" s="35" t="n">
        <v>0</v>
      </c>
      <c r="I579" s="35">
        <f>G579-H579</f>
        <v/>
      </c>
      <c r="J579" s="33" t="n">
        <v>2025</v>
      </c>
      <c r="K579" s="33" t="n">
        <v>11</v>
      </c>
      <c r="L579" s="34" t="inlineStr">
        <is>
          <t>Winst- en verliesrekening</t>
        </is>
      </c>
      <c r="M579" s="34" t="inlineStr">
        <is>
          <t>Afschrijvingen</t>
        </is>
      </c>
      <c r="N579" s="34" t="inlineStr">
        <is>
          <t>Afschr. inventaris</t>
        </is>
      </c>
      <c r="O579" s="36">
        <f>IFERROR(INDEX('Mapping'!$F$2:$F$60,MATCH(B579,'Mapping'!$A$2:$A$60,0)),"")</f>
        <v/>
      </c>
    </row>
    <row r="580">
      <c r="A580" s="32" t="n">
        <v>45992</v>
      </c>
      <c r="B580" s="33" t="n">
        <v>4600</v>
      </c>
      <c r="C580" s="34" t="inlineStr">
        <is>
          <t>Afschrijving inventaris</t>
        </is>
      </c>
      <c r="D580" s="34" t="inlineStr">
        <is>
          <t>Overhead</t>
        </is>
      </c>
      <c r="E580" s="34" t="inlineStr">
        <is>
          <t>Algemeen</t>
        </is>
      </c>
      <c r="F580" s="34" t="inlineStr"/>
      <c r="G580" s="35" t="n">
        <v>4576</v>
      </c>
      <c r="H580" s="35" t="n">
        <v>0</v>
      </c>
      <c r="I580" s="35">
        <f>G580-H580</f>
        <v/>
      </c>
      <c r="J580" s="33" t="n">
        <v>2025</v>
      </c>
      <c r="K580" s="33" t="n">
        <v>12</v>
      </c>
      <c r="L580" s="34" t="inlineStr">
        <is>
          <t>Winst- en verliesrekening</t>
        </is>
      </c>
      <c r="M580" s="34" t="inlineStr">
        <is>
          <t>Afschrijvingen</t>
        </is>
      </c>
      <c r="N580" s="34" t="inlineStr">
        <is>
          <t>Afschr. inventaris</t>
        </is>
      </c>
      <c r="O580" s="36">
        <f>IFERROR(INDEX('Mapping'!$F$2:$F$60,MATCH(B580,'Mapping'!$A$2:$A$60,0)),"")</f>
        <v/>
      </c>
    </row>
    <row r="581">
      <c r="A581" s="32" t="n">
        <v>45292</v>
      </c>
      <c r="B581" s="33" t="n">
        <v>4610</v>
      </c>
      <c r="C581" s="34" t="inlineStr">
        <is>
          <t>Afschrijving vervoermiddelen</t>
        </is>
      </c>
      <c r="D581" s="34" t="inlineStr">
        <is>
          <t>Overhead</t>
        </is>
      </c>
      <c r="E581" s="34" t="inlineStr">
        <is>
          <t>Algemeen</t>
        </is>
      </c>
      <c r="F581" s="34" t="inlineStr"/>
      <c r="G581" s="35" t="n">
        <v>2800</v>
      </c>
      <c r="H581" s="35" t="n">
        <v>0</v>
      </c>
      <c r="I581" s="35">
        <f>G581-H581</f>
        <v/>
      </c>
      <c r="J581" s="33" t="n">
        <v>2024</v>
      </c>
      <c r="K581" s="33" t="n">
        <v>1</v>
      </c>
      <c r="L581" s="34" t="inlineStr">
        <is>
          <t>Winst- en verliesrekening</t>
        </is>
      </c>
      <c r="M581" s="34" t="inlineStr">
        <is>
          <t>Afschrijvingen</t>
        </is>
      </c>
      <c r="N581" s="34" t="inlineStr">
        <is>
          <t>Afschr. auto</t>
        </is>
      </c>
      <c r="O581" s="36">
        <f>IFERROR(INDEX('Mapping'!$F$2:$F$60,MATCH(B581,'Mapping'!$A$2:$A$60,0)),"")</f>
        <v/>
      </c>
    </row>
    <row r="582">
      <c r="A582" s="32" t="n">
        <v>45323</v>
      </c>
      <c r="B582" s="33" t="n">
        <v>4610</v>
      </c>
      <c r="C582" s="34" t="inlineStr">
        <is>
          <t>Afschrijving vervoermiddelen</t>
        </is>
      </c>
      <c r="D582" s="34" t="inlineStr">
        <is>
          <t>Overhead</t>
        </is>
      </c>
      <c r="E582" s="34" t="inlineStr">
        <is>
          <t>Algemeen</t>
        </is>
      </c>
      <c r="F582" s="34" t="inlineStr"/>
      <c r="G582" s="35" t="n">
        <v>2800</v>
      </c>
      <c r="H582" s="35" t="n">
        <v>0</v>
      </c>
      <c r="I582" s="35">
        <f>G582-H582</f>
        <v/>
      </c>
      <c r="J582" s="33" t="n">
        <v>2024</v>
      </c>
      <c r="K582" s="33" t="n">
        <v>2</v>
      </c>
      <c r="L582" s="34" t="inlineStr">
        <is>
          <t>Winst- en verliesrekening</t>
        </is>
      </c>
      <c r="M582" s="34" t="inlineStr">
        <is>
          <t>Afschrijvingen</t>
        </is>
      </c>
      <c r="N582" s="34" t="inlineStr">
        <is>
          <t>Afschr. auto</t>
        </is>
      </c>
      <c r="O582" s="36">
        <f>IFERROR(INDEX('Mapping'!$F$2:$F$60,MATCH(B582,'Mapping'!$A$2:$A$60,0)),"")</f>
        <v/>
      </c>
    </row>
    <row r="583">
      <c r="A583" s="32" t="n">
        <v>45352</v>
      </c>
      <c r="B583" s="33" t="n">
        <v>4610</v>
      </c>
      <c r="C583" s="34" t="inlineStr">
        <is>
          <t>Afschrijving vervoermiddelen</t>
        </is>
      </c>
      <c r="D583" s="34" t="inlineStr">
        <is>
          <t>Overhead</t>
        </is>
      </c>
      <c r="E583" s="34" t="inlineStr">
        <is>
          <t>Algemeen</t>
        </is>
      </c>
      <c r="F583" s="34" t="inlineStr"/>
      <c r="G583" s="35" t="n">
        <v>3520</v>
      </c>
      <c r="H583" s="35" t="n">
        <v>0</v>
      </c>
      <c r="I583" s="35">
        <f>G583-H583</f>
        <v/>
      </c>
      <c r="J583" s="33" t="n">
        <v>2024</v>
      </c>
      <c r="K583" s="33" t="n">
        <v>3</v>
      </c>
      <c r="L583" s="34" t="inlineStr">
        <is>
          <t>Winst- en verliesrekening</t>
        </is>
      </c>
      <c r="M583" s="34" t="inlineStr">
        <is>
          <t>Afschrijvingen</t>
        </is>
      </c>
      <c r="N583" s="34" t="inlineStr">
        <is>
          <t>Afschr. auto</t>
        </is>
      </c>
      <c r="O583" s="36">
        <f>IFERROR(INDEX('Mapping'!$F$2:$F$60,MATCH(B583,'Mapping'!$A$2:$A$60,0)),"")</f>
        <v/>
      </c>
    </row>
    <row r="584">
      <c r="A584" s="32" t="n">
        <v>45383</v>
      </c>
      <c r="B584" s="33" t="n">
        <v>4610</v>
      </c>
      <c r="C584" s="34" t="inlineStr">
        <is>
          <t>Afschrijving vervoermiddelen</t>
        </is>
      </c>
      <c r="D584" s="34" t="inlineStr">
        <is>
          <t>Overhead</t>
        </is>
      </c>
      <c r="E584" s="34" t="inlineStr">
        <is>
          <t>Algemeen</t>
        </is>
      </c>
      <c r="F584" s="34" t="inlineStr"/>
      <c r="G584" s="35" t="n">
        <v>3280</v>
      </c>
      <c r="H584" s="35" t="n">
        <v>0</v>
      </c>
      <c r="I584" s="35">
        <f>G584-H584</f>
        <v/>
      </c>
      <c r="J584" s="33" t="n">
        <v>2024</v>
      </c>
      <c r="K584" s="33" t="n">
        <v>4</v>
      </c>
      <c r="L584" s="34" t="inlineStr">
        <is>
          <t>Winst- en verliesrekening</t>
        </is>
      </c>
      <c r="M584" s="34" t="inlineStr">
        <is>
          <t>Afschrijvingen</t>
        </is>
      </c>
      <c r="N584" s="34" t="inlineStr">
        <is>
          <t>Afschr. auto</t>
        </is>
      </c>
      <c r="O584" s="36">
        <f>IFERROR(INDEX('Mapping'!$F$2:$F$60,MATCH(B584,'Mapping'!$A$2:$A$60,0)),"")</f>
        <v/>
      </c>
    </row>
    <row r="585">
      <c r="A585" s="32" t="n">
        <v>45413</v>
      </c>
      <c r="B585" s="33" t="n">
        <v>4610</v>
      </c>
      <c r="C585" s="34" t="inlineStr">
        <is>
          <t>Afschrijving vervoermiddelen</t>
        </is>
      </c>
      <c r="D585" s="34" t="inlineStr">
        <is>
          <t>Overhead</t>
        </is>
      </c>
      <c r="E585" s="34" t="inlineStr">
        <is>
          <t>Algemeen</t>
        </is>
      </c>
      <c r="F585" s="34" t="inlineStr"/>
      <c r="G585" s="35" t="n">
        <v>3440</v>
      </c>
      <c r="H585" s="35" t="n">
        <v>0</v>
      </c>
      <c r="I585" s="35">
        <f>G585-H585</f>
        <v/>
      </c>
      <c r="J585" s="33" t="n">
        <v>2024</v>
      </c>
      <c r="K585" s="33" t="n">
        <v>5</v>
      </c>
      <c r="L585" s="34" t="inlineStr">
        <is>
          <t>Winst- en verliesrekening</t>
        </is>
      </c>
      <c r="M585" s="34" t="inlineStr">
        <is>
          <t>Afschrijvingen</t>
        </is>
      </c>
      <c r="N585" s="34" t="inlineStr">
        <is>
          <t>Afschr. auto</t>
        </is>
      </c>
      <c r="O585" s="36">
        <f>IFERROR(INDEX('Mapping'!$F$2:$F$60,MATCH(B585,'Mapping'!$A$2:$A$60,0)),"")</f>
        <v/>
      </c>
    </row>
    <row r="586">
      <c r="A586" s="32" t="n">
        <v>45444</v>
      </c>
      <c r="B586" s="33" t="n">
        <v>4610</v>
      </c>
      <c r="C586" s="34" t="inlineStr">
        <is>
          <t>Afschrijving vervoermiddelen</t>
        </is>
      </c>
      <c r="D586" s="34" t="inlineStr">
        <is>
          <t>Overhead</t>
        </is>
      </c>
      <c r="E586" s="34" t="inlineStr">
        <is>
          <t>Algemeen</t>
        </is>
      </c>
      <c r="F586" s="34" t="inlineStr"/>
      <c r="G586" s="35" t="n">
        <v>3600</v>
      </c>
      <c r="H586" s="35" t="n">
        <v>0</v>
      </c>
      <c r="I586" s="35">
        <f>G586-H586</f>
        <v/>
      </c>
      <c r="J586" s="33" t="n">
        <v>2024</v>
      </c>
      <c r="K586" s="33" t="n">
        <v>6</v>
      </c>
      <c r="L586" s="34" t="inlineStr">
        <is>
          <t>Winst- en verliesrekening</t>
        </is>
      </c>
      <c r="M586" s="34" t="inlineStr">
        <is>
          <t>Afschrijvingen</t>
        </is>
      </c>
      <c r="N586" s="34" t="inlineStr">
        <is>
          <t>Afschr. auto</t>
        </is>
      </c>
      <c r="O586" s="36">
        <f>IFERROR(INDEX('Mapping'!$F$2:$F$60,MATCH(B586,'Mapping'!$A$2:$A$60,0)),"")</f>
        <v/>
      </c>
    </row>
    <row r="587">
      <c r="A587" s="32" t="n">
        <v>45474</v>
      </c>
      <c r="B587" s="33" t="n">
        <v>4610</v>
      </c>
      <c r="C587" s="34" t="inlineStr">
        <is>
          <t>Afschrijving vervoermiddelen</t>
        </is>
      </c>
      <c r="D587" s="34" t="inlineStr">
        <is>
          <t>Overhead</t>
        </is>
      </c>
      <c r="E587" s="34" t="inlineStr">
        <is>
          <t>Algemeen</t>
        </is>
      </c>
      <c r="F587" s="34" t="inlineStr"/>
      <c r="G587" s="35" t="n">
        <v>3040</v>
      </c>
      <c r="H587" s="35" t="n">
        <v>0</v>
      </c>
      <c r="I587" s="35">
        <f>G587-H587</f>
        <v/>
      </c>
      <c r="J587" s="33" t="n">
        <v>2024</v>
      </c>
      <c r="K587" s="33" t="n">
        <v>7</v>
      </c>
      <c r="L587" s="34" t="inlineStr">
        <is>
          <t>Winst- en verliesrekening</t>
        </is>
      </c>
      <c r="M587" s="34" t="inlineStr">
        <is>
          <t>Afschrijvingen</t>
        </is>
      </c>
      <c r="N587" s="34" t="inlineStr">
        <is>
          <t>Afschr. auto</t>
        </is>
      </c>
      <c r="O587" s="36">
        <f>IFERROR(INDEX('Mapping'!$F$2:$F$60,MATCH(B587,'Mapping'!$A$2:$A$60,0)),"")</f>
        <v/>
      </c>
    </row>
    <row r="588">
      <c r="A588" s="32" t="n">
        <v>45505</v>
      </c>
      <c r="B588" s="33" t="n">
        <v>4610</v>
      </c>
      <c r="C588" s="34" t="inlineStr">
        <is>
          <t>Afschrijving vervoermiddelen</t>
        </is>
      </c>
      <c r="D588" s="34" t="inlineStr">
        <is>
          <t>Overhead</t>
        </is>
      </c>
      <c r="E588" s="34" t="inlineStr">
        <is>
          <t>Algemeen</t>
        </is>
      </c>
      <c r="F588" s="34" t="inlineStr"/>
      <c r="G588" s="35" t="n">
        <v>2800</v>
      </c>
      <c r="H588" s="35" t="n">
        <v>0</v>
      </c>
      <c r="I588" s="35">
        <f>G588-H588</f>
        <v/>
      </c>
      <c r="J588" s="33" t="n">
        <v>2024</v>
      </c>
      <c r="K588" s="33" t="n">
        <v>8</v>
      </c>
      <c r="L588" s="34" t="inlineStr">
        <is>
          <t>Winst- en verliesrekening</t>
        </is>
      </c>
      <c r="M588" s="34" t="inlineStr">
        <is>
          <t>Afschrijvingen</t>
        </is>
      </c>
      <c r="N588" s="34" t="inlineStr">
        <is>
          <t>Afschr. auto</t>
        </is>
      </c>
      <c r="O588" s="36">
        <f>IFERROR(INDEX('Mapping'!$F$2:$F$60,MATCH(B588,'Mapping'!$A$2:$A$60,0)),"")</f>
        <v/>
      </c>
    </row>
    <row r="589">
      <c r="A589" s="32" t="n">
        <v>45536</v>
      </c>
      <c r="B589" s="33" t="n">
        <v>4610</v>
      </c>
      <c r="C589" s="34" t="inlineStr">
        <is>
          <t>Afschrijving vervoermiddelen</t>
        </is>
      </c>
      <c r="D589" s="34" t="inlineStr">
        <is>
          <t>Overhead</t>
        </is>
      </c>
      <c r="E589" s="34" t="inlineStr">
        <is>
          <t>Algemeen</t>
        </is>
      </c>
      <c r="F589" s="34" t="inlineStr"/>
      <c r="G589" s="35" t="n">
        <v>3520</v>
      </c>
      <c r="H589" s="35" t="n">
        <v>0</v>
      </c>
      <c r="I589" s="35">
        <f>G589-H589</f>
        <v/>
      </c>
      <c r="J589" s="33" t="n">
        <v>2024</v>
      </c>
      <c r="K589" s="33" t="n">
        <v>9</v>
      </c>
      <c r="L589" s="34" t="inlineStr">
        <is>
          <t>Winst- en verliesrekening</t>
        </is>
      </c>
      <c r="M589" s="34" t="inlineStr">
        <is>
          <t>Afschrijvingen</t>
        </is>
      </c>
      <c r="N589" s="34" t="inlineStr">
        <is>
          <t>Afschr. auto</t>
        </is>
      </c>
      <c r="O589" s="36">
        <f>IFERROR(INDEX('Mapping'!$F$2:$F$60,MATCH(B589,'Mapping'!$A$2:$A$60,0)),"")</f>
        <v/>
      </c>
    </row>
    <row r="590">
      <c r="A590" s="32" t="n">
        <v>45566</v>
      </c>
      <c r="B590" s="33" t="n">
        <v>4610</v>
      </c>
      <c r="C590" s="34" t="inlineStr">
        <is>
          <t>Afschrijving vervoermiddelen</t>
        </is>
      </c>
      <c r="D590" s="34" t="inlineStr">
        <is>
          <t>Overhead</t>
        </is>
      </c>
      <c r="E590" s="34" t="inlineStr">
        <is>
          <t>Algemeen</t>
        </is>
      </c>
      <c r="F590" s="34" t="inlineStr"/>
      <c r="G590" s="35" t="n">
        <v>3600</v>
      </c>
      <c r="H590" s="35" t="n">
        <v>0</v>
      </c>
      <c r="I590" s="35">
        <f>G590-H590</f>
        <v/>
      </c>
      <c r="J590" s="33" t="n">
        <v>2024</v>
      </c>
      <c r="K590" s="33" t="n">
        <v>10</v>
      </c>
      <c r="L590" s="34" t="inlineStr">
        <is>
          <t>Winst- en verliesrekening</t>
        </is>
      </c>
      <c r="M590" s="34" t="inlineStr">
        <is>
          <t>Afschrijvingen</t>
        </is>
      </c>
      <c r="N590" s="34" t="inlineStr">
        <is>
          <t>Afschr. auto</t>
        </is>
      </c>
      <c r="O590" s="36">
        <f>IFERROR(INDEX('Mapping'!$F$2:$F$60,MATCH(B590,'Mapping'!$A$2:$A$60,0)),"")</f>
        <v/>
      </c>
    </row>
    <row r="591">
      <c r="A591" s="32" t="n">
        <v>45597</v>
      </c>
      <c r="B591" s="33" t="n">
        <v>4610</v>
      </c>
      <c r="C591" s="34" t="inlineStr">
        <is>
          <t>Afschrijving vervoermiddelen</t>
        </is>
      </c>
      <c r="D591" s="34" t="inlineStr">
        <is>
          <t>Overhead</t>
        </is>
      </c>
      <c r="E591" s="34" t="inlineStr">
        <is>
          <t>Algemeen</t>
        </is>
      </c>
      <c r="F591" s="34" t="inlineStr"/>
      <c r="G591" s="35" t="n">
        <v>3440</v>
      </c>
      <c r="H591" s="35" t="n">
        <v>0</v>
      </c>
      <c r="I591" s="35">
        <f>G591-H591</f>
        <v/>
      </c>
      <c r="J591" s="33" t="n">
        <v>2024</v>
      </c>
      <c r="K591" s="33" t="n">
        <v>11</v>
      </c>
      <c r="L591" s="34" t="inlineStr">
        <is>
          <t>Winst- en verliesrekening</t>
        </is>
      </c>
      <c r="M591" s="34" t="inlineStr">
        <is>
          <t>Afschrijvingen</t>
        </is>
      </c>
      <c r="N591" s="34" t="inlineStr">
        <is>
          <t>Afschr. auto</t>
        </is>
      </c>
      <c r="O591" s="36">
        <f>IFERROR(INDEX('Mapping'!$F$2:$F$60,MATCH(B591,'Mapping'!$A$2:$A$60,0)),"")</f>
        <v/>
      </c>
    </row>
    <row r="592">
      <c r="A592" s="32" t="n">
        <v>45627</v>
      </c>
      <c r="B592" s="33" t="n">
        <v>4610</v>
      </c>
      <c r="C592" s="34" t="inlineStr">
        <is>
          <t>Afschrijving vervoermiddelen</t>
        </is>
      </c>
      <c r="D592" s="34" t="inlineStr">
        <is>
          <t>Overhead</t>
        </is>
      </c>
      <c r="E592" s="34" t="inlineStr">
        <is>
          <t>Algemeen</t>
        </is>
      </c>
      <c r="F592" s="34" t="inlineStr"/>
      <c r="G592" s="35" t="n">
        <v>4160</v>
      </c>
      <c r="H592" s="35" t="n">
        <v>0</v>
      </c>
      <c r="I592" s="35">
        <f>G592-H592</f>
        <v/>
      </c>
      <c r="J592" s="33" t="n">
        <v>2024</v>
      </c>
      <c r="K592" s="33" t="n">
        <v>12</v>
      </c>
      <c r="L592" s="34" t="inlineStr">
        <is>
          <t>Winst- en verliesrekening</t>
        </is>
      </c>
      <c r="M592" s="34" t="inlineStr">
        <is>
          <t>Afschrijvingen</t>
        </is>
      </c>
      <c r="N592" s="34" t="inlineStr">
        <is>
          <t>Afschr. auto</t>
        </is>
      </c>
      <c r="O592" s="36">
        <f>IFERROR(INDEX('Mapping'!$F$2:$F$60,MATCH(B592,'Mapping'!$A$2:$A$60,0)),"")</f>
        <v/>
      </c>
    </row>
    <row r="593">
      <c r="A593" s="32" t="n">
        <v>45658</v>
      </c>
      <c r="B593" s="33" t="n">
        <v>4610</v>
      </c>
      <c r="C593" s="34" t="inlineStr">
        <is>
          <t>Afschrijving vervoermiddelen</t>
        </is>
      </c>
      <c r="D593" s="34" t="inlineStr">
        <is>
          <t>Overhead</t>
        </is>
      </c>
      <c r="E593" s="34" t="inlineStr">
        <is>
          <t>Algemeen</t>
        </is>
      </c>
      <c r="F593" s="34" t="inlineStr"/>
      <c r="G593" s="35" t="n">
        <v>2870</v>
      </c>
      <c r="H593" s="35" t="n">
        <v>0</v>
      </c>
      <c r="I593" s="35">
        <f>G593-H593</f>
        <v/>
      </c>
      <c r="J593" s="33" t="n">
        <v>2025</v>
      </c>
      <c r="K593" s="33" t="n">
        <v>1</v>
      </c>
      <c r="L593" s="34" t="inlineStr">
        <is>
          <t>Winst- en verliesrekening</t>
        </is>
      </c>
      <c r="M593" s="34" t="inlineStr">
        <is>
          <t>Afschrijvingen</t>
        </is>
      </c>
      <c r="N593" s="34" t="inlineStr">
        <is>
          <t>Afschr. auto</t>
        </is>
      </c>
      <c r="O593" s="36">
        <f>IFERROR(INDEX('Mapping'!$F$2:$F$60,MATCH(B593,'Mapping'!$A$2:$A$60,0)),"")</f>
        <v/>
      </c>
    </row>
    <row r="594">
      <c r="A594" s="32" t="n">
        <v>45689</v>
      </c>
      <c r="B594" s="33" t="n">
        <v>4610</v>
      </c>
      <c r="C594" s="34" t="inlineStr">
        <is>
          <t>Afschrijving vervoermiddelen</t>
        </is>
      </c>
      <c r="D594" s="34" t="inlineStr">
        <is>
          <t>Overhead</t>
        </is>
      </c>
      <c r="E594" s="34" t="inlineStr">
        <is>
          <t>Algemeen</t>
        </is>
      </c>
      <c r="F594" s="34" t="inlineStr"/>
      <c r="G594" s="35" t="n">
        <v>2870</v>
      </c>
      <c r="H594" s="35" t="n">
        <v>0</v>
      </c>
      <c r="I594" s="35">
        <f>G594-H594</f>
        <v/>
      </c>
      <c r="J594" s="33" t="n">
        <v>2025</v>
      </c>
      <c r="K594" s="33" t="n">
        <v>2</v>
      </c>
      <c r="L594" s="34" t="inlineStr">
        <is>
          <t>Winst- en verliesrekening</t>
        </is>
      </c>
      <c r="M594" s="34" t="inlineStr">
        <is>
          <t>Afschrijvingen</t>
        </is>
      </c>
      <c r="N594" s="34" t="inlineStr">
        <is>
          <t>Afschr. auto</t>
        </is>
      </c>
      <c r="O594" s="36">
        <f>IFERROR(INDEX('Mapping'!$F$2:$F$60,MATCH(B594,'Mapping'!$A$2:$A$60,0)),"")</f>
        <v/>
      </c>
    </row>
    <row r="595">
      <c r="A595" s="32" t="n">
        <v>45717</v>
      </c>
      <c r="B595" s="33" t="n">
        <v>4610</v>
      </c>
      <c r="C595" s="34" t="inlineStr">
        <is>
          <t>Afschrijving vervoermiddelen</t>
        </is>
      </c>
      <c r="D595" s="34" t="inlineStr">
        <is>
          <t>Overhead</t>
        </is>
      </c>
      <c r="E595" s="34" t="inlineStr">
        <is>
          <t>Algemeen</t>
        </is>
      </c>
      <c r="F595" s="34" t="inlineStr"/>
      <c r="G595" s="35" t="n">
        <v>3608</v>
      </c>
      <c r="H595" s="35" t="n">
        <v>0</v>
      </c>
      <c r="I595" s="35">
        <f>G595-H595</f>
        <v/>
      </c>
      <c r="J595" s="33" t="n">
        <v>2025</v>
      </c>
      <c r="K595" s="33" t="n">
        <v>3</v>
      </c>
      <c r="L595" s="34" t="inlineStr">
        <is>
          <t>Winst- en verliesrekening</t>
        </is>
      </c>
      <c r="M595" s="34" t="inlineStr">
        <is>
          <t>Afschrijvingen</t>
        </is>
      </c>
      <c r="N595" s="34" t="inlineStr">
        <is>
          <t>Afschr. auto</t>
        </is>
      </c>
      <c r="O595" s="36">
        <f>IFERROR(INDEX('Mapping'!$F$2:$F$60,MATCH(B595,'Mapping'!$A$2:$A$60,0)),"")</f>
        <v/>
      </c>
    </row>
    <row r="596">
      <c r="A596" s="32" t="n">
        <v>45748</v>
      </c>
      <c r="B596" s="33" t="n">
        <v>4610</v>
      </c>
      <c r="C596" s="34" t="inlineStr">
        <is>
          <t>Afschrijving vervoermiddelen</t>
        </is>
      </c>
      <c r="D596" s="34" t="inlineStr">
        <is>
          <t>Overhead</t>
        </is>
      </c>
      <c r="E596" s="34" t="inlineStr">
        <is>
          <t>Algemeen</t>
        </is>
      </c>
      <c r="F596" s="34" t="inlineStr"/>
      <c r="G596" s="35" t="n">
        <v>3362</v>
      </c>
      <c r="H596" s="35" t="n">
        <v>0</v>
      </c>
      <c r="I596" s="35">
        <f>G596-H596</f>
        <v/>
      </c>
      <c r="J596" s="33" t="n">
        <v>2025</v>
      </c>
      <c r="K596" s="33" t="n">
        <v>4</v>
      </c>
      <c r="L596" s="34" t="inlineStr">
        <is>
          <t>Winst- en verliesrekening</t>
        </is>
      </c>
      <c r="M596" s="34" t="inlineStr">
        <is>
          <t>Afschrijvingen</t>
        </is>
      </c>
      <c r="N596" s="34" t="inlineStr">
        <is>
          <t>Afschr. auto</t>
        </is>
      </c>
      <c r="O596" s="36">
        <f>IFERROR(INDEX('Mapping'!$F$2:$F$60,MATCH(B596,'Mapping'!$A$2:$A$60,0)),"")</f>
        <v/>
      </c>
    </row>
    <row r="597">
      <c r="A597" s="32" t="n">
        <v>45778</v>
      </c>
      <c r="B597" s="33" t="n">
        <v>4610</v>
      </c>
      <c r="C597" s="34" t="inlineStr">
        <is>
          <t>Afschrijving vervoermiddelen</t>
        </is>
      </c>
      <c r="D597" s="34" t="inlineStr">
        <is>
          <t>Overhead</t>
        </is>
      </c>
      <c r="E597" s="34" t="inlineStr">
        <is>
          <t>Algemeen</t>
        </is>
      </c>
      <c r="F597" s="34" t="inlineStr"/>
      <c r="G597" s="35" t="n">
        <v>3526</v>
      </c>
      <c r="H597" s="35" t="n">
        <v>0</v>
      </c>
      <c r="I597" s="35">
        <f>G597-H597</f>
        <v/>
      </c>
      <c r="J597" s="33" t="n">
        <v>2025</v>
      </c>
      <c r="K597" s="33" t="n">
        <v>5</v>
      </c>
      <c r="L597" s="34" t="inlineStr">
        <is>
          <t>Winst- en verliesrekening</t>
        </is>
      </c>
      <c r="M597" s="34" t="inlineStr">
        <is>
          <t>Afschrijvingen</t>
        </is>
      </c>
      <c r="N597" s="34" t="inlineStr">
        <is>
          <t>Afschr. auto</t>
        </is>
      </c>
      <c r="O597" s="36">
        <f>IFERROR(INDEX('Mapping'!$F$2:$F$60,MATCH(B597,'Mapping'!$A$2:$A$60,0)),"")</f>
        <v/>
      </c>
    </row>
    <row r="598">
      <c r="A598" s="32" t="n">
        <v>45809</v>
      </c>
      <c r="B598" s="33" t="n">
        <v>4610</v>
      </c>
      <c r="C598" s="34" t="inlineStr">
        <is>
          <t>Afschrijving vervoermiddelen</t>
        </is>
      </c>
      <c r="D598" s="34" t="inlineStr">
        <is>
          <t>Overhead</t>
        </is>
      </c>
      <c r="E598" s="34" t="inlineStr">
        <is>
          <t>Algemeen</t>
        </is>
      </c>
      <c r="F598" s="34" t="inlineStr"/>
      <c r="G598" s="35" t="n">
        <v>3690</v>
      </c>
      <c r="H598" s="35" t="n">
        <v>0</v>
      </c>
      <c r="I598" s="35">
        <f>G598-H598</f>
        <v/>
      </c>
      <c r="J598" s="33" t="n">
        <v>2025</v>
      </c>
      <c r="K598" s="33" t="n">
        <v>6</v>
      </c>
      <c r="L598" s="34" t="inlineStr">
        <is>
          <t>Winst- en verliesrekening</t>
        </is>
      </c>
      <c r="M598" s="34" t="inlineStr">
        <is>
          <t>Afschrijvingen</t>
        </is>
      </c>
      <c r="N598" s="34" t="inlineStr">
        <is>
          <t>Afschr. auto</t>
        </is>
      </c>
      <c r="O598" s="36">
        <f>IFERROR(INDEX('Mapping'!$F$2:$F$60,MATCH(B598,'Mapping'!$A$2:$A$60,0)),"")</f>
        <v/>
      </c>
    </row>
    <row r="599">
      <c r="A599" s="32" t="n">
        <v>45839</v>
      </c>
      <c r="B599" s="33" t="n">
        <v>4610</v>
      </c>
      <c r="C599" s="34" t="inlineStr">
        <is>
          <t>Afschrijving vervoermiddelen</t>
        </is>
      </c>
      <c r="D599" s="34" t="inlineStr">
        <is>
          <t>Overhead</t>
        </is>
      </c>
      <c r="E599" s="34" t="inlineStr">
        <is>
          <t>Algemeen</t>
        </is>
      </c>
      <c r="F599" s="34" t="inlineStr"/>
      <c r="G599" s="35" t="n">
        <v>3116</v>
      </c>
      <c r="H599" s="35" t="n">
        <v>0</v>
      </c>
      <c r="I599" s="35">
        <f>G599-H599</f>
        <v/>
      </c>
      <c r="J599" s="33" t="n">
        <v>2025</v>
      </c>
      <c r="K599" s="33" t="n">
        <v>7</v>
      </c>
      <c r="L599" s="34" t="inlineStr">
        <is>
          <t>Winst- en verliesrekening</t>
        </is>
      </c>
      <c r="M599" s="34" t="inlineStr">
        <is>
          <t>Afschrijvingen</t>
        </is>
      </c>
      <c r="N599" s="34" t="inlineStr">
        <is>
          <t>Afschr. auto</t>
        </is>
      </c>
      <c r="O599" s="36">
        <f>IFERROR(INDEX('Mapping'!$F$2:$F$60,MATCH(B599,'Mapping'!$A$2:$A$60,0)),"")</f>
        <v/>
      </c>
    </row>
    <row r="600">
      <c r="A600" s="32" t="n">
        <v>45870</v>
      </c>
      <c r="B600" s="33" t="n">
        <v>4610</v>
      </c>
      <c r="C600" s="34" t="inlineStr">
        <is>
          <t>Afschrijving vervoermiddelen</t>
        </is>
      </c>
      <c r="D600" s="34" t="inlineStr">
        <is>
          <t>Overhead</t>
        </is>
      </c>
      <c r="E600" s="34" t="inlineStr">
        <is>
          <t>Algemeen</t>
        </is>
      </c>
      <c r="F600" s="34" t="inlineStr"/>
      <c r="G600" s="35" t="n">
        <v>2870</v>
      </c>
      <c r="H600" s="35" t="n">
        <v>0</v>
      </c>
      <c r="I600" s="35">
        <f>G600-H600</f>
        <v/>
      </c>
      <c r="J600" s="33" t="n">
        <v>2025</v>
      </c>
      <c r="K600" s="33" t="n">
        <v>8</v>
      </c>
      <c r="L600" s="34" t="inlineStr">
        <is>
          <t>Winst- en verliesrekening</t>
        </is>
      </c>
      <c r="M600" s="34" t="inlineStr">
        <is>
          <t>Afschrijvingen</t>
        </is>
      </c>
      <c r="N600" s="34" t="inlineStr">
        <is>
          <t>Afschr. auto</t>
        </is>
      </c>
      <c r="O600" s="36">
        <f>IFERROR(INDEX('Mapping'!$F$2:$F$60,MATCH(B600,'Mapping'!$A$2:$A$60,0)),"")</f>
        <v/>
      </c>
    </row>
    <row r="601">
      <c r="A601" s="32" t="n">
        <v>45901</v>
      </c>
      <c r="B601" s="33" t="n">
        <v>4610</v>
      </c>
      <c r="C601" s="34" t="inlineStr">
        <is>
          <t>Afschrijving vervoermiddelen</t>
        </is>
      </c>
      <c r="D601" s="34" t="inlineStr">
        <is>
          <t>Overhead</t>
        </is>
      </c>
      <c r="E601" s="34" t="inlineStr">
        <is>
          <t>Algemeen</t>
        </is>
      </c>
      <c r="F601" s="34" t="inlineStr"/>
      <c r="G601" s="35" t="n">
        <v>3608</v>
      </c>
      <c r="H601" s="35" t="n">
        <v>0</v>
      </c>
      <c r="I601" s="35">
        <f>G601-H601</f>
        <v/>
      </c>
      <c r="J601" s="33" t="n">
        <v>2025</v>
      </c>
      <c r="K601" s="33" t="n">
        <v>9</v>
      </c>
      <c r="L601" s="34" t="inlineStr">
        <is>
          <t>Winst- en verliesrekening</t>
        </is>
      </c>
      <c r="M601" s="34" t="inlineStr">
        <is>
          <t>Afschrijvingen</t>
        </is>
      </c>
      <c r="N601" s="34" t="inlineStr">
        <is>
          <t>Afschr. auto</t>
        </is>
      </c>
      <c r="O601" s="36">
        <f>IFERROR(INDEX('Mapping'!$F$2:$F$60,MATCH(B601,'Mapping'!$A$2:$A$60,0)),"")</f>
        <v/>
      </c>
    </row>
    <row r="602">
      <c r="A602" s="32" t="n">
        <v>45931</v>
      </c>
      <c r="B602" s="33" t="n">
        <v>4610</v>
      </c>
      <c r="C602" s="34" t="inlineStr">
        <is>
          <t>Afschrijving vervoermiddelen</t>
        </is>
      </c>
      <c r="D602" s="34" t="inlineStr">
        <is>
          <t>Overhead</t>
        </is>
      </c>
      <c r="E602" s="34" t="inlineStr">
        <is>
          <t>Algemeen</t>
        </is>
      </c>
      <c r="F602" s="34" t="inlineStr"/>
      <c r="G602" s="35" t="n">
        <v>3690</v>
      </c>
      <c r="H602" s="35" t="n">
        <v>0</v>
      </c>
      <c r="I602" s="35">
        <f>G602-H602</f>
        <v/>
      </c>
      <c r="J602" s="33" t="n">
        <v>2025</v>
      </c>
      <c r="K602" s="33" t="n">
        <v>10</v>
      </c>
      <c r="L602" s="34" t="inlineStr">
        <is>
          <t>Winst- en verliesrekening</t>
        </is>
      </c>
      <c r="M602" s="34" t="inlineStr">
        <is>
          <t>Afschrijvingen</t>
        </is>
      </c>
      <c r="N602" s="34" t="inlineStr">
        <is>
          <t>Afschr. auto</t>
        </is>
      </c>
      <c r="O602" s="36">
        <f>IFERROR(INDEX('Mapping'!$F$2:$F$60,MATCH(B602,'Mapping'!$A$2:$A$60,0)),"")</f>
        <v/>
      </c>
    </row>
    <row r="603">
      <c r="A603" s="32" t="n">
        <v>45962</v>
      </c>
      <c r="B603" s="33" t="n">
        <v>4610</v>
      </c>
      <c r="C603" s="34" t="inlineStr">
        <is>
          <t>Afschrijving vervoermiddelen</t>
        </is>
      </c>
      <c r="D603" s="34" t="inlineStr">
        <is>
          <t>Overhead</t>
        </is>
      </c>
      <c r="E603" s="34" t="inlineStr">
        <is>
          <t>Algemeen</t>
        </is>
      </c>
      <c r="F603" s="34" t="inlineStr"/>
      <c r="G603" s="35" t="n">
        <v>3526</v>
      </c>
      <c r="H603" s="35" t="n">
        <v>0</v>
      </c>
      <c r="I603" s="35">
        <f>G603-H603</f>
        <v/>
      </c>
      <c r="J603" s="33" t="n">
        <v>2025</v>
      </c>
      <c r="K603" s="33" t="n">
        <v>11</v>
      </c>
      <c r="L603" s="34" t="inlineStr">
        <is>
          <t>Winst- en verliesrekening</t>
        </is>
      </c>
      <c r="M603" s="34" t="inlineStr">
        <is>
          <t>Afschrijvingen</t>
        </is>
      </c>
      <c r="N603" s="34" t="inlineStr">
        <is>
          <t>Afschr. auto</t>
        </is>
      </c>
      <c r="O603" s="36">
        <f>IFERROR(INDEX('Mapping'!$F$2:$F$60,MATCH(B603,'Mapping'!$A$2:$A$60,0)),"")</f>
        <v/>
      </c>
    </row>
    <row r="604">
      <c r="A604" s="32" t="n">
        <v>45992</v>
      </c>
      <c r="B604" s="33" t="n">
        <v>4610</v>
      </c>
      <c r="C604" s="34" t="inlineStr">
        <is>
          <t>Afschrijving vervoermiddelen</t>
        </is>
      </c>
      <c r="D604" s="34" t="inlineStr">
        <is>
          <t>Overhead</t>
        </is>
      </c>
      <c r="E604" s="34" t="inlineStr">
        <is>
          <t>Algemeen</t>
        </is>
      </c>
      <c r="F604" s="34" t="inlineStr"/>
      <c r="G604" s="35" t="n">
        <v>4264</v>
      </c>
      <c r="H604" s="35" t="n">
        <v>0</v>
      </c>
      <c r="I604" s="35">
        <f>G604-H604</f>
        <v/>
      </c>
      <c r="J604" s="33" t="n">
        <v>2025</v>
      </c>
      <c r="K604" s="33" t="n">
        <v>12</v>
      </c>
      <c r="L604" s="34" t="inlineStr">
        <is>
          <t>Winst- en verliesrekening</t>
        </is>
      </c>
      <c r="M604" s="34" t="inlineStr">
        <is>
          <t>Afschrijvingen</t>
        </is>
      </c>
      <c r="N604" s="34" t="inlineStr">
        <is>
          <t>Afschr. auto</t>
        </is>
      </c>
      <c r="O604" s="36">
        <f>IFERROR(INDEX('Mapping'!$F$2:$F$60,MATCH(B604,'Mapping'!$A$2:$A$60,0)),"")</f>
        <v/>
      </c>
    </row>
    <row r="605">
      <c r="A605" s="32" t="n">
        <v>45292</v>
      </c>
      <c r="B605" s="33" t="n">
        <v>4700</v>
      </c>
      <c r="C605" s="34" t="inlineStr">
        <is>
          <t>Rentelasten</t>
        </is>
      </c>
      <c r="D605" s="34" t="inlineStr">
        <is>
          <t>Financieel</t>
        </is>
      </c>
      <c r="E605" s="34" t="inlineStr">
        <is>
          <t>Algemeen</t>
        </is>
      </c>
      <c r="F605" s="34" t="inlineStr"/>
      <c r="G605" s="35" t="n">
        <v>1820</v>
      </c>
      <c r="H605" s="35" t="n">
        <v>0</v>
      </c>
      <c r="I605" s="35">
        <f>G605-H605</f>
        <v/>
      </c>
      <c r="J605" s="33" t="n">
        <v>2024</v>
      </c>
      <c r="K605" s="33" t="n">
        <v>1</v>
      </c>
      <c r="L605" s="34" t="inlineStr">
        <is>
          <t>Winst- en verliesrekening</t>
        </is>
      </c>
      <c r="M605" s="34" t="inlineStr">
        <is>
          <t>Financiele baten en lasten</t>
        </is>
      </c>
      <c r="N605" s="34" t="inlineStr">
        <is>
          <t>Rentelasten</t>
        </is>
      </c>
      <c r="O605" s="36">
        <f>IFERROR(INDEX('Mapping'!$F$2:$F$60,MATCH(B605,'Mapping'!$A$2:$A$60,0)),"")</f>
        <v/>
      </c>
    </row>
    <row r="606">
      <c r="A606" s="32" t="n">
        <v>45323</v>
      </c>
      <c r="B606" s="33" t="n">
        <v>4700</v>
      </c>
      <c r="C606" s="34" t="inlineStr">
        <is>
          <t>Rentelasten</t>
        </is>
      </c>
      <c r="D606" s="34" t="inlineStr">
        <is>
          <t>Financieel</t>
        </is>
      </c>
      <c r="E606" s="34" t="inlineStr">
        <is>
          <t>Algemeen</t>
        </is>
      </c>
      <c r="F606" s="34" t="inlineStr"/>
      <c r="G606" s="35" t="n">
        <v>1820</v>
      </c>
      <c r="H606" s="35" t="n">
        <v>0</v>
      </c>
      <c r="I606" s="35">
        <f>G606-H606</f>
        <v/>
      </c>
      <c r="J606" s="33" t="n">
        <v>2024</v>
      </c>
      <c r="K606" s="33" t="n">
        <v>2</v>
      </c>
      <c r="L606" s="34" t="inlineStr">
        <is>
          <t>Winst- en verliesrekening</t>
        </is>
      </c>
      <c r="M606" s="34" t="inlineStr">
        <is>
          <t>Financiele baten en lasten</t>
        </is>
      </c>
      <c r="N606" s="34" t="inlineStr">
        <is>
          <t>Rentelasten</t>
        </is>
      </c>
      <c r="O606" s="36">
        <f>IFERROR(INDEX('Mapping'!$F$2:$F$60,MATCH(B606,'Mapping'!$A$2:$A$60,0)),"")</f>
        <v/>
      </c>
    </row>
    <row r="607">
      <c r="A607" s="32" t="n">
        <v>45352</v>
      </c>
      <c r="B607" s="33" t="n">
        <v>4700</v>
      </c>
      <c r="C607" s="34" t="inlineStr">
        <is>
          <t>Rentelasten</t>
        </is>
      </c>
      <c r="D607" s="34" t="inlineStr">
        <is>
          <t>Financieel</t>
        </is>
      </c>
      <c r="E607" s="34" t="inlineStr">
        <is>
          <t>Algemeen</t>
        </is>
      </c>
      <c r="F607" s="34" t="inlineStr"/>
      <c r="G607" s="35" t="n">
        <v>2288</v>
      </c>
      <c r="H607" s="35" t="n">
        <v>0</v>
      </c>
      <c r="I607" s="35">
        <f>G607-H607</f>
        <v/>
      </c>
      <c r="J607" s="33" t="n">
        <v>2024</v>
      </c>
      <c r="K607" s="33" t="n">
        <v>3</v>
      </c>
      <c r="L607" s="34" t="inlineStr">
        <is>
          <t>Winst- en verliesrekening</t>
        </is>
      </c>
      <c r="M607" s="34" t="inlineStr">
        <is>
          <t>Financiele baten en lasten</t>
        </is>
      </c>
      <c r="N607" s="34" t="inlineStr">
        <is>
          <t>Rentelasten</t>
        </is>
      </c>
      <c r="O607" s="36">
        <f>IFERROR(INDEX('Mapping'!$F$2:$F$60,MATCH(B607,'Mapping'!$A$2:$A$60,0)),"")</f>
        <v/>
      </c>
    </row>
    <row r="608">
      <c r="A608" s="32" t="n">
        <v>45383</v>
      </c>
      <c r="B608" s="33" t="n">
        <v>4700</v>
      </c>
      <c r="C608" s="34" t="inlineStr">
        <is>
          <t>Rentelasten</t>
        </is>
      </c>
      <c r="D608" s="34" t="inlineStr">
        <is>
          <t>Financieel</t>
        </is>
      </c>
      <c r="E608" s="34" t="inlineStr">
        <is>
          <t>Algemeen</t>
        </is>
      </c>
      <c r="F608" s="34" t="inlineStr"/>
      <c r="G608" s="35" t="n">
        <v>2132</v>
      </c>
      <c r="H608" s="35" t="n">
        <v>0</v>
      </c>
      <c r="I608" s="35">
        <f>G608-H608</f>
        <v/>
      </c>
      <c r="J608" s="33" t="n">
        <v>2024</v>
      </c>
      <c r="K608" s="33" t="n">
        <v>4</v>
      </c>
      <c r="L608" s="34" t="inlineStr">
        <is>
          <t>Winst- en verliesrekening</t>
        </is>
      </c>
      <c r="M608" s="34" t="inlineStr">
        <is>
          <t>Financiele baten en lasten</t>
        </is>
      </c>
      <c r="N608" s="34" t="inlineStr">
        <is>
          <t>Rentelasten</t>
        </is>
      </c>
      <c r="O608" s="36">
        <f>IFERROR(INDEX('Mapping'!$F$2:$F$60,MATCH(B608,'Mapping'!$A$2:$A$60,0)),"")</f>
        <v/>
      </c>
    </row>
    <row r="609">
      <c r="A609" s="32" t="n">
        <v>45413</v>
      </c>
      <c r="B609" s="33" t="n">
        <v>4700</v>
      </c>
      <c r="C609" s="34" t="inlineStr">
        <is>
          <t>Rentelasten</t>
        </is>
      </c>
      <c r="D609" s="34" t="inlineStr">
        <is>
          <t>Financieel</t>
        </is>
      </c>
      <c r="E609" s="34" t="inlineStr">
        <is>
          <t>Algemeen</t>
        </is>
      </c>
      <c r="F609" s="34" t="inlineStr"/>
      <c r="G609" s="35" t="n">
        <v>2236</v>
      </c>
      <c r="H609" s="35" t="n">
        <v>0</v>
      </c>
      <c r="I609" s="35">
        <f>G609-H609</f>
        <v/>
      </c>
      <c r="J609" s="33" t="n">
        <v>2024</v>
      </c>
      <c r="K609" s="33" t="n">
        <v>5</v>
      </c>
      <c r="L609" s="34" t="inlineStr">
        <is>
          <t>Winst- en verliesrekening</t>
        </is>
      </c>
      <c r="M609" s="34" t="inlineStr">
        <is>
          <t>Financiele baten en lasten</t>
        </is>
      </c>
      <c r="N609" s="34" t="inlineStr">
        <is>
          <t>Rentelasten</t>
        </is>
      </c>
      <c r="O609" s="36">
        <f>IFERROR(INDEX('Mapping'!$F$2:$F$60,MATCH(B609,'Mapping'!$A$2:$A$60,0)),"")</f>
        <v/>
      </c>
    </row>
    <row r="610">
      <c r="A610" s="32" t="n">
        <v>45444</v>
      </c>
      <c r="B610" s="33" t="n">
        <v>4700</v>
      </c>
      <c r="C610" s="34" t="inlineStr">
        <is>
          <t>Rentelasten</t>
        </is>
      </c>
      <c r="D610" s="34" t="inlineStr">
        <is>
          <t>Financieel</t>
        </is>
      </c>
      <c r="E610" s="34" t="inlineStr">
        <is>
          <t>Algemeen</t>
        </is>
      </c>
      <c r="F610" s="34" t="inlineStr"/>
      <c r="G610" s="35" t="n">
        <v>2340</v>
      </c>
      <c r="H610" s="35" t="n">
        <v>0</v>
      </c>
      <c r="I610" s="35">
        <f>G610-H610</f>
        <v/>
      </c>
      <c r="J610" s="33" t="n">
        <v>2024</v>
      </c>
      <c r="K610" s="33" t="n">
        <v>6</v>
      </c>
      <c r="L610" s="34" t="inlineStr">
        <is>
          <t>Winst- en verliesrekening</t>
        </is>
      </c>
      <c r="M610" s="34" t="inlineStr">
        <is>
          <t>Financiele baten en lasten</t>
        </is>
      </c>
      <c r="N610" s="34" t="inlineStr">
        <is>
          <t>Rentelasten</t>
        </is>
      </c>
      <c r="O610" s="36">
        <f>IFERROR(INDEX('Mapping'!$F$2:$F$60,MATCH(B610,'Mapping'!$A$2:$A$60,0)),"")</f>
        <v/>
      </c>
    </row>
    <row r="611">
      <c r="A611" s="32" t="n">
        <v>45474</v>
      </c>
      <c r="B611" s="33" t="n">
        <v>4700</v>
      </c>
      <c r="C611" s="34" t="inlineStr">
        <is>
          <t>Rentelasten</t>
        </is>
      </c>
      <c r="D611" s="34" t="inlineStr">
        <is>
          <t>Financieel</t>
        </is>
      </c>
      <c r="E611" s="34" t="inlineStr">
        <is>
          <t>Algemeen</t>
        </is>
      </c>
      <c r="F611" s="34" t="inlineStr"/>
      <c r="G611" s="35" t="n">
        <v>1976</v>
      </c>
      <c r="H611" s="35" t="n">
        <v>0</v>
      </c>
      <c r="I611" s="35">
        <f>G611-H611</f>
        <v/>
      </c>
      <c r="J611" s="33" t="n">
        <v>2024</v>
      </c>
      <c r="K611" s="33" t="n">
        <v>7</v>
      </c>
      <c r="L611" s="34" t="inlineStr">
        <is>
          <t>Winst- en verliesrekening</t>
        </is>
      </c>
      <c r="M611" s="34" t="inlineStr">
        <is>
          <t>Financiele baten en lasten</t>
        </is>
      </c>
      <c r="N611" s="34" t="inlineStr">
        <is>
          <t>Rentelasten</t>
        </is>
      </c>
      <c r="O611" s="36">
        <f>IFERROR(INDEX('Mapping'!$F$2:$F$60,MATCH(B611,'Mapping'!$A$2:$A$60,0)),"")</f>
        <v/>
      </c>
    </row>
    <row r="612">
      <c r="A612" s="32" t="n">
        <v>45505</v>
      </c>
      <c r="B612" s="33" t="n">
        <v>4700</v>
      </c>
      <c r="C612" s="34" t="inlineStr">
        <is>
          <t>Rentelasten</t>
        </is>
      </c>
      <c r="D612" s="34" t="inlineStr">
        <is>
          <t>Financieel</t>
        </is>
      </c>
      <c r="E612" s="34" t="inlineStr">
        <is>
          <t>Algemeen</t>
        </is>
      </c>
      <c r="F612" s="34" t="inlineStr"/>
      <c r="G612" s="35" t="n">
        <v>1820</v>
      </c>
      <c r="H612" s="35" t="n">
        <v>0</v>
      </c>
      <c r="I612" s="35">
        <f>G612-H612</f>
        <v/>
      </c>
      <c r="J612" s="33" t="n">
        <v>2024</v>
      </c>
      <c r="K612" s="33" t="n">
        <v>8</v>
      </c>
      <c r="L612" s="34" t="inlineStr">
        <is>
          <t>Winst- en verliesrekening</t>
        </is>
      </c>
      <c r="M612" s="34" t="inlineStr">
        <is>
          <t>Financiele baten en lasten</t>
        </is>
      </c>
      <c r="N612" s="34" t="inlineStr">
        <is>
          <t>Rentelasten</t>
        </is>
      </c>
      <c r="O612" s="36">
        <f>IFERROR(INDEX('Mapping'!$F$2:$F$60,MATCH(B612,'Mapping'!$A$2:$A$60,0)),"")</f>
        <v/>
      </c>
    </row>
    <row r="613">
      <c r="A613" s="32" t="n">
        <v>45536</v>
      </c>
      <c r="B613" s="33" t="n">
        <v>4700</v>
      </c>
      <c r="C613" s="34" t="inlineStr">
        <is>
          <t>Rentelasten</t>
        </is>
      </c>
      <c r="D613" s="34" t="inlineStr">
        <is>
          <t>Financieel</t>
        </is>
      </c>
      <c r="E613" s="34" t="inlineStr">
        <is>
          <t>Algemeen</t>
        </is>
      </c>
      <c r="F613" s="34" t="inlineStr"/>
      <c r="G613" s="35" t="n">
        <v>2288</v>
      </c>
      <c r="H613" s="35" t="n">
        <v>0</v>
      </c>
      <c r="I613" s="35">
        <f>G613-H613</f>
        <v/>
      </c>
      <c r="J613" s="33" t="n">
        <v>2024</v>
      </c>
      <c r="K613" s="33" t="n">
        <v>9</v>
      </c>
      <c r="L613" s="34" t="inlineStr">
        <is>
          <t>Winst- en verliesrekening</t>
        </is>
      </c>
      <c r="M613" s="34" t="inlineStr">
        <is>
          <t>Financiele baten en lasten</t>
        </is>
      </c>
      <c r="N613" s="34" t="inlineStr">
        <is>
          <t>Rentelasten</t>
        </is>
      </c>
      <c r="O613" s="36">
        <f>IFERROR(INDEX('Mapping'!$F$2:$F$60,MATCH(B613,'Mapping'!$A$2:$A$60,0)),"")</f>
        <v/>
      </c>
    </row>
    <row r="614">
      <c r="A614" s="32" t="n">
        <v>45566</v>
      </c>
      <c r="B614" s="33" t="n">
        <v>4700</v>
      </c>
      <c r="C614" s="34" t="inlineStr">
        <is>
          <t>Rentelasten</t>
        </is>
      </c>
      <c r="D614" s="34" t="inlineStr">
        <is>
          <t>Financieel</t>
        </is>
      </c>
      <c r="E614" s="34" t="inlineStr">
        <is>
          <t>Algemeen</t>
        </is>
      </c>
      <c r="F614" s="34" t="inlineStr"/>
      <c r="G614" s="35" t="n">
        <v>2340</v>
      </c>
      <c r="H614" s="35" t="n">
        <v>0</v>
      </c>
      <c r="I614" s="35">
        <f>G614-H614</f>
        <v/>
      </c>
      <c r="J614" s="33" t="n">
        <v>2024</v>
      </c>
      <c r="K614" s="33" t="n">
        <v>10</v>
      </c>
      <c r="L614" s="34" t="inlineStr">
        <is>
          <t>Winst- en verliesrekening</t>
        </is>
      </c>
      <c r="M614" s="34" t="inlineStr">
        <is>
          <t>Financiele baten en lasten</t>
        </is>
      </c>
      <c r="N614" s="34" t="inlineStr">
        <is>
          <t>Rentelasten</t>
        </is>
      </c>
      <c r="O614" s="36">
        <f>IFERROR(INDEX('Mapping'!$F$2:$F$60,MATCH(B614,'Mapping'!$A$2:$A$60,0)),"")</f>
        <v/>
      </c>
    </row>
    <row r="615">
      <c r="A615" s="32" t="n">
        <v>45597</v>
      </c>
      <c r="B615" s="33" t="n">
        <v>4700</v>
      </c>
      <c r="C615" s="34" t="inlineStr">
        <is>
          <t>Rentelasten</t>
        </is>
      </c>
      <c r="D615" s="34" t="inlineStr">
        <is>
          <t>Financieel</t>
        </is>
      </c>
      <c r="E615" s="34" t="inlineStr">
        <is>
          <t>Algemeen</t>
        </is>
      </c>
      <c r="F615" s="34" t="inlineStr"/>
      <c r="G615" s="35" t="n">
        <v>2236</v>
      </c>
      <c r="H615" s="35" t="n">
        <v>0</v>
      </c>
      <c r="I615" s="35">
        <f>G615-H615</f>
        <v/>
      </c>
      <c r="J615" s="33" t="n">
        <v>2024</v>
      </c>
      <c r="K615" s="33" t="n">
        <v>11</v>
      </c>
      <c r="L615" s="34" t="inlineStr">
        <is>
          <t>Winst- en verliesrekening</t>
        </is>
      </c>
      <c r="M615" s="34" t="inlineStr">
        <is>
          <t>Financiele baten en lasten</t>
        </is>
      </c>
      <c r="N615" s="34" t="inlineStr">
        <is>
          <t>Rentelasten</t>
        </is>
      </c>
      <c r="O615" s="36">
        <f>IFERROR(INDEX('Mapping'!$F$2:$F$60,MATCH(B615,'Mapping'!$A$2:$A$60,0)),"")</f>
        <v/>
      </c>
    </row>
    <row r="616">
      <c r="A616" s="32" t="n">
        <v>45627</v>
      </c>
      <c r="B616" s="33" t="n">
        <v>4700</v>
      </c>
      <c r="C616" s="34" t="inlineStr">
        <is>
          <t>Rentelasten</t>
        </is>
      </c>
      <c r="D616" s="34" t="inlineStr">
        <is>
          <t>Financieel</t>
        </is>
      </c>
      <c r="E616" s="34" t="inlineStr">
        <is>
          <t>Algemeen</t>
        </is>
      </c>
      <c r="F616" s="34" t="inlineStr"/>
      <c r="G616" s="35" t="n">
        <v>2704</v>
      </c>
      <c r="H616" s="35" t="n">
        <v>0</v>
      </c>
      <c r="I616" s="35">
        <f>G616-H616</f>
        <v/>
      </c>
      <c r="J616" s="33" t="n">
        <v>2024</v>
      </c>
      <c r="K616" s="33" t="n">
        <v>12</v>
      </c>
      <c r="L616" s="34" t="inlineStr">
        <is>
          <t>Winst- en verliesrekening</t>
        </is>
      </c>
      <c r="M616" s="34" t="inlineStr">
        <is>
          <t>Financiele baten en lasten</t>
        </is>
      </c>
      <c r="N616" s="34" t="inlineStr">
        <is>
          <t>Rentelasten</t>
        </is>
      </c>
      <c r="O616" s="36">
        <f>IFERROR(INDEX('Mapping'!$F$2:$F$60,MATCH(B616,'Mapping'!$A$2:$A$60,0)),"")</f>
        <v/>
      </c>
    </row>
    <row r="617">
      <c r="A617" s="32" t="n">
        <v>45658</v>
      </c>
      <c r="B617" s="33" t="n">
        <v>4700</v>
      </c>
      <c r="C617" s="34" t="inlineStr">
        <is>
          <t>Rentelasten</t>
        </is>
      </c>
      <c r="D617" s="34" t="inlineStr">
        <is>
          <t>Financieel</t>
        </is>
      </c>
      <c r="E617" s="34" t="inlineStr">
        <is>
          <t>Algemeen</t>
        </is>
      </c>
      <c r="F617" s="34" t="inlineStr"/>
      <c r="G617" s="35" t="n">
        <v>1750</v>
      </c>
      <c r="H617" s="35" t="n">
        <v>0</v>
      </c>
      <c r="I617" s="35">
        <f>G617-H617</f>
        <v/>
      </c>
      <c r="J617" s="33" t="n">
        <v>2025</v>
      </c>
      <c r="K617" s="33" t="n">
        <v>1</v>
      </c>
      <c r="L617" s="34" t="inlineStr">
        <is>
          <t>Winst- en verliesrekening</t>
        </is>
      </c>
      <c r="M617" s="34" t="inlineStr">
        <is>
          <t>Financiele baten en lasten</t>
        </is>
      </c>
      <c r="N617" s="34" t="inlineStr">
        <is>
          <t>Rentelasten</t>
        </is>
      </c>
      <c r="O617" s="36">
        <f>IFERROR(INDEX('Mapping'!$F$2:$F$60,MATCH(B617,'Mapping'!$A$2:$A$60,0)),"")</f>
        <v/>
      </c>
    </row>
    <row r="618">
      <c r="A618" s="32" t="n">
        <v>45689</v>
      </c>
      <c r="B618" s="33" t="n">
        <v>4700</v>
      </c>
      <c r="C618" s="34" t="inlineStr">
        <is>
          <t>Rentelasten</t>
        </is>
      </c>
      <c r="D618" s="34" t="inlineStr">
        <is>
          <t>Financieel</t>
        </is>
      </c>
      <c r="E618" s="34" t="inlineStr">
        <is>
          <t>Algemeen</t>
        </is>
      </c>
      <c r="F618" s="34" t="inlineStr"/>
      <c r="G618" s="35" t="n">
        <v>1750</v>
      </c>
      <c r="H618" s="35" t="n">
        <v>0</v>
      </c>
      <c r="I618" s="35">
        <f>G618-H618</f>
        <v/>
      </c>
      <c r="J618" s="33" t="n">
        <v>2025</v>
      </c>
      <c r="K618" s="33" t="n">
        <v>2</v>
      </c>
      <c r="L618" s="34" t="inlineStr">
        <is>
          <t>Winst- en verliesrekening</t>
        </is>
      </c>
      <c r="M618" s="34" t="inlineStr">
        <is>
          <t>Financiele baten en lasten</t>
        </is>
      </c>
      <c r="N618" s="34" t="inlineStr">
        <is>
          <t>Rentelasten</t>
        </is>
      </c>
      <c r="O618" s="36">
        <f>IFERROR(INDEX('Mapping'!$F$2:$F$60,MATCH(B618,'Mapping'!$A$2:$A$60,0)),"")</f>
        <v/>
      </c>
    </row>
    <row r="619">
      <c r="A619" s="32" t="n">
        <v>45717</v>
      </c>
      <c r="B619" s="33" t="n">
        <v>4700</v>
      </c>
      <c r="C619" s="34" t="inlineStr">
        <is>
          <t>Rentelasten</t>
        </is>
      </c>
      <c r="D619" s="34" t="inlineStr">
        <is>
          <t>Financieel</t>
        </is>
      </c>
      <c r="E619" s="34" t="inlineStr">
        <is>
          <t>Algemeen</t>
        </is>
      </c>
      <c r="F619" s="34" t="inlineStr"/>
      <c r="G619" s="35" t="n">
        <v>2200</v>
      </c>
      <c r="H619" s="35" t="n">
        <v>0</v>
      </c>
      <c r="I619" s="35">
        <f>G619-H619</f>
        <v/>
      </c>
      <c r="J619" s="33" t="n">
        <v>2025</v>
      </c>
      <c r="K619" s="33" t="n">
        <v>3</v>
      </c>
      <c r="L619" s="34" t="inlineStr">
        <is>
          <t>Winst- en verliesrekening</t>
        </is>
      </c>
      <c r="M619" s="34" t="inlineStr">
        <is>
          <t>Financiele baten en lasten</t>
        </is>
      </c>
      <c r="N619" s="34" t="inlineStr">
        <is>
          <t>Rentelasten</t>
        </is>
      </c>
      <c r="O619" s="36">
        <f>IFERROR(INDEX('Mapping'!$F$2:$F$60,MATCH(B619,'Mapping'!$A$2:$A$60,0)),"")</f>
        <v/>
      </c>
    </row>
    <row r="620">
      <c r="A620" s="32" t="n">
        <v>45748</v>
      </c>
      <c r="B620" s="33" t="n">
        <v>4700</v>
      </c>
      <c r="C620" s="34" t="inlineStr">
        <is>
          <t>Rentelasten</t>
        </is>
      </c>
      <c r="D620" s="34" t="inlineStr">
        <is>
          <t>Financieel</t>
        </is>
      </c>
      <c r="E620" s="34" t="inlineStr">
        <is>
          <t>Algemeen</t>
        </is>
      </c>
      <c r="F620" s="34" t="inlineStr"/>
      <c r="G620" s="35" t="n">
        <v>2050</v>
      </c>
      <c r="H620" s="35" t="n">
        <v>0</v>
      </c>
      <c r="I620" s="35">
        <f>G620-H620</f>
        <v/>
      </c>
      <c r="J620" s="33" t="n">
        <v>2025</v>
      </c>
      <c r="K620" s="33" t="n">
        <v>4</v>
      </c>
      <c r="L620" s="34" t="inlineStr">
        <is>
          <t>Winst- en verliesrekening</t>
        </is>
      </c>
      <c r="M620" s="34" t="inlineStr">
        <is>
          <t>Financiele baten en lasten</t>
        </is>
      </c>
      <c r="N620" s="34" t="inlineStr">
        <is>
          <t>Rentelasten</t>
        </is>
      </c>
      <c r="O620" s="36">
        <f>IFERROR(INDEX('Mapping'!$F$2:$F$60,MATCH(B620,'Mapping'!$A$2:$A$60,0)),"")</f>
        <v/>
      </c>
    </row>
    <row r="621">
      <c r="A621" s="32" t="n">
        <v>45778</v>
      </c>
      <c r="B621" s="33" t="n">
        <v>4700</v>
      </c>
      <c r="C621" s="34" t="inlineStr">
        <is>
          <t>Rentelasten</t>
        </is>
      </c>
      <c r="D621" s="34" t="inlineStr">
        <is>
          <t>Financieel</t>
        </is>
      </c>
      <c r="E621" s="34" t="inlineStr">
        <is>
          <t>Algemeen</t>
        </is>
      </c>
      <c r="F621" s="34" t="inlineStr"/>
      <c r="G621" s="35" t="n">
        <v>2150</v>
      </c>
      <c r="H621" s="35" t="n">
        <v>0</v>
      </c>
      <c r="I621" s="35">
        <f>G621-H621</f>
        <v/>
      </c>
      <c r="J621" s="33" t="n">
        <v>2025</v>
      </c>
      <c r="K621" s="33" t="n">
        <v>5</v>
      </c>
      <c r="L621" s="34" t="inlineStr">
        <is>
          <t>Winst- en verliesrekening</t>
        </is>
      </c>
      <c r="M621" s="34" t="inlineStr">
        <is>
          <t>Financiele baten en lasten</t>
        </is>
      </c>
      <c r="N621" s="34" t="inlineStr">
        <is>
          <t>Rentelasten</t>
        </is>
      </c>
      <c r="O621" s="36">
        <f>IFERROR(INDEX('Mapping'!$F$2:$F$60,MATCH(B621,'Mapping'!$A$2:$A$60,0)),"")</f>
        <v/>
      </c>
    </row>
    <row r="622">
      <c r="A622" s="32" t="n">
        <v>45809</v>
      </c>
      <c r="B622" s="33" t="n">
        <v>4700</v>
      </c>
      <c r="C622" s="34" t="inlineStr">
        <is>
          <t>Rentelasten</t>
        </is>
      </c>
      <c r="D622" s="34" t="inlineStr">
        <is>
          <t>Financieel</t>
        </is>
      </c>
      <c r="E622" s="34" t="inlineStr">
        <is>
          <t>Algemeen</t>
        </is>
      </c>
      <c r="F622" s="34" t="inlineStr"/>
      <c r="G622" s="35" t="n">
        <v>2250</v>
      </c>
      <c r="H622" s="35" t="n">
        <v>0</v>
      </c>
      <c r="I622" s="35">
        <f>G622-H622</f>
        <v/>
      </c>
      <c r="J622" s="33" t="n">
        <v>2025</v>
      </c>
      <c r="K622" s="33" t="n">
        <v>6</v>
      </c>
      <c r="L622" s="34" t="inlineStr">
        <is>
          <t>Winst- en verliesrekening</t>
        </is>
      </c>
      <c r="M622" s="34" t="inlineStr">
        <is>
          <t>Financiele baten en lasten</t>
        </is>
      </c>
      <c r="N622" s="34" t="inlineStr">
        <is>
          <t>Rentelasten</t>
        </is>
      </c>
      <c r="O622" s="36">
        <f>IFERROR(INDEX('Mapping'!$F$2:$F$60,MATCH(B622,'Mapping'!$A$2:$A$60,0)),"")</f>
        <v/>
      </c>
    </row>
    <row r="623">
      <c r="A623" s="32" t="n">
        <v>45839</v>
      </c>
      <c r="B623" s="33" t="n">
        <v>4700</v>
      </c>
      <c r="C623" s="34" t="inlineStr">
        <is>
          <t>Rentelasten</t>
        </is>
      </c>
      <c r="D623" s="34" t="inlineStr">
        <is>
          <t>Financieel</t>
        </is>
      </c>
      <c r="E623" s="34" t="inlineStr">
        <is>
          <t>Algemeen</t>
        </is>
      </c>
      <c r="F623" s="34" t="inlineStr"/>
      <c r="G623" s="35" t="n">
        <v>1900</v>
      </c>
      <c r="H623" s="35" t="n">
        <v>0</v>
      </c>
      <c r="I623" s="35">
        <f>G623-H623</f>
        <v/>
      </c>
      <c r="J623" s="33" t="n">
        <v>2025</v>
      </c>
      <c r="K623" s="33" t="n">
        <v>7</v>
      </c>
      <c r="L623" s="34" t="inlineStr">
        <is>
          <t>Winst- en verliesrekening</t>
        </is>
      </c>
      <c r="M623" s="34" t="inlineStr">
        <is>
          <t>Financiele baten en lasten</t>
        </is>
      </c>
      <c r="N623" s="34" t="inlineStr">
        <is>
          <t>Rentelasten</t>
        </is>
      </c>
      <c r="O623" s="36">
        <f>IFERROR(INDEX('Mapping'!$F$2:$F$60,MATCH(B623,'Mapping'!$A$2:$A$60,0)),"")</f>
        <v/>
      </c>
    </row>
    <row r="624">
      <c r="A624" s="32" t="n">
        <v>45870</v>
      </c>
      <c r="B624" s="33" t="n">
        <v>4700</v>
      </c>
      <c r="C624" s="34" t="inlineStr">
        <is>
          <t>Rentelasten</t>
        </is>
      </c>
      <c r="D624" s="34" t="inlineStr">
        <is>
          <t>Financieel</t>
        </is>
      </c>
      <c r="E624" s="34" t="inlineStr">
        <is>
          <t>Algemeen</t>
        </is>
      </c>
      <c r="F624" s="34" t="inlineStr"/>
      <c r="G624" s="35" t="n">
        <v>1750</v>
      </c>
      <c r="H624" s="35" t="n">
        <v>0</v>
      </c>
      <c r="I624" s="35">
        <f>G624-H624</f>
        <v/>
      </c>
      <c r="J624" s="33" t="n">
        <v>2025</v>
      </c>
      <c r="K624" s="33" t="n">
        <v>8</v>
      </c>
      <c r="L624" s="34" t="inlineStr">
        <is>
          <t>Winst- en verliesrekening</t>
        </is>
      </c>
      <c r="M624" s="34" t="inlineStr">
        <is>
          <t>Financiele baten en lasten</t>
        </is>
      </c>
      <c r="N624" s="34" t="inlineStr">
        <is>
          <t>Rentelasten</t>
        </is>
      </c>
      <c r="O624" s="36">
        <f>IFERROR(INDEX('Mapping'!$F$2:$F$60,MATCH(B624,'Mapping'!$A$2:$A$60,0)),"")</f>
        <v/>
      </c>
    </row>
    <row r="625">
      <c r="A625" s="32" t="n">
        <v>45901</v>
      </c>
      <c r="B625" s="33" t="n">
        <v>4700</v>
      </c>
      <c r="C625" s="34" t="inlineStr">
        <is>
          <t>Rentelasten</t>
        </is>
      </c>
      <c r="D625" s="34" t="inlineStr">
        <is>
          <t>Financieel</t>
        </is>
      </c>
      <c r="E625" s="34" t="inlineStr">
        <is>
          <t>Algemeen</t>
        </is>
      </c>
      <c r="F625" s="34" t="inlineStr"/>
      <c r="G625" s="35" t="n">
        <v>2200</v>
      </c>
      <c r="H625" s="35" t="n">
        <v>0</v>
      </c>
      <c r="I625" s="35">
        <f>G625-H625</f>
        <v/>
      </c>
      <c r="J625" s="33" t="n">
        <v>2025</v>
      </c>
      <c r="K625" s="33" t="n">
        <v>9</v>
      </c>
      <c r="L625" s="34" t="inlineStr">
        <is>
          <t>Winst- en verliesrekening</t>
        </is>
      </c>
      <c r="M625" s="34" t="inlineStr">
        <is>
          <t>Financiele baten en lasten</t>
        </is>
      </c>
      <c r="N625" s="34" t="inlineStr">
        <is>
          <t>Rentelasten</t>
        </is>
      </c>
      <c r="O625" s="36">
        <f>IFERROR(INDEX('Mapping'!$F$2:$F$60,MATCH(B625,'Mapping'!$A$2:$A$60,0)),"")</f>
        <v/>
      </c>
    </row>
    <row r="626">
      <c r="A626" s="32" t="n">
        <v>45931</v>
      </c>
      <c r="B626" s="33" t="n">
        <v>4700</v>
      </c>
      <c r="C626" s="34" t="inlineStr">
        <is>
          <t>Rentelasten</t>
        </is>
      </c>
      <c r="D626" s="34" t="inlineStr">
        <is>
          <t>Financieel</t>
        </is>
      </c>
      <c r="E626" s="34" t="inlineStr">
        <is>
          <t>Algemeen</t>
        </is>
      </c>
      <c r="F626" s="34" t="inlineStr"/>
      <c r="G626" s="35" t="n">
        <v>2250</v>
      </c>
      <c r="H626" s="35" t="n">
        <v>0</v>
      </c>
      <c r="I626" s="35">
        <f>G626-H626</f>
        <v/>
      </c>
      <c r="J626" s="33" t="n">
        <v>2025</v>
      </c>
      <c r="K626" s="33" t="n">
        <v>10</v>
      </c>
      <c r="L626" s="34" t="inlineStr">
        <is>
          <t>Winst- en verliesrekening</t>
        </is>
      </c>
      <c r="M626" s="34" t="inlineStr">
        <is>
          <t>Financiele baten en lasten</t>
        </is>
      </c>
      <c r="N626" s="34" t="inlineStr">
        <is>
          <t>Rentelasten</t>
        </is>
      </c>
      <c r="O626" s="36">
        <f>IFERROR(INDEX('Mapping'!$F$2:$F$60,MATCH(B626,'Mapping'!$A$2:$A$60,0)),"")</f>
        <v/>
      </c>
    </row>
    <row r="627">
      <c r="A627" s="32" t="n">
        <v>45962</v>
      </c>
      <c r="B627" s="33" t="n">
        <v>4700</v>
      </c>
      <c r="C627" s="34" t="inlineStr">
        <is>
          <t>Rentelasten</t>
        </is>
      </c>
      <c r="D627" s="34" t="inlineStr">
        <is>
          <t>Financieel</t>
        </is>
      </c>
      <c r="E627" s="34" t="inlineStr">
        <is>
          <t>Algemeen</t>
        </is>
      </c>
      <c r="F627" s="34" t="inlineStr"/>
      <c r="G627" s="35" t="n">
        <v>2150</v>
      </c>
      <c r="H627" s="35" t="n">
        <v>0</v>
      </c>
      <c r="I627" s="35">
        <f>G627-H627</f>
        <v/>
      </c>
      <c r="J627" s="33" t="n">
        <v>2025</v>
      </c>
      <c r="K627" s="33" t="n">
        <v>11</v>
      </c>
      <c r="L627" s="34" t="inlineStr">
        <is>
          <t>Winst- en verliesrekening</t>
        </is>
      </c>
      <c r="M627" s="34" t="inlineStr">
        <is>
          <t>Financiele baten en lasten</t>
        </is>
      </c>
      <c r="N627" s="34" t="inlineStr">
        <is>
          <t>Rentelasten</t>
        </is>
      </c>
      <c r="O627" s="36">
        <f>IFERROR(INDEX('Mapping'!$F$2:$F$60,MATCH(B627,'Mapping'!$A$2:$A$60,0)),"")</f>
        <v/>
      </c>
    </row>
    <row r="628">
      <c r="A628" s="32" t="n">
        <v>45992</v>
      </c>
      <c r="B628" s="33" t="n">
        <v>4700</v>
      </c>
      <c r="C628" s="34" t="inlineStr">
        <is>
          <t>Rentelasten</t>
        </is>
      </c>
      <c r="D628" s="34" t="inlineStr">
        <is>
          <t>Financieel</t>
        </is>
      </c>
      <c r="E628" s="34" t="inlineStr">
        <is>
          <t>Algemeen</t>
        </is>
      </c>
      <c r="F628" s="34" t="inlineStr"/>
      <c r="G628" s="35" t="n">
        <v>2600</v>
      </c>
      <c r="H628" s="35" t="n">
        <v>0</v>
      </c>
      <c r="I628" s="35">
        <f>G628-H628</f>
        <v/>
      </c>
      <c r="J628" s="33" t="n">
        <v>2025</v>
      </c>
      <c r="K628" s="33" t="n">
        <v>12</v>
      </c>
      <c r="L628" s="34" t="inlineStr">
        <is>
          <t>Winst- en verliesrekening</t>
        </is>
      </c>
      <c r="M628" s="34" t="inlineStr">
        <is>
          <t>Financiele baten en lasten</t>
        </is>
      </c>
      <c r="N628" s="34" t="inlineStr">
        <is>
          <t>Rentelasten</t>
        </is>
      </c>
      <c r="O628" s="36">
        <f>IFERROR(INDEX('Mapping'!$F$2:$F$60,MATCH(B628,'Mapping'!$A$2:$A$60,0)),"")</f>
        <v/>
      </c>
    </row>
    <row r="629">
      <c r="A629" s="32" t="n">
        <v>45292</v>
      </c>
      <c r="B629" s="33" t="n">
        <v>4710</v>
      </c>
      <c r="C629" s="34" t="inlineStr">
        <is>
          <t>Rentebaten</t>
        </is>
      </c>
      <c r="D629" s="34" t="inlineStr">
        <is>
          <t>Financieel</t>
        </is>
      </c>
      <c r="E629" s="34" t="inlineStr">
        <is>
          <t>Algemeen</t>
        </is>
      </c>
      <c r="F629" s="34" t="inlineStr"/>
      <c r="G629" s="35" t="n">
        <v>0</v>
      </c>
      <c r="H629" s="35" t="n">
        <v>140</v>
      </c>
      <c r="I629" s="35">
        <f>G629-H629</f>
        <v/>
      </c>
      <c r="J629" s="33" t="n">
        <v>2024</v>
      </c>
      <c r="K629" s="33" t="n">
        <v>1</v>
      </c>
      <c r="L629" s="34" t="inlineStr">
        <is>
          <t>Winst- en verliesrekening</t>
        </is>
      </c>
      <c r="M629" s="34" t="inlineStr">
        <is>
          <t>Financiele baten en lasten</t>
        </is>
      </c>
      <c r="N629" s="34" t="inlineStr">
        <is>
          <t>Rentebaten</t>
        </is>
      </c>
      <c r="O629" s="36">
        <f>IFERROR(INDEX('Mapping'!$F$2:$F$60,MATCH(B629,'Mapping'!$A$2:$A$60,0)),"")</f>
        <v/>
      </c>
    </row>
    <row r="630">
      <c r="A630" s="32" t="n">
        <v>45323</v>
      </c>
      <c r="B630" s="33" t="n">
        <v>4710</v>
      </c>
      <c r="C630" s="34" t="inlineStr">
        <is>
          <t>Rentebaten</t>
        </is>
      </c>
      <c r="D630" s="34" t="inlineStr">
        <is>
          <t>Financieel</t>
        </is>
      </c>
      <c r="E630" s="34" t="inlineStr">
        <is>
          <t>Algemeen</t>
        </is>
      </c>
      <c r="F630" s="34" t="inlineStr"/>
      <c r="G630" s="35" t="n">
        <v>0</v>
      </c>
      <c r="H630" s="35" t="n">
        <v>140</v>
      </c>
      <c r="I630" s="35">
        <f>G630-H630</f>
        <v/>
      </c>
      <c r="J630" s="33" t="n">
        <v>2024</v>
      </c>
      <c r="K630" s="33" t="n">
        <v>2</v>
      </c>
      <c r="L630" s="34" t="inlineStr">
        <is>
          <t>Winst- en verliesrekening</t>
        </is>
      </c>
      <c r="M630" s="34" t="inlineStr">
        <is>
          <t>Financiele baten en lasten</t>
        </is>
      </c>
      <c r="N630" s="34" t="inlineStr">
        <is>
          <t>Rentebaten</t>
        </is>
      </c>
      <c r="O630" s="36">
        <f>IFERROR(INDEX('Mapping'!$F$2:$F$60,MATCH(B630,'Mapping'!$A$2:$A$60,0)),"")</f>
        <v/>
      </c>
    </row>
    <row r="631">
      <c r="A631" s="32" t="n">
        <v>45352</v>
      </c>
      <c r="B631" s="33" t="n">
        <v>4710</v>
      </c>
      <c r="C631" s="34" t="inlineStr">
        <is>
          <t>Rentebaten</t>
        </is>
      </c>
      <c r="D631" s="34" t="inlineStr">
        <is>
          <t>Financieel</t>
        </is>
      </c>
      <c r="E631" s="34" t="inlineStr">
        <is>
          <t>Algemeen</t>
        </is>
      </c>
      <c r="F631" s="34" t="inlineStr"/>
      <c r="G631" s="35" t="n">
        <v>0</v>
      </c>
      <c r="H631" s="35" t="n">
        <v>176</v>
      </c>
      <c r="I631" s="35">
        <f>G631-H631</f>
        <v/>
      </c>
      <c r="J631" s="33" t="n">
        <v>2024</v>
      </c>
      <c r="K631" s="33" t="n">
        <v>3</v>
      </c>
      <c r="L631" s="34" t="inlineStr">
        <is>
          <t>Winst- en verliesrekening</t>
        </is>
      </c>
      <c r="M631" s="34" t="inlineStr">
        <is>
          <t>Financiele baten en lasten</t>
        </is>
      </c>
      <c r="N631" s="34" t="inlineStr">
        <is>
          <t>Rentebaten</t>
        </is>
      </c>
      <c r="O631" s="36">
        <f>IFERROR(INDEX('Mapping'!$F$2:$F$60,MATCH(B631,'Mapping'!$A$2:$A$60,0)),"")</f>
        <v/>
      </c>
    </row>
    <row r="632">
      <c r="A632" s="32" t="n">
        <v>45383</v>
      </c>
      <c r="B632" s="33" t="n">
        <v>4710</v>
      </c>
      <c r="C632" s="34" t="inlineStr">
        <is>
          <t>Rentebaten</t>
        </is>
      </c>
      <c r="D632" s="34" t="inlineStr">
        <is>
          <t>Financieel</t>
        </is>
      </c>
      <c r="E632" s="34" t="inlineStr">
        <is>
          <t>Algemeen</t>
        </is>
      </c>
      <c r="F632" s="34" t="inlineStr"/>
      <c r="G632" s="35" t="n">
        <v>0</v>
      </c>
      <c r="H632" s="35" t="n">
        <v>164</v>
      </c>
      <c r="I632" s="35">
        <f>G632-H632</f>
        <v/>
      </c>
      <c r="J632" s="33" t="n">
        <v>2024</v>
      </c>
      <c r="K632" s="33" t="n">
        <v>4</v>
      </c>
      <c r="L632" s="34" t="inlineStr">
        <is>
          <t>Winst- en verliesrekening</t>
        </is>
      </c>
      <c r="M632" s="34" t="inlineStr">
        <is>
          <t>Financiele baten en lasten</t>
        </is>
      </c>
      <c r="N632" s="34" t="inlineStr">
        <is>
          <t>Rentebaten</t>
        </is>
      </c>
      <c r="O632" s="36">
        <f>IFERROR(INDEX('Mapping'!$F$2:$F$60,MATCH(B632,'Mapping'!$A$2:$A$60,0)),"")</f>
        <v/>
      </c>
    </row>
    <row r="633">
      <c r="A633" s="32" t="n">
        <v>45413</v>
      </c>
      <c r="B633" s="33" t="n">
        <v>4710</v>
      </c>
      <c r="C633" s="34" t="inlineStr">
        <is>
          <t>Rentebaten</t>
        </is>
      </c>
      <c r="D633" s="34" t="inlineStr">
        <is>
          <t>Financieel</t>
        </is>
      </c>
      <c r="E633" s="34" t="inlineStr">
        <is>
          <t>Algemeen</t>
        </is>
      </c>
      <c r="F633" s="34" t="inlineStr"/>
      <c r="G633" s="35" t="n">
        <v>0</v>
      </c>
      <c r="H633" s="35" t="n">
        <v>172</v>
      </c>
      <c r="I633" s="35">
        <f>G633-H633</f>
        <v/>
      </c>
      <c r="J633" s="33" t="n">
        <v>2024</v>
      </c>
      <c r="K633" s="33" t="n">
        <v>5</v>
      </c>
      <c r="L633" s="34" t="inlineStr">
        <is>
          <t>Winst- en verliesrekening</t>
        </is>
      </c>
      <c r="M633" s="34" t="inlineStr">
        <is>
          <t>Financiele baten en lasten</t>
        </is>
      </c>
      <c r="N633" s="34" t="inlineStr">
        <is>
          <t>Rentebaten</t>
        </is>
      </c>
      <c r="O633" s="36">
        <f>IFERROR(INDEX('Mapping'!$F$2:$F$60,MATCH(B633,'Mapping'!$A$2:$A$60,0)),"")</f>
        <v/>
      </c>
    </row>
    <row r="634">
      <c r="A634" s="32" t="n">
        <v>45444</v>
      </c>
      <c r="B634" s="33" t="n">
        <v>4710</v>
      </c>
      <c r="C634" s="34" t="inlineStr">
        <is>
          <t>Rentebaten</t>
        </is>
      </c>
      <c r="D634" s="34" t="inlineStr">
        <is>
          <t>Financieel</t>
        </is>
      </c>
      <c r="E634" s="34" t="inlineStr">
        <is>
          <t>Algemeen</t>
        </is>
      </c>
      <c r="F634" s="34" t="inlineStr"/>
      <c r="G634" s="35" t="n">
        <v>0</v>
      </c>
      <c r="H634" s="35" t="n">
        <v>180</v>
      </c>
      <c r="I634" s="35">
        <f>G634-H634</f>
        <v/>
      </c>
      <c r="J634" s="33" t="n">
        <v>2024</v>
      </c>
      <c r="K634" s="33" t="n">
        <v>6</v>
      </c>
      <c r="L634" s="34" t="inlineStr">
        <is>
          <t>Winst- en verliesrekening</t>
        </is>
      </c>
      <c r="M634" s="34" t="inlineStr">
        <is>
          <t>Financiele baten en lasten</t>
        </is>
      </c>
      <c r="N634" s="34" t="inlineStr">
        <is>
          <t>Rentebaten</t>
        </is>
      </c>
      <c r="O634" s="36">
        <f>IFERROR(INDEX('Mapping'!$F$2:$F$60,MATCH(B634,'Mapping'!$A$2:$A$60,0)),"")</f>
        <v/>
      </c>
    </row>
    <row r="635">
      <c r="A635" s="32" t="n">
        <v>45474</v>
      </c>
      <c r="B635" s="33" t="n">
        <v>4710</v>
      </c>
      <c r="C635" s="34" t="inlineStr">
        <is>
          <t>Rentebaten</t>
        </is>
      </c>
      <c r="D635" s="34" t="inlineStr">
        <is>
          <t>Financieel</t>
        </is>
      </c>
      <c r="E635" s="34" t="inlineStr">
        <is>
          <t>Algemeen</t>
        </is>
      </c>
      <c r="F635" s="34" t="inlineStr"/>
      <c r="G635" s="35" t="n">
        <v>0</v>
      </c>
      <c r="H635" s="35" t="n">
        <v>152</v>
      </c>
      <c r="I635" s="35">
        <f>G635-H635</f>
        <v/>
      </c>
      <c r="J635" s="33" t="n">
        <v>2024</v>
      </c>
      <c r="K635" s="33" t="n">
        <v>7</v>
      </c>
      <c r="L635" s="34" t="inlineStr">
        <is>
          <t>Winst- en verliesrekening</t>
        </is>
      </c>
      <c r="M635" s="34" t="inlineStr">
        <is>
          <t>Financiele baten en lasten</t>
        </is>
      </c>
      <c r="N635" s="34" t="inlineStr">
        <is>
          <t>Rentebaten</t>
        </is>
      </c>
      <c r="O635" s="36">
        <f>IFERROR(INDEX('Mapping'!$F$2:$F$60,MATCH(B635,'Mapping'!$A$2:$A$60,0)),"")</f>
        <v/>
      </c>
    </row>
    <row r="636">
      <c r="A636" s="32" t="n">
        <v>45505</v>
      </c>
      <c r="B636" s="33" t="n">
        <v>4710</v>
      </c>
      <c r="C636" s="34" t="inlineStr">
        <is>
          <t>Rentebaten</t>
        </is>
      </c>
      <c r="D636" s="34" t="inlineStr">
        <is>
          <t>Financieel</t>
        </is>
      </c>
      <c r="E636" s="34" t="inlineStr">
        <is>
          <t>Algemeen</t>
        </is>
      </c>
      <c r="F636" s="34" t="inlineStr"/>
      <c r="G636" s="35" t="n">
        <v>0</v>
      </c>
      <c r="H636" s="35" t="n">
        <v>140</v>
      </c>
      <c r="I636" s="35">
        <f>G636-H636</f>
        <v/>
      </c>
      <c r="J636" s="33" t="n">
        <v>2024</v>
      </c>
      <c r="K636" s="33" t="n">
        <v>8</v>
      </c>
      <c r="L636" s="34" t="inlineStr">
        <is>
          <t>Winst- en verliesrekening</t>
        </is>
      </c>
      <c r="M636" s="34" t="inlineStr">
        <is>
          <t>Financiele baten en lasten</t>
        </is>
      </c>
      <c r="N636" s="34" t="inlineStr">
        <is>
          <t>Rentebaten</t>
        </is>
      </c>
      <c r="O636" s="36">
        <f>IFERROR(INDEX('Mapping'!$F$2:$F$60,MATCH(B636,'Mapping'!$A$2:$A$60,0)),"")</f>
        <v/>
      </c>
    </row>
    <row r="637">
      <c r="A637" s="32" t="n">
        <v>45536</v>
      </c>
      <c r="B637" s="33" t="n">
        <v>4710</v>
      </c>
      <c r="C637" s="34" t="inlineStr">
        <is>
          <t>Rentebaten</t>
        </is>
      </c>
      <c r="D637" s="34" t="inlineStr">
        <is>
          <t>Financieel</t>
        </is>
      </c>
      <c r="E637" s="34" t="inlineStr">
        <is>
          <t>Algemeen</t>
        </is>
      </c>
      <c r="F637" s="34" t="inlineStr"/>
      <c r="G637" s="35" t="n">
        <v>0</v>
      </c>
      <c r="H637" s="35" t="n">
        <v>176</v>
      </c>
      <c r="I637" s="35">
        <f>G637-H637</f>
        <v/>
      </c>
      <c r="J637" s="33" t="n">
        <v>2024</v>
      </c>
      <c r="K637" s="33" t="n">
        <v>9</v>
      </c>
      <c r="L637" s="34" t="inlineStr">
        <is>
          <t>Winst- en verliesrekening</t>
        </is>
      </c>
      <c r="M637" s="34" t="inlineStr">
        <is>
          <t>Financiele baten en lasten</t>
        </is>
      </c>
      <c r="N637" s="34" t="inlineStr">
        <is>
          <t>Rentebaten</t>
        </is>
      </c>
      <c r="O637" s="36">
        <f>IFERROR(INDEX('Mapping'!$F$2:$F$60,MATCH(B637,'Mapping'!$A$2:$A$60,0)),"")</f>
        <v/>
      </c>
    </row>
    <row r="638">
      <c r="A638" s="32" t="n">
        <v>45566</v>
      </c>
      <c r="B638" s="33" t="n">
        <v>4710</v>
      </c>
      <c r="C638" s="34" t="inlineStr">
        <is>
          <t>Rentebaten</t>
        </is>
      </c>
      <c r="D638" s="34" t="inlineStr">
        <is>
          <t>Financieel</t>
        </is>
      </c>
      <c r="E638" s="34" t="inlineStr">
        <is>
          <t>Algemeen</t>
        </is>
      </c>
      <c r="F638" s="34" t="inlineStr"/>
      <c r="G638" s="35" t="n">
        <v>0</v>
      </c>
      <c r="H638" s="35" t="n">
        <v>180</v>
      </c>
      <c r="I638" s="35">
        <f>G638-H638</f>
        <v/>
      </c>
      <c r="J638" s="33" t="n">
        <v>2024</v>
      </c>
      <c r="K638" s="33" t="n">
        <v>10</v>
      </c>
      <c r="L638" s="34" t="inlineStr">
        <is>
          <t>Winst- en verliesrekening</t>
        </is>
      </c>
      <c r="M638" s="34" t="inlineStr">
        <is>
          <t>Financiele baten en lasten</t>
        </is>
      </c>
      <c r="N638" s="34" t="inlineStr">
        <is>
          <t>Rentebaten</t>
        </is>
      </c>
      <c r="O638" s="36">
        <f>IFERROR(INDEX('Mapping'!$F$2:$F$60,MATCH(B638,'Mapping'!$A$2:$A$60,0)),"")</f>
        <v/>
      </c>
    </row>
    <row r="639">
      <c r="A639" s="32" t="n">
        <v>45597</v>
      </c>
      <c r="B639" s="33" t="n">
        <v>4710</v>
      </c>
      <c r="C639" s="34" t="inlineStr">
        <is>
          <t>Rentebaten</t>
        </is>
      </c>
      <c r="D639" s="34" t="inlineStr">
        <is>
          <t>Financieel</t>
        </is>
      </c>
      <c r="E639" s="34" t="inlineStr">
        <is>
          <t>Algemeen</t>
        </is>
      </c>
      <c r="F639" s="34" t="inlineStr"/>
      <c r="G639" s="35" t="n">
        <v>0</v>
      </c>
      <c r="H639" s="35" t="n">
        <v>172</v>
      </c>
      <c r="I639" s="35">
        <f>G639-H639</f>
        <v/>
      </c>
      <c r="J639" s="33" t="n">
        <v>2024</v>
      </c>
      <c r="K639" s="33" t="n">
        <v>11</v>
      </c>
      <c r="L639" s="34" t="inlineStr">
        <is>
          <t>Winst- en verliesrekening</t>
        </is>
      </c>
      <c r="M639" s="34" t="inlineStr">
        <is>
          <t>Financiele baten en lasten</t>
        </is>
      </c>
      <c r="N639" s="34" t="inlineStr">
        <is>
          <t>Rentebaten</t>
        </is>
      </c>
      <c r="O639" s="36">
        <f>IFERROR(INDEX('Mapping'!$F$2:$F$60,MATCH(B639,'Mapping'!$A$2:$A$60,0)),"")</f>
        <v/>
      </c>
    </row>
    <row r="640">
      <c r="A640" s="32" t="n">
        <v>45627</v>
      </c>
      <c r="B640" s="33" t="n">
        <v>4710</v>
      </c>
      <c r="C640" s="34" t="inlineStr">
        <is>
          <t>Rentebaten</t>
        </is>
      </c>
      <c r="D640" s="34" t="inlineStr">
        <is>
          <t>Financieel</t>
        </is>
      </c>
      <c r="E640" s="34" t="inlineStr">
        <is>
          <t>Algemeen</t>
        </is>
      </c>
      <c r="F640" s="34" t="inlineStr"/>
      <c r="G640" s="35" t="n">
        <v>0</v>
      </c>
      <c r="H640" s="35" t="n">
        <v>208</v>
      </c>
      <c r="I640" s="35">
        <f>G640-H640</f>
        <v/>
      </c>
      <c r="J640" s="33" t="n">
        <v>2024</v>
      </c>
      <c r="K640" s="33" t="n">
        <v>12</v>
      </c>
      <c r="L640" s="34" t="inlineStr">
        <is>
          <t>Winst- en verliesrekening</t>
        </is>
      </c>
      <c r="M640" s="34" t="inlineStr">
        <is>
          <t>Financiele baten en lasten</t>
        </is>
      </c>
      <c r="N640" s="34" t="inlineStr">
        <is>
          <t>Rentebaten</t>
        </is>
      </c>
      <c r="O640" s="36">
        <f>IFERROR(INDEX('Mapping'!$F$2:$F$60,MATCH(B640,'Mapping'!$A$2:$A$60,0)),"")</f>
        <v/>
      </c>
    </row>
    <row r="641">
      <c r="A641" s="32" t="n">
        <v>45658</v>
      </c>
      <c r="B641" s="33" t="n">
        <v>4710</v>
      </c>
      <c r="C641" s="34" t="inlineStr">
        <is>
          <t>Rentebaten</t>
        </is>
      </c>
      <c r="D641" s="34" t="inlineStr">
        <is>
          <t>Financieel</t>
        </is>
      </c>
      <c r="E641" s="34" t="inlineStr">
        <is>
          <t>Algemeen</t>
        </is>
      </c>
      <c r="F641" s="34" t="inlineStr"/>
      <c r="G641" s="35" t="n">
        <v>0</v>
      </c>
      <c r="H641" s="35" t="n">
        <v>210</v>
      </c>
      <c r="I641" s="35">
        <f>G641-H641</f>
        <v/>
      </c>
      <c r="J641" s="33" t="n">
        <v>2025</v>
      </c>
      <c r="K641" s="33" t="n">
        <v>1</v>
      </c>
      <c r="L641" s="34" t="inlineStr">
        <is>
          <t>Winst- en verliesrekening</t>
        </is>
      </c>
      <c r="M641" s="34" t="inlineStr">
        <is>
          <t>Financiele baten en lasten</t>
        </is>
      </c>
      <c r="N641" s="34" t="inlineStr">
        <is>
          <t>Rentebaten</t>
        </is>
      </c>
      <c r="O641" s="36">
        <f>IFERROR(INDEX('Mapping'!$F$2:$F$60,MATCH(B641,'Mapping'!$A$2:$A$60,0)),"")</f>
        <v/>
      </c>
    </row>
    <row r="642">
      <c r="A642" s="32" t="n">
        <v>45689</v>
      </c>
      <c r="B642" s="33" t="n">
        <v>4710</v>
      </c>
      <c r="C642" s="34" t="inlineStr">
        <is>
          <t>Rentebaten</t>
        </is>
      </c>
      <c r="D642" s="34" t="inlineStr">
        <is>
          <t>Financieel</t>
        </is>
      </c>
      <c r="E642" s="34" t="inlineStr">
        <is>
          <t>Algemeen</t>
        </is>
      </c>
      <c r="F642" s="34" t="inlineStr"/>
      <c r="G642" s="35" t="n">
        <v>0</v>
      </c>
      <c r="H642" s="35" t="n">
        <v>210</v>
      </c>
      <c r="I642" s="35">
        <f>G642-H642</f>
        <v/>
      </c>
      <c r="J642" s="33" t="n">
        <v>2025</v>
      </c>
      <c r="K642" s="33" t="n">
        <v>2</v>
      </c>
      <c r="L642" s="34" t="inlineStr">
        <is>
          <t>Winst- en verliesrekening</t>
        </is>
      </c>
      <c r="M642" s="34" t="inlineStr">
        <is>
          <t>Financiele baten en lasten</t>
        </is>
      </c>
      <c r="N642" s="34" t="inlineStr">
        <is>
          <t>Rentebaten</t>
        </is>
      </c>
      <c r="O642" s="36">
        <f>IFERROR(INDEX('Mapping'!$F$2:$F$60,MATCH(B642,'Mapping'!$A$2:$A$60,0)),"")</f>
        <v/>
      </c>
    </row>
    <row r="643">
      <c r="A643" s="32" t="n">
        <v>45717</v>
      </c>
      <c r="B643" s="33" t="n">
        <v>4710</v>
      </c>
      <c r="C643" s="34" t="inlineStr">
        <is>
          <t>Rentebaten</t>
        </is>
      </c>
      <c r="D643" s="34" t="inlineStr">
        <is>
          <t>Financieel</t>
        </is>
      </c>
      <c r="E643" s="34" t="inlineStr">
        <is>
          <t>Algemeen</t>
        </is>
      </c>
      <c r="F643" s="34" t="inlineStr"/>
      <c r="G643" s="35" t="n">
        <v>0</v>
      </c>
      <c r="H643" s="35" t="n">
        <v>264</v>
      </c>
      <c r="I643" s="35">
        <f>G643-H643</f>
        <v/>
      </c>
      <c r="J643" s="33" t="n">
        <v>2025</v>
      </c>
      <c r="K643" s="33" t="n">
        <v>3</v>
      </c>
      <c r="L643" s="34" t="inlineStr">
        <is>
          <t>Winst- en verliesrekening</t>
        </is>
      </c>
      <c r="M643" s="34" t="inlineStr">
        <is>
          <t>Financiele baten en lasten</t>
        </is>
      </c>
      <c r="N643" s="34" t="inlineStr">
        <is>
          <t>Rentebaten</t>
        </is>
      </c>
      <c r="O643" s="36">
        <f>IFERROR(INDEX('Mapping'!$F$2:$F$60,MATCH(B643,'Mapping'!$A$2:$A$60,0)),"")</f>
        <v/>
      </c>
    </row>
    <row r="644">
      <c r="A644" s="32" t="n">
        <v>45748</v>
      </c>
      <c r="B644" s="33" t="n">
        <v>4710</v>
      </c>
      <c r="C644" s="34" t="inlineStr">
        <is>
          <t>Rentebaten</t>
        </is>
      </c>
      <c r="D644" s="34" t="inlineStr">
        <is>
          <t>Financieel</t>
        </is>
      </c>
      <c r="E644" s="34" t="inlineStr">
        <is>
          <t>Algemeen</t>
        </is>
      </c>
      <c r="F644" s="34" t="inlineStr"/>
      <c r="G644" s="35" t="n">
        <v>0</v>
      </c>
      <c r="H644" s="35" t="n">
        <v>246</v>
      </c>
      <c r="I644" s="35">
        <f>G644-H644</f>
        <v/>
      </c>
      <c r="J644" s="33" t="n">
        <v>2025</v>
      </c>
      <c r="K644" s="33" t="n">
        <v>4</v>
      </c>
      <c r="L644" s="34" t="inlineStr">
        <is>
          <t>Winst- en verliesrekening</t>
        </is>
      </c>
      <c r="M644" s="34" t="inlineStr">
        <is>
          <t>Financiele baten en lasten</t>
        </is>
      </c>
      <c r="N644" s="34" t="inlineStr">
        <is>
          <t>Rentebaten</t>
        </is>
      </c>
      <c r="O644" s="36">
        <f>IFERROR(INDEX('Mapping'!$F$2:$F$60,MATCH(B644,'Mapping'!$A$2:$A$60,0)),"")</f>
        <v/>
      </c>
    </row>
    <row r="645">
      <c r="A645" s="32" t="n">
        <v>45778</v>
      </c>
      <c r="B645" s="33" t="n">
        <v>4710</v>
      </c>
      <c r="C645" s="34" t="inlineStr">
        <is>
          <t>Rentebaten</t>
        </is>
      </c>
      <c r="D645" s="34" t="inlineStr">
        <is>
          <t>Financieel</t>
        </is>
      </c>
      <c r="E645" s="34" t="inlineStr">
        <is>
          <t>Algemeen</t>
        </is>
      </c>
      <c r="F645" s="34" t="inlineStr"/>
      <c r="G645" s="35" t="n">
        <v>0</v>
      </c>
      <c r="H645" s="35" t="n">
        <v>258</v>
      </c>
      <c r="I645" s="35">
        <f>G645-H645</f>
        <v/>
      </c>
      <c r="J645" s="33" t="n">
        <v>2025</v>
      </c>
      <c r="K645" s="33" t="n">
        <v>5</v>
      </c>
      <c r="L645" s="34" t="inlineStr">
        <is>
          <t>Winst- en verliesrekening</t>
        </is>
      </c>
      <c r="M645" s="34" t="inlineStr">
        <is>
          <t>Financiele baten en lasten</t>
        </is>
      </c>
      <c r="N645" s="34" t="inlineStr">
        <is>
          <t>Rentebaten</t>
        </is>
      </c>
      <c r="O645" s="36">
        <f>IFERROR(INDEX('Mapping'!$F$2:$F$60,MATCH(B645,'Mapping'!$A$2:$A$60,0)),"")</f>
        <v/>
      </c>
    </row>
    <row r="646">
      <c r="A646" s="32" t="n">
        <v>45809</v>
      </c>
      <c r="B646" s="33" t="n">
        <v>4710</v>
      </c>
      <c r="C646" s="34" t="inlineStr">
        <is>
          <t>Rentebaten</t>
        </is>
      </c>
      <c r="D646" s="34" t="inlineStr">
        <is>
          <t>Financieel</t>
        </is>
      </c>
      <c r="E646" s="34" t="inlineStr">
        <is>
          <t>Algemeen</t>
        </is>
      </c>
      <c r="F646" s="34" t="inlineStr"/>
      <c r="G646" s="35" t="n">
        <v>0</v>
      </c>
      <c r="H646" s="35" t="n">
        <v>270</v>
      </c>
      <c r="I646" s="35">
        <f>G646-H646</f>
        <v/>
      </c>
      <c r="J646" s="33" t="n">
        <v>2025</v>
      </c>
      <c r="K646" s="33" t="n">
        <v>6</v>
      </c>
      <c r="L646" s="34" t="inlineStr">
        <is>
          <t>Winst- en verliesrekening</t>
        </is>
      </c>
      <c r="M646" s="34" t="inlineStr">
        <is>
          <t>Financiele baten en lasten</t>
        </is>
      </c>
      <c r="N646" s="34" t="inlineStr">
        <is>
          <t>Rentebaten</t>
        </is>
      </c>
      <c r="O646" s="36">
        <f>IFERROR(INDEX('Mapping'!$F$2:$F$60,MATCH(B646,'Mapping'!$A$2:$A$60,0)),"")</f>
        <v/>
      </c>
    </row>
    <row r="647">
      <c r="A647" s="32" t="n">
        <v>45839</v>
      </c>
      <c r="B647" s="33" t="n">
        <v>4710</v>
      </c>
      <c r="C647" s="34" t="inlineStr">
        <is>
          <t>Rentebaten</t>
        </is>
      </c>
      <c r="D647" s="34" t="inlineStr">
        <is>
          <t>Financieel</t>
        </is>
      </c>
      <c r="E647" s="34" t="inlineStr">
        <is>
          <t>Algemeen</t>
        </is>
      </c>
      <c r="F647" s="34" t="inlineStr"/>
      <c r="G647" s="35" t="n">
        <v>0</v>
      </c>
      <c r="H647" s="35" t="n">
        <v>228</v>
      </c>
      <c r="I647" s="35">
        <f>G647-H647</f>
        <v/>
      </c>
      <c r="J647" s="33" t="n">
        <v>2025</v>
      </c>
      <c r="K647" s="33" t="n">
        <v>7</v>
      </c>
      <c r="L647" s="34" t="inlineStr">
        <is>
          <t>Winst- en verliesrekening</t>
        </is>
      </c>
      <c r="M647" s="34" t="inlineStr">
        <is>
          <t>Financiele baten en lasten</t>
        </is>
      </c>
      <c r="N647" s="34" t="inlineStr">
        <is>
          <t>Rentebaten</t>
        </is>
      </c>
      <c r="O647" s="36">
        <f>IFERROR(INDEX('Mapping'!$F$2:$F$60,MATCH(B647,'Mapping'!$A$2:$A$60,0)),"")</f>
        <v/>
      </c>
    </row>
    <row r="648">
      <c r="A648" s="32" t="n">
        <v>45870</v>
      </c>
      <c r="B648" s="33" t="n">
        <v>4710</v>
      </c>
      <c r="C648" s="34" t="inlineStr">
        <is>
          <t>Rentebaten</t>
        </is>
      </c>
      <c r="D648" s="34" t="inlineStr">
        <is>
          <t>Financieel</t>
        </is>
      </c>
      <c r="E648" s="34" t="inlineStr">
        <is>
          <t>Algemeen</t>
        </is>
      </c>
      <c r="F648" s="34" t="inlineStr"/>
      <c r="G648" s="35" t="n">
        <v>0</v>
      </c>
      <c r="H648" s="35" t="n">
        <v>210</v>
      </c>
      <c r="I648" s="35">
        <f>G648-H648</f>
        <v/>
      </c>
      <c r="J648" s="33" t="n">
        <v>2025</v>
      </c>
      <c r="K648" s="33" t="n">
        <v>8</v>
      </c>
      <c r="L648" s="34" t="inlineStr">
        <is>
          <t>Winst- en verliesrekening</t>
        </is>
      </c>
      <c r="M648" s="34" t="inlineStr">
        <is>
          <t>Financiele baten en lasten</t>
        </is>
      </c>
      <c r="N648" s="34" t="inlineStr">
        <is>
          <t>Rentebaten</t>
        </is>
      </c>
      <c r="O648" s="36">
        <f>IFERROR(INDEX('Mapping'!$F$2:$F$60,MATCH(B648,'Mapping'!$A$2:$A$60,0)),"")</f>
        <v/>
      </c>
    </row>
    <row r="649">
      <c r="A649" s="32" t="n">
        <v>45901</v>
      </c>
      <c r="B649" s="33" t="n">
        <v>4710</v>
      </c>
      <c r="C649" s="34" t="inlineStr">
        <is>
          <t>Rentebaten</t>
        </is>
      </c>
      <c r="D649" s="34" t="inlineStr">
        <is>
          <t>Financieel</t>
        </is>
      </c>
      <c r="E649" s="34" t="inlineStr">
        <is>
          <t>Algemeen</t>
        </is>
      </c>
      <c r="F649" s="34" t="inlineStr"/>
      <c r="G649" s="35" t="n">
        <v>0</v>
      </c>
      <c r="H649" s="35" t="n">
        <v>264</v>
      </c>
      <c r="I649" s="35">
        <f>G649-H649</f>
        <v/>
      </c>
      <c r="J649" s="33" t="n">
        <v>2025</v>
      </c>
      <c r="K649" s="33" t="n">
        <v>9</v>
      </c>
      <c r="L649" s="34" t="inlineStr">
        <is>
          <t>Winst- en verliesrekening</t>
        </is>
      </c>
      <c r="M649" s="34" t="inlineStr">
        <is>
          <t>Financiele baten en lasten</t>
        </is>
      </c>
      <c r="N649" s="34" t="inlineStr">
        <is>
          <t>Rentebaten</t>
        </is>
      </c>
      <c r="O649" s="36">
        <f>IFERROR(INDEX('Mapping'!$F$2:$F$60,MATCH(B649,'Mapping'!$A$2:$A$60,0)),"")</f>
        <v/>
      </c>
    </row>
    <row r="650">
      <c r="A650" s="32" t="n">
        <v>45931</v>
      </c>
      <c r="B650" s="33" t="n">
        <v>4710</v>
      </c>
      <c r="C650" s="34" t="inlineStr">
        <is>
          <t>Rentebaten</t>
        </is>
      </c>
      <c r="D650" s="34" t="inlineStr">
        <is>
          <t>Financieel</t>
        </is>
      </c>
      <c r="E650" s="34" t="inlineStr">
        <is>
          <t>Algemeen</t>
        </is>
      </c>
      <c r="F650" s="34" t="inlineStr"/>
      <c r="G650" s="35" t="n">
        <v>0</v>
      </c>
      <c r="H650" s="35" t="n">
        <v>270</v>
      </c>
      <c r="I650" s="35">
        <f>G650-H650</f>
        <v/>
      </c>
      <c r="J650" s="33" t="n">
        <v>2025</v>
      </c>
      <c r="K650" s="33" t="n">
        <v>10</v>
      </c>
      <c r="L650" s="34" t="inlineStr">
        <is>
          <t>Winst- en verliesrekening</t>
        </is>
      </c>
      <c r="M650" s="34" t="inlineStr">
        <is>
          <t>Financiele baten en lasten</t>
        </is>
      </c>
      <c r="N650" s="34" t="inlineStr">
        <is>
          <t>Rentebaten</t>
        </is>
      </c>
      <c r="O650" s="36">
        <f>IFERROR(INDEX('Mapping'!$F$2:$F$60,MATCH(B650,'Mapping'!$A$2:$A$60,0)),"")</f>
        <v/>
      </c>
    </row>
    <row r="651">
      <c r="A651" s="32" t="n">
        <v>45962</v>
      </c>
      <c r="B651" s="33" t="n">
        <v>4710</v>
      </c>
      <c r="C651" s="34" t="inlineStr">
        <is>
          <t>Rentebaten</t>
        </is>
      </c>
      <c r="D651" s="34" t="inlineStr">
        <is>
          <t>Financieel</t>
        </is>
      </c>
      <c r="E651" s="34" t="inlineStr">
        <is>
          <t>Algemeen</t>
        </is>
      </c>
      <c r="F651" s="34" t="inlineStr"/>
      <c r="G651" s="35" t="n">
        <v>0</v>
      </c>
      <c r="H651" s="35" t="n">
        <v>258</v>
      </c>
      <c r="I651" s="35">
        <f>G651-H651</f>
        <v/>
      </c>
      <c r="J651" s="33" t="n">
        <v>2025</v>
      </c>
      <c r="K651" s="33" t="n">
        <v>11</v>
      </c>
      <c r="L651" s="34" t="inlineStr">
        <is>
          <t>Winst- en verliesrekening</t>
        </is>
      </c>
      <c r="M651" s="34" t="inlineStr">
        <is>
          <t>Financiele baten en lasten</t>
        </is>
      </c>
      <c r="N651" s="34" t="inlineStr">
        <is>
          <t>Rentebaten</t>
        </is>
      </c>
      <c r="O651" s="36">
        <f>IFERROR(INDEX('Mapping'!$F$2:$F$60,MATCH(B651,'Mapping'!$A$2:$A$60,0)),"")</f>
        <v/>
      </c>
    </row>
    <row r="652">
      <c r="A652" s="32" t="n">
        <v>45992</v>
      </c>
      <c r="B652" s="33" t="n">
        <v>4710</v>
      </c>
      <c r="C652" s="34" t="inlineStr">
        <is>
          <t>Rentebaten</t>
        </is>
      </c>
      <c r="D652" s="34" t="inlineStr">
        <is>
          <t>Financieel</t>
        </is>
      </c>
      <c r="E652" s="34" t="inlineStr">
        <is>
          <t>Algemeen</t>
        </is>
      </c>
      <c r="F652" s="34" t="inlineStr"/>
      <c r="G652" s="35" t="n">
        <v>0</v>
      </c>
      <c r="H652" s="35" t="n">
        <v>312</v>
      </c>
      <c r="I652" s="35">
        <f>G652-H652</f>
        <v/>
      </c>
      <c r="J652" s="33" t="n">
        <v>2025</v>
      </c>
      <c r="K652" s="33" t="n">
        <v>12</v>
      </c>
      <c r="L652" s="34" t="inlineStr">
        <is>
          <t>Winst- en verliesrekening</t>
        </is>
      </c>
      <c r="M652" s="34" t="inlineStr">
        <is>
          <t>Financiele baten en lasten</t>
        </is>
      </c>
      <c r="N652" s="34" t="inlineStr">
        <is>
          <t>Rentebaten</t>
        </is>
      </c>
      <c r="O652" s="36">
        <f>IFERROR(INDEX('Mapping'!$F$2:$F$60,MATCH(B652,'Mapping'!$A$2:$A$60,0)),"")</f>
        <v/>
      </c>
    </row>
    <row r="653">
      <c r="A653" s="32" t="n">
        <v>45292</v>
      </c>
      <c r="B653" s="33" t="n">
        <v>150</v>
      </c>
      <c r="C653" s="34" t="inlineStr">
        <is>
          <t>Bedrijfsinventaris (beginbalans)</t>
        </is>
      </c>
      <c r="D653" s="34" t="inlineStr">
        <is>
          <t>Balans</t>
        </is>
      </c>
      <c r="E653" s="34" t="inlineStr">
        <is>
          <t>Balans</t>
        </is>
      </c>
      <c r="F653" s="34" t="inlineStr"/>
      <c r="G653" s="35" t="n">
        <v>230000</v>
      </c>
      <c r="H653" s="35" t="n">
        <v>0</v>
      </c>
      <c r="I653" s="35">
        <f>G653-H653</f>
        <v/>
      </c>
      <c r="J653" s="33" t="n">
        <v>2024</v>
      </c>
      <c r="K653" s="33" t="n">
        <v>0</v>
      </c>
      <c r="L653" s="34" t="inlineStr">
        <is>
          <t>Balans</t>
        </is>
      </c>
      <c r="M653" s="34" t="inlineStr">
        <is>
          <t>Materiele vaste activa</t>
        </is>
      </c>
      <c r="N653" s="34" t="inlineStr">
        <is>
          <t>Inventaris</t>
        </is>
      </c>
      <c r="O653" s="36">
        <f>IFERROR(INDEX('Mapping'!$F$2:$F$60,MATCH(B653,'Mapping'!$A$2:$A$60,0)),"")</f>
        <v/>
      </c>
    </row>
    <row r="654">
      <c r="A654" s="32" t="n">
        <v>45292</v>
      </c>
      <c r="B654" s="33" t="n">
        <v>150</v>
      </c>
      <c r="C654" s="34" t="inlineStr">
        <is>
          <t>Bedrijfsinventaris</t>
        </is>
      </c>
      <c r="D654" s="34" t="inlineStr">
        <is>
          <t>Balans</t>
        </is>
      </c>
      <c r="E654" s="34" t="inlineStr">
        <is>
          <t>Balans</t>
        </is>
      </c>
      <c r="F654" s="34" t="inlineStr"/>
      <c r="G654" s="35" t="n">
        <v>0</v>
      </c>
      <c r="H654" s="35" t="n">
        <v>700</v>
      </c>
      <c r="I654" s="35">
        <f>G654-H654</f>
        <v/>
      </c>
      <c r="J654" s="33" t="n">
        <v>2024</v>
      </c>
      <c r="K654" s="33" t="n">
        <v>1</v>
      </c>
      <c r="L654" s="34" t="inlineStr">
        <is>
          <t>Balans</t>
        </is>
      </c>
      <c r="M654" s="34" t="inlineStr">
        <is>
          <t>Materiele vaste activa</t>
        </is>
      </c>
      <c r="N654" s="34" t="inlineStr">
        <is>
          <t>Inventaris</t>
        </is>
      </c>
      <c r="O654" s="36">
        <f>IFERROR(INDEX('Mapping'!$F$2:$F$60,MATCH(B654,'Mapping'!$A$2:$A$60,0)),"")</f>
        <v/>
      </c>
    </row>
    <row r="655">
      <c r="A655" s="32" t="n">
        <v>45323</v>
      </c>
      <c r="B655" s="33" t="n">
        <v>150</v>
      </c>
      <c r="C655" s="34" t="inlineStr">
        <is>
          <t>Bedrijfsinventaris</t>
        </is>
      </c>
      <c r="D655" s="34" t="inlineStr">
        <is>
          <t>Balans</t>
        </is>
      </c>
      <c r="E655" s="34" t="inlineStr">
        <is>
          <t>Balans</t>
        </is>
      </c>
      <c r="F655" s="34" t="inlineStr"/>
      <c r="G655" s="35" t="n">
        <v>0</v>
      </c>
      <c r="H655" s="35" t="n">
        <v>700</v>
      </c>
      <c r="I655" s="35">
        <f>G655-H655</f>
        <v/>
      </c>
      <c r="J655" s="33" t="n">
        <v>2024</v>
      </c>
      <c r="K655" s="33" t="n">
        <v>2</v>
      </c>
      <c r="L655" s="34" t="inlineStr">
        <is>
          <t>Balans</t>
        </is>
      </c>
      <c r="M655" s="34" t="inlineStr">
        <is>
          <t>Materiele vaste activa</t>
        </is>
      </c>
      <c r="N655" s="34" t="inlineStr">
        <is>
          <t>Inventaris</t>
        </is>
      </c>
      <c r="O655" s="36">
        <f>IFERROR(INDEX('Mapping'!$F$2:$F$60,MATCH(B655,'Mapping'!$A$2:$A$60,0)),"")</f>
        <v/>
      </c>
    </row>
    <row r="656">
      <c r="A656" s="32" t="n">
        <v>45352</v>
      </c>
      <c r="B656" s="33" t="n">
        <v>150</v>
      </c>
      <c r="C656" s="34" t="inlineStr">
        <is>
          <t>Bedrijfsinventaris</t>
        </is>
      </c>
      <c r="D656" s="34" t="inlineStr">
        <is>
          <t>Balans</t>
        </is>
      </c>
      <c r="E656" s="34" t="inlineStr">
        <is>
          <t>Balans</t>
        </is>
      </c>
      <c r="F656" s="34" t="inlineStr"/>
      <c r="G656" s="35" t="n">
        <v>0</v>
      </c>
      <c r="H656" s="35" t="n">
        <v>880</v>
      </c>
      <c r="I656" s="35">
        <f>G656-H656</f>
        <v/>
      </c>
      <c r="J656" s="33" t="n">
        <v>2024</v>
      </c>
      <c r="K656" s="33" t="n">
        <v>3</v>
      </c>
      <c r="L656" s="34" t="inlineStr">
        <is>
          <t>Balans</t>
        </is>
      </c>
      <c r="M656" s="34" t="inlineStr">
        <is>
          <t>Materiele vaste activa</t>
        </is>
      </c>
      <c r="N656" s="34" t="inlineStr">
        <is>
          <t>Inventaris</t>
        </is>
      </c>
      <c r="O656" s="36">
        <f>IFERROR(INDEX('Mapping'!$F$2:$F$60,MATCH(B656,'Mapping'!$A$2:$A$60,0)),"")</f>
        <v/>
      </c>
    </row>
    <row r="657">
      <c r="A657" s="32" t="n">
        <v>45383</v>
      </c>
      <c r="B657" s="33" t="n">
        <v>150</v>
      </c>
      <c r="C657" s="34" t="inlineStr">
        <is>
          <t>Bedrijfsinventaris</t>
        </is>
      </c>
      <c r="D657" s="34" t="inlineStr">
        <is>
          <t>Balans</t>
        </is>
      </c>
      <c r="E657" s="34" t="inlineStr">
        <is>
          <t>Balans</t>
        </is>
      </c>
      <c r="F657" s="34" t="inlineStr"/>
      <c r="G657" s="35" t="n">
        <v>0</v>
      </c>
      <c r="H657" s="35" t="n">
        <v>820</v>
      </c>
      <c r="I657" s="35">
        <f>G657-H657</f>
        <v/>
      </c>
      <c r="J657" s="33" t="n">
        <v>2024</v>
      </c>
      <c r="K657" s="33" t="n">
        <v>4</v>
      </c>
      <c r="L657" s="34" t="inlineStr">
        <is>
          <t>Balans</t>
        </is>
      </c>
      <c r="M657" s="34" t="inlineStr">
        <is>
          <t>Materiele vaste activa</t>
        </is>
      </c>
      <c r="N657" s="34" t="inlineStr">
        <is>
          <t>Inventaris</t>
        </is>
      </c>
      <c r="O657" s="36">
        <f>IFERROR(INDEX('Mapping'!$F$2:$F$60,MATCH(B657,'Mapping'!$A$2:$A$60,0)),"")</f>
        <v/>
      </c>
    </row>
    <row r="658">
      <c r="A658" s="32" t="n">
        <v>45413</v>
      </c>
      <c r="B658" s="33" t="n">
        <v>150</v>
      </c>
      <c r="C658" s="34" t="inlineStr">
        <is>
          <t>Bedrijfsinventaris</t>
        </is>
      </c>
      <c r="D658" s="34" t="inlineStr">
        <is>
          <t>Balans</t>
        </is>
      </c>
      <c r="E658" s="34" t="inlineStr">
        <is>
          <t>Balans</t>
        </is>
      </c>
      <c r="F658" s="34" t="inlineStr"/>
      <c r="G658" s="35" t="n">
        <v>0</v>
      </c>
      <c r="H658" s="35" t="n">
        <v>860</v>
      </c>
      <c r="I658" s="35">
        <f>G658-H658</f>
        <v/>
      </c>
      <c r="J658" s="33" t="n">
        <v>2024</v>
      </c>
      <c r="K658" s="33" t="n">
        <v>5</v>
      </c>
      <c r="L658" s="34" t="inlineStr">
        <is>
          <t>Balans</t>
        </is>
      </c>
      <c r="M658" s="34" t="inlineStr">
        <is>
          <t>Materiele vaste activa</t>
        </is>
      </c>
      <c r="N658" s="34" t="inlineStr">
        <is>
          <t>Inventaris</t>
        </is>
      </c>
      <c r="O658" s="36">
        <f>IFERROR(INDEX('Mapping'!$F$2:$F$60,MATCH(B658,'Mapping'!$A$2:$A$60,0)),"")</f>
        <v/>
      </c>
    </row>
    <row r="659">
      <c r="A659" s="32" t="n">
        <v>45444</v>
      </c>
      <c r="B659" s="33" t="n">
        <v>150</v>
      </c>
      <c r="C659" s="34" t="inlineStr">
        <is>
          <t>Bedrijfsinventaris</t>
        </is>
      </c>
      <c r="D659" s="34" t="inlineStr">
        <is>
          <t>Balans</t>
        </is>
      </c>
      <c r="E659" s="34" t="inlineStr">
        <is>
          <t>Balans</t>
        </is>
      </c>
      <c r="F659" s="34" t="inlineStr"/>
      <c r="G659" s="35" t="n">
        <v>0</v>
      </c>
      <c r="H659" s="35" t="n">
        <v>900</v>
      </c>
      <c r="I659" s="35">
        <f>G659-H659</f>
        <v/>
      </c>
      <c r="J659" s="33" t="n">
        <v>2024</v>
      </c>
      <c r="K659" s="33" t="n">
        <v>6</v>
      </c>
      <c r="L659" s="34" t="inlineStr">
        <is>
          <t>Balans</t>
        </is>
      </c>
      <c r="M659" s="34" t="inlineStr">
        <is>
          <t>Materiele vaste activa</t>
        </is>
      </c>
      <c r="N659" s="34" t="inlineStr">
        <is>
          <t>Inventaris</t>
        </is>
      </c>
      <c r="O659" s="36">
        <f>IFERROR(INDEX('Mapping'!$F$2:$F$60,MATCH(B659,'Mapping'!$A$2:$A$60,0)),"")</f>
        <v/>
      </c>
    </row>
    <row r="660">
      <c r="A660" s="32" t="n">
        <v>45474</v>
      </c>
      <c r="B660" s="33" t="n">
        <v>150</v>
      </c>
      <c r="C660" s="34" t="inlineStr">
        <is>
          <t>Bedrijfsinventaris</t>
        </is>
      </c>
      <c r="D660" s="34" t="inlineStr">
        <is>
          <t>Balans</t>
        </is>
      </c>
      <c r="E660" s="34" t="inlineStr">
        <is>
          <t>Balans</t>
        </is>
      </c>
      <c r="F660" s="34" t="inlineStr"/>
      <c r="G660" s="35" t="n">
        <v>0</v>
      </c>
      <c r="H660" s="35" t="n">
        <v>760</v>
      </c>
      <c r="I660" s="35">
        <f>G660-H660</f>
        <v/>
      </c>
      <c r="J660" s="33" t="n">
        <v>2024</v>
      </c>
      <c r="K660" s="33" t="n">
        <v>7</v>
      </c>
      <c r="L660" s="34" t="inlineStr">
        <is>
          <t>Balans</t>
        </is>
      </c>
      <c r="M660" s="34" t="inlineStr">
        <is>
          <t>Materiele vaste activa</t>
        </is>
      </c>
      <c r="N660" s="34" t="inlineStr">
        <is>
          <t>Inventaris</t>
        </is>
      </c>
      <c r="O660" s="36">
        <f>IFERROR(INDEX('Mapping'!$F$2:$F$60,MATCH(B660,'Mapping'!$A$2:$A$60,0)),"")</f>
        <v/>
      </c>
    </row>
    <row r="661">
      <c r="A661" s="32" t="n">
        <v>45505</v>
      </c>
      <c r="B661" s="33" t="n">
        <v>150</v>
      </c>
      <c r="C661" s="34" t="inlineStr">
        <is>
          <t>Bedrijfsinventaris</t>
        </is>
      </c>
      <c r="D661" s="34" t="inlineStr">
        <is>
          <t>Balans</t>
        </is>
      </c>
      <c r="E661" s="34" t="inlineStr">
        <is>
          <t>Balans</t>
        </is>
      </c>
      <c r="F661" s="34" t="inlineStr"/>
      <c r="G661" s="35" t="n">
        <v>0</v>
      </c>
      <c r="H661" s="35" t="n">
        <v>700</v>
      </c>
      <c r="I661" s="35">
        <f>G661-H661</f>
        <v/>
      </c>
      <c r="J661" s="33" t="n">
        <v>2024</v>
      </c>
      <c r="K661" s="33" t="n">
        <v>8</v>
      </c>
      <c r="L661" s="34" t="inlineStr">
        <is>
          <t>Balans</t>
        </is>
      </c>
      <c r="M661" s="34" t="inlineStr">
        <is>
          <t>Materiele vaste activa</t>
        </is>
      </c>
      <c r="N661" s="34" t="inlineStr">
        <is>
          <t>Inventaris</t>
        </is>
      </c>
      <c r="O661" s="36">
        <f>IFERROR(INDEX('Mapping'!$F$2:$F$60,MATCH(B661,'Mapping'!$A$2:$A$60,0)),"")</f>
        <v/>
      </c>
    </row>
    <row r="662">
      <c r="A662" s="32" t="n">
        <v>45536</v>
      </c>
      <c r="B662" s="33" t="n">
        <v>150</v>
      </c>
      <c r="C662" s="34" t="inlineStr">
        <is>
          <t>Bedrijfsinventaris</t>
        </is>
      </c>
      <c r="D662" s="34" t="inlineStr">
        <is>
          <t>Balans</t>
        </is>
      </c>
      <c r="E662" s="34" t="inlineStr">
        <is>
          <t>Balans</t>
        </is>
      </c>
      <c r="F662" s="34" t="inlineStr"/>
      <c r="G662" s="35" t="n">
        <v>0</v>
      </c>
      <c r="H662" s="35" t="n">
        <v>880</v>
      </c>
      <c r="I662" s="35">
        <f>G662-H662</f>
        <v/>
      </c>
      <c r="J662" s="33" t="n">
        <v>2024</v>
      </c>
      <c r="K662" s="33" t="n">
        <v>9</v>
      </c>
      <c r="L662" s="34" t="inlineStr">
        <is>
          <t>Balans</t>
        </is>
      </c>
      <c r="M662" s="34" t="inlineStr">
        <is>
          <t>Materiele vaste activa</t>
        </is>
      </c>
      <c r="N662" s="34" t="inlineStr">
        <is>
          <t>Inventaris</t>
        </is>
      </c>
      <c r="O662" s="36">
        <f>IFERROR(INDEX('Mapping'!$F$2:$F$60,MATCH(B662,'Mapping'!$A$2:$A$60,0)),"")</f>
        <v/>
      </c>
    </row>
    <row r="663">
      <c r="A663" s="32" t="n">
        <v>45566</v>
      </c>
      <c r="B663" s="33" t="n">
        <v>150</v>
      </c>
      <c r="C663" s="34" t="inlineStr">
        <is>
          <t>Bedrijfsinventaris</t>
        </is>
      </c>
      <c r="D663" s="34" t="inlineStr">
        <is>
          <t>Balans</t>
        </is>
      </c>
      <c r="E663" s="34" t="inlineStr">
        <is>
          <t>Balans</t>
        </is>
      </c>
      <c r="F663" s="34" t="inlineStr"/>
      <c r="G663" s="35" t="n">
        <v>0</v>
      </c>
      <c r="H663" s="35" t="n">
        <v>900</v>
      </c>
      <c r="I663" s="35">
        <f>G663-H663</f>
        <v/>
      </c>
      <c r="J663" s="33" t="n">
        <v>2024</v>
      </c>
      <c r="K663" s="33" t="n">
        <v>10</v>
      </c>
      <c r="L663" s="34" t="inlineStr">
        <is>
          <t>Balans</t>
        </is>
      </c>
      <c r="M663" s="34" t="inlineStr">
        <is>
          <t>Materiele vaste activa</t>
        </is>
      </c>
      <c r="N663" s="34" t="inlineStr">
        <is>
          <t>Inventaris</t>
        </is>
      </c>
      <c r="O663" s="36">
        <f>IFERROR(INDEX('Mapping'!$F$2:$F$60,MATCH(B663,'Mapping'!$A$2:$A$60,0)),"")</f>
        <v/>
      </c>
    </row>
    <row r="664">
      <c r="A664" s="32" t="n">
        <v>45597</v>
      </c>
      <c r="B664" s="33" t="n">
        <v>150</v>
      </c>
      <c r="C664" s="34" t="inlineStr">
        <is>
          <t>Bedrijfsinventaris</t>
        </is>
      </c>
      <c r="D664" s="34" t="inlineStr">
        <is>
          <t>Balans</t>
        </is>
      </c>
      <c r="E664" s="34" t="inlineStr">
        <is>
          <t>Balans</t>
        </is>
      </c>
      <c r="F664" s="34" t="inlineStr"/>
      <c r="G664" s="35" t="n">
        <v>0</v>
      </c>
      <c r="H664" s="35" t="n">
        <v>860</v>
      </c>
      <c r="I664" s="35">
        <f>G664-H664</f>
        <v/>
      </c>
      <c r="J664" s="33" t="n">
        <v>2024</v>
      </c>
      <c r="K664" s="33" t="n">
        <v>11</v>
      </c>
      <c r="L664" s="34" t="inlineStr">
        <is>
          <t>Balans</t>
        </is>
      </c>
      <c r="M664" s="34" t="inlineStr">
        <is>
          <t>Materiele vaste activa</t>
        </is>
      </c>
      <c r="N664" s="34" t="inlineStr">
        <is>
          <t>Inventaris</t>
        </is>
      </c>
      <c r="O664" s="36">
        <f>IFERROR(INDEX('Mapping'!$F$2:$F$60,MATCH(B664,'Mapping'!$A$2:$A$60,0)),"")</f>
        <v/>
      </c>
    </row>
    <row r="665">
      <c r="A665" s="32" t="n">
        <v>45627</v>
      </c>
      <c r="B665" s="33" t="n">
        <v>150</v>
      </c>
      <c r="C665" s="34" t="inlineStr">
        <is>
          <t>Bedrijfsinventaris</t>
        </is>
      </c>
      <c r="D665" s="34" t="inlineStr">
        <is>
          <t>Balans</t>
        </is>
      </c>
      <c r="E665" s="34" t="inlineStr">
        <is>
          <t>Balans</t>
        </is>
      </c>
      <c r="F665" s="34" t="inlineStr"/>
      <c r="G665" s="35" t="n">
        <v>0</v>
      </c>
      <c r="H665" s="35" t="n">
        <v>1040</v>
      </c>
      <c r="I665" s="35">
        <f>G665-H665</f>
        <v/>
      </c>
      <c r="J665" s="33" t="n">
        <v>2024</v>
      </c>
      <c r="K665" s="33" t="n">
        <v>12</v>
      </c>
      <c r="L665" s="34" t="inlineStr">
        <is>
          <t>Balans</t>
        </is>
      </c>
      <c r="M665" s="34" t="inlineStr">
        <is>
          <t>Materiele vaste activa</t>
        </is>
      </c>
      <c r="N665" s="34" t="inlineStr">
        <is>
          <t>Inventaris</t>
        </is>
      </c>
      <c r="O665" s="36">
        <f>IFERROR(INDEX('Mapping'!$F$2:$F$60,MATCH(B665,'Mapping'!$A$2:$A$60,0)),"")</f>
        <v/>
      </c>
    </row>
    <row r="666">
      <c r="A666" s="32" t="n">
        <v>45658</v>
      </c>
      <c r="B666" s="33" t="n">
        <v>150</v>
      </c>
      <c r="C666" s="34" t="inlineStr">
        <is>
          <t>Bedrijfsinventaris (beginbalans)</t>
        </is>
      </c>
      <c r="D666" s="34" t="inlineStr">
        <is>
          <t>Balans</t>
        </is>
      </c>
      <c r="E666" s="34" t="inlineStr">
        <is>
          <t>Balans</t>
        </is>
      </c>
      <c r="F666" s="34" t="inlineStr"/>
      <c r="G666" s="35" t="n">
        <v>220000</v>
      </c>
      <c r="H666" s="35" t="n">
        <v>0</v>
      </c>
      <c r="I666" s="35">
        <f>G666-H666</f>
        <v/>
      </c>
      <c r="J666" s="33" t="n">
        <v>2025</v>
      </c>
      <c r="K666" s="33" t="n">
        <v>0</v>
      </c>
      <c r="L666" s="34" t="inlineStr">
        <is>
          <t>Balans</t>
        </is>
      </c>
      <c r="M666" s="34" t="inlineStr">
        <is>
          <t>Materiele vaste activa</t>
        </is>
      </c>
      <c r="N666" s="34" t="inlineStr">
        <is>
          <t>Inventaris</t>
        </is>
      </c>
      <c r="O666" s="36">
        <f>IFERROR(INDEX('Mapping'!$F$2:$F$60,MATCH(B666,'Mapping'!$A$2:$A$60,0)),"")</f>
        <v/>
      </c>
    </row>
    <row r="667">
      <c r="A667" s="32" t="n">
        <v>45658</v>
      </c>
      <c r="B667" s="33" t="n">
        <v>150</v>
      </c>
      <c r="C667" s="34" t="inlineStr">
        <is>
          <t>Bedrijfsinventaris</t>
        </is>
      </c>
      <c r="D667" s="34" t="inlineStr">
        <is>
          <t>Balans</t>
        </is>
      </c>
      <c r="E667" s="34" t="inlineStr">
        <is>
          <t>Balans</t>
        </is>
      </c>
      <c r="F667" s="34" t="inlineStr"/>
      <c r="G667" s="35" t="n">
        <v>0</v>
      </c>
      <c r="H667" s="35" t="n">
        <v>700</v>
      </c>
      <c r="I667" s="35">
        <f>G667-H667</f>
        <v/>
      </c>
      <c r="J667" s="33" t="n">
        <v>2025</v>
      </c>
      <c r="K667" s="33" t="n">
        <v>1</v>
      </c>
      <c r="L667" s="34" t="inlineStr">
        <is>
          <t>Balans</t>
        </is>
      </c>
      <c r="M667" s="34" t="inlineStr">
        <is>
          <t>Materiele vaste activa</t>
        </is>
      </c>
      <c r="N667" s="34" t="inlineStr">
        <is>
          <t>Inventaris</t>
        </is>
      </c>
      <c r="O667" s="36">
        <f>IFERROR(INDEX('Mapping'!$F$2:$F$60,MATCH(B667,'Mapping'!$A$2:$A$60,0)),"")</f>
        <v/>
      </c>
    </row>
    <row r="668">
      <c r="A668" s="32" t="n">
        <v>45689</v>
      </c>
      <c r="B668" s="33" t="n">
        <v>150</v>
      </c>
      <c r="C668" s="34" t="inlineStr">
        <is>
          <t>Bedrijfsinventaris</t>
        </is>
      </c>
      <c r="D668" s="34" t="inlineStr">
        <is>
          <t>Balans</t>
        </is>
      </c>
      <c r="E668" s="34" t="inlineStr">
        <is>
          <t>Balans</t>
        </is>
      </c>
      <c r="F668" s="34" t="inlineStr"/>
      <c r="G668" s="35" t="n">
        <v>0</v>
      </c>
      <c r="H668" s="35" t="n">
        <v>700</v>
      </c>
      <c r="I668" s="35">
        <f>G668-H668</f>
        <v/>
      </c>
      <c r="J668" s="33" t="n">
        <v>2025</v>
      </c>
      <c r="K668" s="33" t="n">
        <v>2</v>
      </c>
      <c r="L668" s="34" t="inlineStr">
        <is>
          <t>Balans</t>
        </is>
      </c>
      <c r="M668" s="34" t="inlineStr">
        <is>
          <t>Materiele vaste activa</t>
        </is>
      </c>
      <c r="N668" s="34" t="inlineStr">
        <is>
          <t>Inventaris</t>
        </is>
      </c>
      <c r="O668" s="36">
        <f>IFERROR(INDEX('Mapping'!$F$2:$F$60,MATCH(B668,'Mapping'!$A$2:$A$60,0)),"")</f>
        <v/>
      </c>
    </row>
    <row r="669">
      <c r="A669" s="32" t="n">
        <v>45717</v>
      </c>
      <c r="B669" s="33" t="n">
        <v>150</v>
      </c>
      <c r="C669" s="34" t="inlineStr">
        <is>
          <t>Bedrijfsinventaris</t>
        </is>
      </c>
      <c r="D669" s="34" t="inlineStr">
        <is>
          <t>Balans</t>
        </is>
      </c>
      <c r="E669" s="34" t="inlineStr">
        <is>
          <t>Balans</t>
        </is>
      </c>
      <c r="F669" s="34" t="inlineStr"/>
      <c r="G669" s="35" t="n">
        <v>0</v>
      </c>
      <c r="H669" s="35" t="n">
        <v>880</v>
      </c>
      <c r="I669" s="35">
        <f>G669-H669</f>
        <v/>
      </c>
      <c r="J669" s="33" t="n">
        <v>2025</v>
      </c>
      <c r="K669" s="33" t="n">
        <v>3</v>
      </c>
      <c r="L669" s="34" t="inlineStr">
        <is>
          <t>Balans</t>
        </is>
      </c>
      <c r="M669" s="34" t="inlineStr">
        <is>
          <t>Materiele vaste activa</t>
        </is>
      </c>
      <c r="N669" s="34" t="inlineStr">
        <is>
          <t>Inventaris</t>
        </is>
      </c>
      <c r="O669" s="36">
        <f>IFERROR(INDEX('Mapping'!$F$2:$F$60,MATCH(B669,'Mapping'!$A$2:$A$60,0)),"")</f>
        <v/>
      </c>
    </row>
    <row r="670">
      <c r="A670" s="32" t="n">
        <v>45748</v>
      </c>
      <c r="B670" s="33" t="n">
        <v>150</v>
      </c>
      <c r="C670" s="34" t="inlineStr">
        <is>
          <t>Bedrijfsinventaris</t>
        </is>
      </c>
      <c r="D670" s="34" t="inlineStr">
        <is>
          <t>Balans</t>
        </is>
      </c>
      <c r="E670" s="34" t="inlineStr">
        <is>
          <t>Balans</t>
        </is>
      </c>
      <c r="F670" s="34" t="inlineStr"/>
      <c r="G670" s="35" t="n">
        <v>0</v>
      </c>
      <c r="H670" s="35" t="n">
        <v>820</v>
      </c>
      <c r="I670" s="35">
        <f>G670-H670</f>
        <v/>
      </c>
      <c r="J670" s="33" t="n">
        <v>2025</v>
      </c>
      <c r="K670" s="33" t="n">
        <v>4</v>
      </c>
      <c r="L670" s="34" t="inlineStr">
        <is>
          <t>Balans</t>
        </is>
      </c>
      <c r="M670" s="34" t="inlineStr">
        <is>
          <t>Materiele vaste activa</t>
        </is>
      </c>
      <c r="N670" s="34" t="inlineStr">
        <is>
          <t>Inventaris</t>
        </is>
      </c>
      <c r="O670" s="36">
        <f>IFERROR(INDEX('Mapping'!$F$2:$F$60,MATCH(B670,'Mapping'!$A$2:$A$60,0)),"")</f>
        <v/>
      </c>
    </row>
    <row r="671">
      <c r="A671" s="32" t="n">
        <v>45778</v>
      </c>
      <c r="B671" s="33" t="n">
        <v>150</v>
      </c>
      <c r="C671" s="34" t="inlineStr">
        <is>
          <t>Bedrijfsinventaris</t>
        </is>
      </c>
      <c r="D671" s="34" t="inlineStr">
        <is>
          <t>Balans</t>
        </is>
      </c>
      <c r="E671" s="34" t="inlineStr">
        <is>
          <t>Balans</t>
        </is>
      </c>
      <c r="F671" s="34" t="inlineStr"/>
      <c r="G671" s="35" t="n">
        <v>0</v>
      </c>
      <c r="H671" s="35" t="n">
        <v>860</v>
      </c>
      <c r="I671" s="35">
        <f>G671-H671</f>
        <v/>
      </c>
      <c r="J671" s="33" t="n">
        <v>2025</v>
      </c>
      <c r="K671" s="33" t="n">
        <v>5</v>
      </c>
      <c r="L671" s="34" t="inlineStr">
        <is>
          <t>Balans</t>
        </is>
      </c>
      <c r="M671" s="34" t="inlineStr">
        <is>
          <t>Materiele vaste activa</t>
        </is>
      </c>
      <c r="N671" s="34" t="inlineStr">
        <is>
          <t>Inventaris</t>
        </is>
      </c>
      <c r="O671" s="36">
        <f>IFERROR(INDEX('Mapping'!$F$2:$F$60,MATCH(B671,'Mapping'!$A$2:$A$60,0)),"")</f>
        <v/>
      </c>
    </row>
    <row r="672">
      <c r="A672" s="32" t="n">
        <v>45809</v>
      </c>
      <c r="B672" s="33" t="n">
        <v>150</v>
      </c>
      <c r="C672" s="34" t="inlineStr">
        <is>
          <t>Bedrijfsinventaris</t>
        </is>
      </c>
      <c r="D672" s="34" t="inlineStr">
        <is>
          <t>Balans</t>
        </is>
      </c>
      <c r="E672" s="34" t="inlineStr">
        <is>
          <t>Balans</t>
        </is>
      </c>
      <c r="F672" s="34" t="inlineStr"/>
      <c r="G672" s="35" t="n">
        <v>0</v>
      </c>
      <c r="H672" s="35" t="n">
        <v>900</v>
      </c>
      <c r="I672" s="35">
        <f>G672-H672</f>
        <v/>
      </c>
      <c r="J672" s="33" t="n">
        <v>2025</v>
      </c>
      <c r="K672" s="33" t="n">
        <v>6</v>
      </c>
      <c r="L672" s="34" t="inlineStr">
        <is>
          <t>Balans</t>
        </is>
      </c>
      <c r="M672" s="34" t="inlineStr">
        <is>
          <t>Materiele vaste activa</t>
        </is>
      </c>
      <c r="N672" s="34" t="inlineStr">
        <is>
          <t>Inventaris</t>
        </is>
      </c>
      <c r="O672" s="36">
        <f>IFERROR(INDEX('Mapping'!$F$2:$F$60,MATCH(B672,'Mapping'!$A$2:$A$60,0)),"")</f>
        <v/>
      </c>
    </row>
    <row r="673">
      <c r="A673" s="32" t="n">
        <v>45839</v>
      </c>
      <c r="B673" s="33" t="n">
        <v>150</v>
      </c>
      <c r="C673" s="34" t="inlineStr">
        <is>
          <t>Bedrijfsinventaris</t>
        </is>
      </c>
      <c r="D673" s="34" t="inlineStr">
        <is>
          <t>Balans</t>
        </is>
      </c>
      <c r="E673" s="34" t="inlineStr">
        <is>
          <t>Balans</t>
        </is>
      </c>
      <c r="F673" s="34" t="inlineStr"/>
      <c r="G673" s="35" t="n">
        <v>0</v>
      </c>
      <c r="H673" s="35" t="n">
        <v>760</v>
      </c>
      <c r="I673" s="35">
        <f>G673-H673</f>
        <v/>
      </c>
      <c r="J673" s="33" t="n">
        <v>2025</v>
      </c>
      <c r="K673" s="33" t="n">
        <v>7</v>
      </c>
      <c r="L673" s="34" t="inlineStr">
        <is>
          <t>Balans</t>
        </is>
      </c>
      <c r="M673" s="34" t="inlineStr">
        <is>
          <t>Materiele vaste activa</t>
        </is>
      </c>
      <c r="N673" s="34" t="inlineStr">
        <is>
          <t>Inventaris</t>
        </is>
      </c>
      <c r="O673" s="36">
        <f>IFERROR(INDEX('Mapping'!$F$2:$F$60,MATCH(B673,'Mapping'!$A$2:$A$60,0)),"")</f>
        <v/>
      </c>
    </row>
    <row r="674">
      <c r="A674" s="32" t="n">
        <v>45870</v>
      </c>
      <c r="B674" s="33" t="n">
        <v>150</v>
      </c>
      <c r="C674" s="34" t="inlineStr">
        <is>
          <t>Bedrijfsinventaris</t>
        </is>
      </c>
      <c r="D674" s="34" t="inlineStr">
        <is>
          <t>Balans</t>
        </is>
      </c>
      <c r="E674" s="34" t="inlineStr">
        <is>
          <t>Balans</t>
        </is>
      </c>
      <c r="F674" s="34" t="inlineStr"/>
      <c r="G674" s="35" t="n">
        <v>0</v>
      </c>
      <c r="H674" s="35" t="n">
        <v>700</v>
      </c>
      <c r="I674" s="35">
        <f>G674-H674</f>
        <v/>
      </c>
      <c r="J674" s="33" t="n">
        <v>2025</v>
      </c>
      <c r="K674" s="33" t="n">
        <v>8</v>
      </c>
      <c r="L674" s="34" t="inlineStr">
        <is>
          <t>Balans</t>
        </is>
      </c>
      <c r="M674" s="34" t="inlineStr">
        <is>
          <t>Materiele vaste activa</t>
        </is>
      </c>
      <c r="N674" s="34" t="inlineStr">
        <is>
          <t>Inventaris</t>
        </is>
      </c>
      <c r="O674" s="36">
        <f>IFERROR(INDEX('Mapping'!$F$2:$F$60,MATCH(B674,'Mapping'!$A$2:$A$60,0)),"")</f>
        <v/>
      </c>
    </row>
    <row r="675">
      <c r="A675" s="32" t="n">
        <v>45901</v>
      </c>
      <c r="B675" s="33" t="n">
        <v>150</v>
      </c>
      <c r="C675" s="34" t="inlineStr">
        <is>
          <t>Bedrijfsinventaris</t>
        </is>
      </c>
      <c r="D675" s="34" t="inlineStr">
        <is>
          <t>Balans</t>
        </is>
      </c>
      <c r="E675" s="34" t="inlineStr">
        <is>
          <t>Balans</t>
        </is>
      </c>
      <c r="F675" s="34" t="inlineStr"/>
      <c r="G675" s="35" t="n">
        <v>0</v>
      </c>
      <c r="H675" s="35" t="n">
        <v>880</v>
      </c>
      <c r="I675" s="35">
        <f>G675-H675</f>
        <v/>
      </c>
      <c r="J675" s="33" t="n">
        <v>2025</v>
      </c>
      <c r="K675" s="33" t="n">
        <v>9</v>
      </c>
      <c r="L675" s="34" t="inlineStr">
        <is>
          <t>Balans</t>
        </is>
      </c>
      <c r="M675" s="34" t="inlineStr">
        <is>
          <t>Materiele vaste activa</t>
        </is>
      </c>
      <c r="N675" s="34" t="inlineStr">
        <is>
          <t>Inventaris</t>
        </is>
      </c>
      <c r="O675" s="36">
        <f>IFERROR(INDEX('Mapping'!$F$2:$F$60,MATCH(B675,'Mapping'!$A$2:$A$60,0)),"")</f>
        <v/>
      </c>
    </row>
    <row r="676">
      <c r="A676" s="32" t="n">
        <v>45931</v>
      </c>
      <c r="B676" s="33" t="n">
        <v>150</v>
      </c>
      <c r="C676" s="34" t="inlineStr">
        <is>
          <t>Bedrijfsinventaris</t>
        </is>
      </c>
      <c r="D676" s="34" t="inlineStr">
        <is>
          <t>Balans</t>
        </is>
      </c>
      <c r="E676" s="34" t="inlineStr">
        <is>
          <t>Balans</t>
        </is>
      </c>
      <c r="F676" s="34" t="inlineStr"/>
      <c r="G676" s="35" t="n">
        <v>0</v>
      </c>
      <c r="H676" s="35" t="n">
        <v>900</v>
      </c>
      <c r="I676" s="35">
        <f>G676-H676</f>
        <v/>
      </c>
      <c r="J676" s="33" t="n">
        <v>2025</v>
      </c>
      <c r="K676" s="33" t="n">
        <v>10</v>
      </c>
      <c r="L676" s="34" t="inlineStr">
        <is>
          <t>Balans</t>
        </is>
      </c>
      <c r="M676" s="34" t="inlineStr">
        <is>
          <t>Materiele vaste activa</t>
        </is>
      </c>
      <c r="N676" s="34" t="inlineStr">
        <is>
          <t>Inventaris</t>
        </is>
      </c>
      <c r="O676" s="36">
        <f>IFERROR(INDEX('Mapping'!$F$2:$F$60,MATCH(B676,'Mapping'!$A$2:$A$60,0)),"")</f>
        <v/>
      </c>
    </row>
    <row r="677">
      <c r="A677" s="32" t="n">
        <v>45962</v>
      </c>
      <c r="B677" s="33" t="n">
        <v>150</v>
      </c>
      <c r="C677" s="34" t="inlineStr">
        <is>
          <t>Bedrijfsinventaris</t>
        </is>
      </c>
      <c r="D677" s="34" t="inlineStr">
        <is>
          <t>Balans</t>
        </is>
      </c>
      <c r="E677" s="34" t="inlineStr">
        <is>
          <t>Balans</t>
        </is>
      </c>
      <c r="F677" s="34" t="inlineStr"/>
      <c r="G677" s="35" t="n">
        <v>0</v>
      </c>
      <c r="H677" s="35" t="n">
        <v>860</v>
      </c>
      <c r="I677" s="35">
        <f>G677-H677</f>
        <v/>
      </c>
      <c r="J677" s="33" t="n">
        <v>2025</v>
      </c>
      <c r="K677" s="33" t="n">
        <v>11</v>
      </c>
      <c r="L677" s="34" t="inlineStr">
        <is>
          <t>Balans</t>
        </is>
      </c>
      <c r="M677" s="34" t="inlineStr">
        <is>
          <t>Materiele vaste activa</t>
        </is>
      </c>
      <c r="N677" s="34" t="inlineStr">
        <is>
          <t>Inventaris</t>
        </is>
      </c>
      <c r="O677" s="36">
        <f>IFERROR(INDEX('Mapping'!$F$2:$F$60,MATCH(B677,'Mapping'!$A$2:$A$60,0)),"")</f>
        <v/>
      </c>
    </row>
    <row r="678">
      <c r="A678" s="32" t="n">
        <v>45992</v>
      </c>
      <c r="B678" s="33" t="n">
        <v>150</v>
      </c>
      <c r="C678" s="34" t="inlineStr">
        <is>
          <t>Bedrijfsinventaris</t>
        </is>
      </c>
      <c r="D678" s="34" t="inlineStr">
        <is>
          <t>Balans</t>
        </is>
      </c>
      <c r="E678" s="34" t="inlineStr">
        <is>
          <t>Balans</t>
        </is>
      </c>
      <c r="F678" s="34" t="inlineStr"/>
      <c r="G678" s="35" t="n">
        <v>0</v>
      </c>
      <c r="H678" s="35" t="n">
        <v>1040</v>
      </c>
      <c r="I678" s="35">
        <f>G678-H678</f>
        <v/>
      </c>
      <c r="J678" s="33" t="n">
        <v>2025</v>
      </c>
      <c r="K678" s="33" t="n">
        <v>12</v>
      </c>
      <c r="L678" s="34" t="inlineStr">
        <is>
          <t>Balans</t>
        </is>
      </c>
      <c r="M678" s="34" t="inlineStr">
        <is>
          <t>Materiele vaste activa</t>
        </is>
      </c>
      <c r="N678" s="34" t="inlineStr">
        <is>
          <t>Inventaris</t>
        </is>
      </c>
      <c r="O678" s="36">
        <f>IFERROR(INDEX('Mapping'!$F$2:$F$60,MATCH(B678,'Mapping'!$A$2:$A$60,0)),"")</f>
        <v/>
      </c>
    </row>
    <row r="679">
      <c r="A679" s="32" t="n">
        <v>45292</v>
      </c>
      <c r="B679" s="33" t="n">
        <v>160</v>
      </c>
      <c r="C679" s="34" t="inlineStr">
        <is>
          <t>Vervoermiddelen (beginbalans)</t>
        </is>
      </c>
      <c r="D679" s="34" t="inlineStr">
        <is>
          <t>Balans</t>
        </is>
      </c>
      <c r="E679" s="34" t="inlineStr">
        <is>
          <t>Balans</t>
        </is>
      </c>
      <c r="F679" s="34" t="inlineStr"/>
      <c r="G679" s="35" t="n">
        <v>150000</v>
      </c>
      <c r="H679" s="35" t="n">
        <v>0</v>
      </c>
      <c r="I679" s="35">
        <f>G679-H679</f>
        <v/>
      </c>
      <c r="J679" s="33" t="n">
        <v>2024</v>
      </c>
      <c r="K679" s="33" t="n">
        <v>0</v>
      </c>
      <c r="L679" s="34" t="inlineStr">
        <is>
          <t>Balans</t>
        </is>
      </c>
      <c r="M679" s="34" t="inlineStr">
        <is>
          <t>Materiele vaste activa</t>
        </is>
      </c>
      <c r="N679" s="34" t="inlineStr">
        <is>
          <t>Vervoermiddelen</t>
        </is>
      </c>
      <c r="O679" s="36">
        <f>IFERROR(INDEX('Mapping'!$F$2:$F$60,MATCH(B679,'Mapping'!$A$2:$A$60,0)),"")</f>
        <v/>
      </c>
    </row>
    <row r="680">
      <c r="A680" s="32" t="n">
        <v>45292</v>
      </c>
      <c r="B680" s="33" t="n">
        <v>160</v>
      </c>
      <c r="C680" s="34" t="inlineStr">
        <is>
          <t>Vervoermiddelen</t>
        </is>
      </c>
      <c r="D680" s="34" t="inlineStr">
        <is>
          <t>Balans</t>
        </is>
      </c>
      <c r="E680" s="34" t="inlineStr">
        <is>
          <t>Balans</t>
        </is>
      </c>
      <c r="F680" s="34" t="inlineStr"/>
      <c r="G680" s="35" t="n">
        <v>0</v>
      </c>
      <c r="H680" s="35" t="n">
        <v>700</v>
      </c>
      <c r="I680" s="35">
        <f>G680-H680</f>
        <v/>
      </c>
      <c r="J680" s="33" t="n">
        <v>2024</v>
      </c>
      <c r="K680" s="33" t="n">
        <v>1</v>
      </c>
      <c r="L680" s="34" t="inlineStr">
        <is>
          <t>Balans</t>
        </is>
      </c>
      <c r="M680" s="34" t="inlineStr">
        <is>
          <t>Materiele vaste activa</t>
        </is>
      </c>
      <c r="N680" s="34" t="inlineStr">
        <is>
          <t>Vervoermiddelen</t>
        </is>
      </c>
      <c r="O680" s="36">
        <f>IFERROR(INDEX('Mapping'!$F$2:$F$60,MATCH(B680,'Mapping'!$A$2:$A$60,0)),"")</f>
        <v/>
      </c>
    </row>
    <row r="681">
      <c r="A681" s="32" t="n">
        <v>45323</v>
      </c>
      <c r="B681" s="33" t="n">
        <v>160</v>
      </c>
      <c r="C681" s="34" t="inlineStr">
        <is>
          <t>Vervoermiddelen</t>
        </is>
      </c>
      <c r="D681" s="34" t="inlineStr">
        <is>
          <t>Balans</t>
        </is>
      </c>
      <c r="E681" s="34" t="inlineStr">
        <is>
          <t>Balans</t>
        </is>
      </c>
      <c r="F681" s="34" t="inlineStr"/>
      <c r="G681" s="35" t="n">
        <v>0</v>
      </c>
      <c r="H681" s="35" t="n">
        <v>700</v>
      </c>
      <c r="I681" s="35">
        <f>G681-H681</f>
        <v/>
      </c>
      <c r="J681" s="33" t="n">
        <v>2024</v>
      </c>
      <c r="K681" s="33" t="n">
        <v>2</v>
      </c>
      <c r="L681" s="34" t="inlineStr">
        <is>
          <t>Balans</t>
        </is>
      </c>
      <c r="M681" s="34" t="inlineStr">
        <is>
          <t>Materiele vaste activa</t>
        </is>
      </c>
      <c r="N681" s="34" t="inlineStr">
        <is>
          <t>Vervoermiddelen</t>
        </is>
      </c>
      <c r="O681" s="36">
        <f>IFERROR(INDEX('Mapping'!$F$2:$F$60,MATCH(B681,'Mapping'!$A$2:$A$60,0)),"")</f>
        <v/>
      </c>
    </row>
    <row r="682">
      <c r="A682" s="32" t="n">
        <v>45352</v>
      </c>
      <c r="B682" s="33" t="n">
        <v>160</v>
      </c>
      <c r="C682" s="34" t="inlineStr">
        <is>
          <t>Vervoermiddelen</t>
        </is>
      </c>
      <c r="D682" s="34" t="inlineStr">
        <is>
          <t>Balans</t>
        </is>
      </c>
      <c r="E682" s="34" t="inlineStr">
        <is>
          <t>Balans</t>
        </is>
      </c>
      <c r="F682" s="34" t="inlineStr"/>
      <c r="G682" s="35" t="n">
        <v>0</v>
      </c>
      <c r="H682" s="35" t="n">
        <v>880</v>
      </c>
      <c r="I682" s="35">
        <f>G682-H682</f>
        <v/>
      </c>
      <c r="J682" s="33" t="n">
        <v>2024</v>
      </c>
      <c r="K682" s="33" t="n">
        <v>3</v>
      </c>
      <c r="L682" s="34" t="inlineStr">
        <is>
          <t>Balans</t>
        </is>
      </c>
      <c r="M682" s="34" t="inlineStr">
        <is>
          <t>Materiele vaste activa</t>
        </is>
      </c>
      <c r="N682" s="34" t="inlineStr">
        <is>
          <t>Vervoermiddelen</t>
        </is>
      </c>
      <c r="O682" s="36">
        <f>IFERROR(INDEX('Mapping'!$F$2:$F$60,MATCH(B682,'Mapping'!$A$2:$A$60,0)),"")</f>
        <v/>
      </c>
    </row>
    <row r="683">
      <c r="A683" s="32" t="n">
        <v>45383</v>
      </c>
      <c r="B683" s="33" t="n">
        <v>160</v>
      </c>
      <c r="C683" s="34" t="inlineStr">
        <is>
          <t>Vervoermiddelen</t>
        </is>
      </c>
      <c r="D683" s="34" t="inlineStr">
        <is>
          <t>Balans</t>
        </is>
      </c>
      <c r="E683" s="34" t="inlineStr">
        <is>
          <t>Balans</t>
        </is>
      </c>
      <c r="F683" s="34" t="inlineStr"/>
      <c r="G683" s="35" t="n">
        <v>0</v>
      </c>
      <c r="H683" s="35" t="n">
        <v>820</v>
      </c>
      <c r="I683" s="35">
        <f>G683-H683</f>
        <v/>
      </c>
      <c r="J683" s="33" t="n">
        <v>2024</v>
      </c>
      <c r="K683" s="33" t="n">
        <v>4</v>
      </c>
      <c r="L683" s="34" t="inlineStr">
        <is>
          <t>Balans</t>
        </is>
      </c>
      <c r="M683" s="34" t="inlineStr">
        <is>
          <t>Materiele vaste activa</t>
        </is>
      </c>
      <c r="N683" s="34" t="inlineStr">
        <is>
          <t>Vervoermiddelen</t>
        </is>
      </c>
      <c r="O683" s="36">
        <f>IFERROR(INDEX('Mapping'!$F$2:$F$60,MATCH(B683,'Mapping'!$A$2:$A$60,0)),"")</f>
        <v/>
      </c>
    </row>
    <row r="684">
      <c r="A684" s="32" t="n">
        <v>45413</v>
      </c>
      <c r="B684" s="33" t="n">
        <v>160</v>
      </c>
      <c r="C684" s="34" t="inlineStr">
        <is>
          <t>Vervoermiddelen</t>
        </is>
      </c>
      <c r="D684" s="34" t="inlineStr">
        <is>
          <t>Balans</t>
        </is>
      </c>
      <c r="E684" s="34" t="inlineStr">
        <is>
          <t>Balans</t>
        </is>
      </c>
      <c r="F684" s="34" t="inlineStr"/>
      <c r="G684" s="35" t="n">
        <v>0</v>
      </c>
      <c r="H684" s="35" t="n">
        <v>860</v>
      </c>
      <c r="I684" s="35">
        <f>G684-H684</f>
        <v/>
      </c>
      <c r="J684" s="33" t="n">
        <v>2024</v>
      </c>
      <c r="K684" s="33" t="n">
        <v>5</v>
      </c>
      <c r="L684" s="34" t="inlineStr">
        <is>
          <t>Balans</t>
        </is>
      </c>
      <c r="M684" s="34" t="inlineStr">
        <is>
          <t>Materiele vaste activa</t>
        </is>
      </c>
      <c r="N684" s="34" t="inlineStr">
        <is>
          <t>Vervoermiddelen</t>
        </is>
      </c>
      <c r="O684" s="36">
        <f>IFERROR(INDEX('Mapping'!$F$2:$F$60,MATCH(B684,'Mapping'!$A$2:$A$60,0)),"")</f>
        <v/>
      </c>
    </row>
    <row r="685">
      <c r="A685" s="32" t="n">
        <v>45444</v>
      </c>
      <c r="B685" s="33" t="n">
        <v>160</v>
      </c>
      <c r="C685" s="34" t="inlineStr">
        <is>
          <t>Vervoermiddelen</t>
        </is>
      </c>
      <c r="D685" s="34" t="inlineStr">
        <is>
          <t>Balans</t>
        </is>
      </c>
      <c r="E685" s="34" t="inlineStr">
        <is>
          <t>Balans</t>
        </is>
      </c>
      <c r="F685" s="34" t="inlineStr"/>
      <c r="G685" s="35" t="n">
        <v>0</v>
      </c>
      <c r="H685" s="35" t="n">
        <v>900</v>
      </c>
      <c r="I685" s="35">
        <f>G685-H685</f>
        <v/>
      </c>
      <c r="J685" s="33" t="n">
        <v>2024</v>
      </c>
      <c r="K685" s="33" t="n">
        <v>6</v>
      </c>
      <c r="L685" s="34" t="inlineStr">
        <is>
          <t>Balans</t>
        </is>
      </c>
      <c r="M685" s="34" t="inlineStr">
        <is>
          <t>Materiele vaste activa</t>
        </is>
      </c>
      <c r="N685" s="34" t="inlineStr">
        <is>
          <t>Vervoermiddelen</t>
        </is>
      </c>
      <c r="O685" s="36">
        <f>IFERROR(INDEX('Mapping'!$F$2:$F$60,MATCH(B685,'Mapping'!$A$2:$A$60,0)),"")</f>
        <v/>
      </c>
    </row>
    <row r="686">
      <c r="A686" s="32" t="n">
        <v>45474</v>
      </c>
      <c r="B686" s="33" t="n">
        <v>160</v>
      </c>
      <c r="C686" s="34" t="inlineStr">
        <is>
          <t>Vervoermiddelen</t>
        </is>
      </c>
      <c r="D686" s="34" t="inlineStr">
        <is>
          <t>Balans</t>
        </is>
      </c>
      <c r="E686" s="34" t="inlineStr">
        <is>
          <t>Balans</t>
        </is>
      </c>
      <c r="F686" s="34" t="inlineStr"/>
      <c r="G686" s="35" t="n">
        <v>0</v>
      </c>
      <c r="H686" s="35" t="n">
        <v>760</v>
      </c>
      <c r="I686" s="35">
        <f>G686-H686</f>
        <v/>
      </c>
      <c r="J686" s="33" t="n">
        <v>2024</v>
      </c>
      <c r="K686" s="33" t="n">
        <v>7</v>
      </c>
      <c r="L686" s="34" t="inlineStr">
        <is>
          <t>Balans</t>
        </is>
      </c>
      <c r="M686" s="34" t="inlineStr">
        <is>
          <t>Materiele vaste activa</t>
        </is>
      </c>
      <c r="N686" s="34" t="inlineStr">
        <is>
          <t>Vervoermiddelen</t>
        </is>
      </c>
      <c r="O686" s="36">
        <f>IFERROR(INDEX('Mapping'!$F$2:$F$60,MATCH(B686,'Mapping'!$A$2:$A$60,0)),"")</f>
        <v/>
      </c>
    </row>
    <row r="687">
      <c r="A687" s="32" t="n">
        <v>45505</v>
      </c>
      <c r="B687" s="33" t="n">
        <v>160</v>
      </c>
      <c r="C687" s="34" t="inlineStr">
        <is>
          <t>Vervoermiddelen</t>
        </is>
      </c>
      <c r="D687" s="34" t="inlineStr">
        <is>
          <t>Balans</t>
        </is>
      </c>
      <c r="E687" s="34" t="inlineStr">
        <is>
          <t>Balans</t>
        </is>
      </c>
      <c r="F687" s="34" t="inlineStr"/>
      <c r="G687" s="35" t="n">
        <v>0</v>
      </c>
      <c r="H687" s="35" t="n">
        <v>700</v>
      </c>
      <c r="I687" s="35">
        <f>G687-H687</f>
        <v/>
      </c>
      <c r="J687" s="33" t="n">
        <v>2024</v>
      </c>
      <c r="K687" s="33" t="n">
        <v>8</v>
      </c>
      <c r="L687" s="34" t="inlineStr">
        <is>
          <t>Balans</t>
        </is>
      </c>
      <c r="M687" s="34" t="inlineStr">
        <is>
          <t>Materiele vaste activa</t>
        </is>
      </c>
      <c r="N687" s="34" t="inlineStr">
        <is>
          <t>Vervoermiddelen</t>
        </is>
      </c>
      <c r="O687" s="36">
        <f>IFERROR(INDEX('Mapping'!$F$2:$F$60,MATCH(B687,'Mapping'!$A$2:$A$60,0)),"")</f>
        <v/>
      </c>
    </row>
    <row r="688">
      <c r="A688" s="32" t="n">
        <v>45536</v>
      </c>
      <c r="B688" s="33" t="n">
        <v>160</v>
      </c>
      <c r="C688" s="34" t="inlineStr">
        <is>
          <t>Vervoermiddelen</t>
        </is>
      </c>
      <c r="D688" s="34" t="inlineStr">
        <is>
          <t>Balans</t>
        </is>
      </c>
      <c r="E688" s="34" t="inlineStr">
        <is>
          <t>Balans</t>
        </is>
      </c>
      <c r="F688" s="34" t="inlineStr"/>
      <c r="G688" s="35" t="n">
        <v>0</v>
      </c>
      <c r="H688" s="35" t="n">
        <v>880</v>
      </c>
      <c r="I688" s="35">
        <f>G688-H688</f>
        <v/>
      </c>
      <c r="J688" s="33" t="n">
        <v>2024</v>
      </c>
      <c r="K688" s="33" t="n">
        <v>9</v>
      </c>
      <c r="L688" s="34" t="inlineStr">
        <is>
          <t>Balans</t>
        </is>
      </c>
      <c r="M688" s="34" t="inlineStr">
        <is>
          <t>Materiele vaste activa</t>
        </is>
      </c>
      <c r="N688" s="34" t="inlineStr">
        <is>
          <t>Vervoermiddelen</t>
        </is>
      </c>
      <c r="O688" s="36">
        <f>IFERROR(INDEX('Mapping'!$F$2:$F$60,MATCH(B688,'Mapping'!$A$2:$A$60,0)),"")</f>
        <v/>
      </c>
    </row>
    <row r="689">
      <c r="A689" s="32" t="n">
        <v>45566</v>
      </c>
      <c r="B689" s="33" t="n">
        <v>160</v>
      </c>
      <c r="C689" s="34" t="inlineStr">
        <is>
          <t>Vervoermiddelen</t>
        </is>
      </c>
      <c r="D689" s="34" t="inlineStr">
        <is>
          <t>Balans</t>
        </is>
      </c>
      <c r="E689" s="34" t="inlineStr">
        <is>
          <t>Balans</t>
        </is>
      </c>
      <c r="F689" s="34" t="inlineStr"/>
      <c r="G689" s="35" t="n">
        <v>0</v>
      </c>
      <c r="H689" s="35" t="n">
        <v>900</v>
      </c>
      <c r="I689" s="35">
        <f>G689-H689</f>
        <v/>
      </c>
      <c r="J689" s="33" t="n">
        <v>2024</v>
      </c>
      <c r="K689" s="33" t="n">
        <v>10</v>
      </c>
      <c r="L689" s="34" t="inlineStr">
        <is>
          <t>Balans</t>
        </is>
      </c>
      <c r="M689" s="34" t="inlineStr">
        <is>
          <t>Materiele vaste activa</t>
        </is>
      </c>
      <c r="N689" s="34" t="inlineStr">
        <is>
          <t>Vervoermiddelen</t>
        </is>
      </c>
      <c r="O689" s="36">
        <f>IFERROR(INDEX('Mapping'!$F$2:$F$60,MATCH(B689,'Mapping'!$A$2:$A$60,0)),"")</f>
        <v/>
      </c>
    </row>
    <row r="690">
      <c r="A690" s="32" t="n">
        <v>45597</v>
      </c>
      <c r="B690" s="33" t="n">
        <v>160</v>
      </c>
      <c r="C690" s="34" t="inlineStr">
        <is>
          <t>Vervoermiddelen</t>
        </is>
      </c>
      <c r="D690" s="34" t="inlineStr">
        <is>
          <t>Balans</t>
        </is>
      </c>
      <c r="E690" s="34" t="inlineStr">
        <is>
          <t>Balans</t>
        </is>
      </c>
      <c r="F690" s="34" t="inlineStr"/>
      <c r="G690" s="35" t="n">
        <v>0</v>
      </c>
      <c r="H690" s="35" t="n">
        <v>860</v>
      </c>
      <c r="I690" s="35">
        <f>G690-H690</f>
        <v/>
      </c>
      <c r="J690" s="33" t="n">
        <v>2024</v>
      </c>
      <c r="K690" s="33" t="n">
        <v>11</v>
      </c>
      <c r="L690" s="34" t="inlineStr">
        <is>
          <t>Balans</t>
        </is>
      </c>
      <c r="M690" s="34" t="inlineStr">
        <is>
          <t>Materiele vaste activa</t>
        </is>
      </c>
      <c r="N690" s="34" t="inlineStr">
        <is>
          <t>Vervoermiddelen</t>
        </is>
      </c>
      <c r="O690" s="36">
        <f>IFERROR(INDEX('Mapping'!$F$2:$F$60,MATCH(B690,'Mapping'!$A$2:$A$60,0)),"")</f>
        <v/>
      </c>
    </row>
    <row r="691">
      <c r="A691" s="32" t="n">
        <v>45627</v>
      </c>
      <c r="B691" s="33" t="n">
        <v>160</v>
      </c>
      <c r="C691" s="34" t="inlineStr">
        <is>
          <t>Vervoermiddelen</t>
        </is>
      </c>
      <c r="D691" s="34" t="inlineStr">
        <is>
          <t>Balans</t>
        </is>
      </c>
      <c r="E691" s="34" t="inlineStr">
        <is>
          <t>Balans</t>
        </is>
      </c>
      <c r="F691" s="34" t="inlineStr"/>
      <c r="G691" s="35" t="n">
        <v>0</v>
      </c>
      <c r="H691" s="35" t="n">
        <v>1040</v>
      </c>
      <c r="I691" s="35">
        <f>G691-H691</f>
        <v/>
      </c>
      <c r="J691" s="33" t="n">
        <v>2024</v>
      </c>
      <c r="K691" s="33" t="n">
        <v>12</v>
      </c>
      <c r="L691" s="34" t="inlineStr">
        <is>
          <t>Balans</t>
        </is>
      </c>
      <c r="M691" s="34" t="inlineStr">
        <is>
          <t>Materiele vaste activa</t>
        </is>
      </c>
      <c r="N691" s="34" t="inlineStr">
        <is>
          <t>Vervoermiddelen</t>
        </is>
      </c>
      <c r="O691" s="36">
        <f>IFERROR(INDEX('Mapping'!$F$2:$F$60,MATCH(B691,'Mapping'!$A$2:$A$60,0)),"")</f>
        <v/>
      </c>
    </row>
    <row r="692">
      <c r="A692" s="32" t="n">
        <v>45658</v>
      </c>
      <c r="B692" s="33" t="n">
        <v>160</v>
      </c>
      <c r="C692" s="34" t="inlineStr">
        <is>
          <t>Vervoermiddelen (beginbalans)</t>
        </is>
      </c>
      <c r="D692" s="34" t="inlineStr">
        <is>
          <t>Balans</t>
        </is>
      </c>
      <c r="E692" s="34" t="inlineStr">
        <is>
          <t>Balans</t>
        </is>
      </c>
      <c r="F692" s="34" t="inlineStr"/>
      <c r="G692" s="35" t="n">
        <v>140000</v>
      </c>
      <c r="H692" s="35" t="n">
        <v>0</v>
      </c>
      <c r="I692" s="35">
        <f>G692-H692</f>
        <v/>
      </c>
      <c r="J692" s="33" t="n">
        <v>2025</v>
      </c>
      <c r="K692" s="33" t="n">
        <v>0</v>
      </c>
      <c r="L692" s="34" t="inlineStr">
        <is>
          <t>Balans</t>
        </is>
      </c>
      <c r="M692" s="34" t="inlineStr">
        <is>
          <t>Materiele vaste activa</t>
        </is>
      </c>
      <c r="N692" s="34" t="inlineStr">
        <is>
          <t>Vervoermiddelen</t>
        </is>
      </c>
      <c r="O692" s="36">
        <f>IFERROR(INDEX('Mapping'!$F$2:$F$60,MATCH(B692,'Mapping'!$A$2:$A$60,0)),"")</f>
        <v/>
      </c>
    </row>
    <row r="693">
      <c r="A693" s="32" t="n">
        <v>45658</v>
      </c>
      <c r="B693" s="33" t="n">
        <v>160</v>
      </c>
      <c r="C693" s="34" t="inlineStr">
        <is>
          <t>Vervoermiddelen</t>
        </is>
      </c>
      <c r="D693" s="34" t="inlineStr">
        <is>
          <t>Balans</t>
        </is>
      </c>
      <c r="E693" s="34" t="inlineStr">
        <is>
          <t>Balans</t>
        </is>
      </c>
      <c r="F693" s="34" t="inlineStr"/>
      <c r="G693" s="35" t="n">
        <v>0</v>
      </c>
      <c r="H693" s="35" t="n">
        <v>700</v>
      </c>
      <c r="I693" s="35">
        <f>G693-H693</f>
        <v/>
      </c>
      <c r="J693" s="33" t="n">
        <v>2025</v>
      </c>
      <c r="K693" s="33" t="n">
        <v>1</v>
      </c>
      <c r="L693" s="34" t="inlineStr">
        <is>
          <t>Balans</t>
        </is>
      </c>
      <c r="M693" s="34" t="inlineStr">
        <is>
          <t>Materiele vaste activa</t>
        </is>
      </c>
      <c r="N693" s="34" t="inlineStr">
        <is>
          <t>Vervoermiddelen</t>
        </is>
      </c>
      <c r="O693" s="36">
        <f>IFERROR(INDEX('Mapping'!$F$2:$F$60,MATCH(B693,'Mapping'!$A$2:$A$60,0)),"")</f>
        <v/>
      </c>
    </row>
    <row r="694">
      <c r="A694" s="32" t="n">
        <v>45689</v>
      </c>
      <c r="B694" s="33" t="n">
        <v>160</v>
      </c>
      <c r="C694" s="34" t="inlineStr">
        <is>
          <t>Vervoermiddelen</t>
        </is>
      </c>
      <c r="D694" s="34" t="inlineStr">
        <is>
          <t>Balans</t>
        </is>
      </c>
      <c r="E694" s="34" t="inlineStr">
        <is>
          <t>Balans</t>
        </is>
      </c>
      <c r="F694" s="34" t="inlineStr"/>
      <c r="G694" s="35" t="n">
        <v>0</v>
      </c>
      <c r="H694" s="35" t="n">
        <v>700</v>
      </c>
      <c r="I694" s="35">
        <f>G694-H694</f>
        <v/>
      </c>
      <c r="J694" s="33" t="n">
        <v>2025</v>
      </c>
      <c r="K694" s="33" t="n">
        <v>2</v>
      </c>
      <c r="L694" s="34" t="inlineStr">
        <is>
          <t>Balans</t>
        </is>
      </c>
      <c r="M694" s="34" t="inlineStr">
        <is>
          <t>Materiele vaste activa</t>
        </is>
      </c>
      <c r="N694" s="34" t="inlineStr">
        <is>
          <t>Vervoermiddelen</t>
        </is>
      </c>
      <c r="O694" s="36">
        <f>IFERROR(INDEX('Mapping'!$F$2:$F$60,MATCH(B694,'Mapping'!$A$2:$A$60,0)),"")</f>
        <v/>
      </c>
    </row>
    <row r="695">
      <c r="A695" s="32" t="n">
        <v>45717</v>
      </c>
      <c r="B695" s="33" t="n">
        <v>160</v>
      </c>
      <c r="C695" s="34" t="inlineStr">
        <is>
          <t>Vervoermiddelen</t>
        </is>
      </c>
      <c r="D695" s="34" t="inlineStr">
        <is>
          <t>Balans</t>
        </is>
      </c>
      <c r="E695" s="34" t="inlineStr">
        <is>
          <t>Balans</t>
        </is>
      </c>
      <c r="F695" s="34" t="inlineStr"/>
      <c r="G695" s="35" t="n">
        <v>0</v>
      </c>
      <c r="H695" s="35" t="n">
        <v>880</v>
      </c>
      <c r="I695" s="35">
        <f>G695-H695</f>
        <v/>
      </c>
      <c r="J695" s="33" t="n">
        <v>2025</v>
      </c>
      <c r="K695" s="33" t="n">
        <v>3</v>
      </c>
      <c r="L695" s="34" t="inlineStr">
        <is>
          <t>Balans</t>
        </is>
      </c>
      <c r="M695" s="34" t="inlineStr">
        <is>
          <t>Materiele vaste activa</t>
        </is>
      </c>
      <c r="N695" s="34" t="inlineStr">
        <is>
          <t>Vervoermiddelen</t>
        </is>
      </c>
      <c r="O695" s="36">
        <f>IFERROR(INDEX('Mapping'!$F$2:$F$60,MATCH(B695,'Mapping'!$A$2:$A$60,0)),"")</f>
        <v/>
      </c>
    </row>
    <row r="696">
      <c r="A696" s="32" t="n">
        <v>45748</v>
      </c>
      <c r="B696" s="33" t="n">
        <v>160</v>
      </c>
      <c r="C696" s="34" t="inlineStr">
        <is>
          <t>Vervoermiddelen</t>
        </is>
      </c>
      <c r="D696" s="34" t="inlineStr">
        <is>
          <t>Balans</t>
        </is>
      </c>
      <c r="E696" s="34" t="inlineStr">
        <is>
          <t>Balans</t>
        </is>
      </c>
      <c r="F696" s="34" t="inlineStr"/>
      <c r="G696" s="35" t="n">
        <v>0</v>
      </c>
      <c r="H696" s="35" t="n">
        <v>820</v>
      </c>
      <c r="I696" s="35">
        <f>G696-H696</f>
        <v/>
      </c>
      <c r="J696" s="33" t="n">
        <v>2025</v>
      </c>
      <c r="K696" s="33" t="n">
        <v>4</v>
      </c>
      <c r="L696" s="34" t="inlineStr">
        <is>
          <t>Balans</t>
        </is>
      </c>
      <c r="M696" s="34" t="inlineStr">
        <is>
          <t>Materiele vaste activa</t>
        </is>
      </c>
      <c r="N696" s="34" t="inlineStr">
        <is>
          <t>Vervoermiddelen</t>
        </is>
      </c>
      <c r="O696" s="36">
        <f>IFERROR(INDEX('Mapping'!$F$2:$F$60,MATCH(B696,'Mapping'!$A$2:$A$60,0)),"")</f>
        <v/>
      </c>
    </row>
    <row r="697">
      <c r="A697" s="32" t="n">
        <v>45778</v>
      </c>
      <c r="B697" s="33" t="n">
        <v>160</v>
      </c>
      <c r="C697" s="34" t="inlineStr">
        <is>
          <t>Vervoermiddelen</t>
        </is>
      </c>
      <c r="D697" s="34" t="inlineStr">
        <is>
          <t>Balans</t>
        </is>
      </c>
      <c r="E697" s="34" t="inlineStr">
        <is>
          <t>Balans</t>
        </is>
      </c>
      <c r="F697" s="34" t="inlineStr"/>
      <c r="G697" s="35" t="n">
        <v>0</v>
      </c>
      <c r="H697" s="35" t="n">
        <v>860</v>
      </c>
      <c r="I697" s="35">
        <f>G697-H697</f>
        <v/>
      </c>
      <c r="J697" s="33" t="n">
        <v>2025</v>
      </c>
      <c r="K697" s="33" t="n">
        <v>5</v>
      </c>
      <c r="L697" s="34" t="inlineStr">
        <is>
          <t>Balans</t>
        </is>
      </c>
      <c r="M697" s="34" t="inlineStr">
        <is>
          <t>Materiele vaste activa</t>
        </is>
      </c>
      <c r="N697" s="34" t="inlineStr">
        <is>
          <t>Vervoermiddelen</t>
        </is>
      </c>
      <c r="O697" s="36">
        <f>IFERROR(INDEX('Mapping'!$F$2:$F$60,MATCH(B697,'Mapping'!$A$2:$A$60,0)),"")</f>
        <v/>
      </c>
    </row>
    <row r="698">
      <c r="A698" s="32" t="n">
        <v>45809</v>
      </c>
      <c r="B698" s="33" t="n">
        <v>160</v>
      </c>
      <c r="C698" s="34" t="inlineStr">
        <is>
          <t>Vervoermiddelen</t>
        </is>
      </c>
      <c r="D698" s="34" t="inlineStr">
        <is>
          <t>Balans</t>
        </is>
      </c>
      <c r="E698" s="34" t="inlineStr">
        <is>
          <t>Balans</t>
        </is>
      </c>
      <c r="F698" s="34" t="inlineStr"/>
      <c r="G698" s="35" t="n">
        <v>0</v>
      </c>
      <c r="H698" s="35" t="n">
        <v>900</v>
      </c>
      <c r="I698" s="35">
        <f>G698-H698</f>
        <v/>
      </c>
      <c r="J698" s="33" t="n">
        <v>2025</v>
      </c>
      <c r="K698" s="33" t="n">
        <v>6</v>
      </c>
      <c r="L698" s="34" t="inlineStr">
        <is>
          <t>Balans</t>
        </is>
      </c>
      <c r="M698" s="34" t="inlineStr">
        <is>
          <t>Materiele vaste activa</t>
        </is>
      </c>
      <c r="N698" s="34" t="inlineStr">
        <is>
          <t>Vervoermiddelen</t>
        </is>
      </c>
      <c r="O698" s="36">
        <f>IFERROR(INDEX('Mapping'!$F$2:$F$60,MATCH(B698,'Mapping'!$A$2:$A$60,0)),"")</f>
        <v/>
      </c>
    </row>
    <row r="699">
      <c r="A699" s="32" t="n">
        <v>45839</v>
      </c>
      <c r="B699" s="33" t="n">
        <v>160</v>
      </c>
      <c r="C699" s="34" t="inlineStr">
        <is>
          <t>Vervoermiddelen</t>
        </is>
      </c>
      <c r="D699" s="34" t="inlineStr">
        <is>
          <t>Balans</t>
        </is>
      </c>
      <c r="E699" s="34" t="inlineStr">
        <is>
          <t>Balans</t>
        </is>
      </c>
      <c r="F699" s="34" t="inlineStr"/>
      <c r="G699" s="35" t="n">
        <v>0</v>
      </c>
      <c r="H699" s="35" t="n">
        <v>760</v>
      </c>
      <c r="I699" s="35">
        <f>G699-H699</f>
        <v/>
      </c>
      <c r="J699" s="33" t="n">
        <v>2025</v>
      </c>
      <c r="K699" s="33" t="n">
        <v>7</v>
      </c>
      <c r="L699" s="34" t="inlineStr">
        <is>
          <t>Balans</t>
        </is>
      </c>
      <c r="M699" s="34" t="inlineStr">
        <is>
          <t>Materiele vaste activa</t>
        </is>
      </c>
      <c r="N699" s="34" t="inlineStr">
        <is>
          <t>Vervoermiddelen</t>
        </is>
      </c>
      <c r="O699" s="36">
        <f>IFERROR(INDEX('Mapping'!$F$2:$F$60,MATCH(B699,'Mapping'!$A$2:$A$60,0)),"")</f>
        <v/>
      </c>
    </row>
    <row r="700">
      <c r="A700" s="32" t="n">
        <v>45870</v>
      </c>
      <c r="B700" s="33" t="n">
        <v>160</v>
      </c>
      <c r="C700" s="34" t="inlineStr">
        <is>
          <t>Vervoermiddelen</t>
        </is>
      </c>
      <c r="D700" s="34" t="inlineStr">
        <is>
          <t>Balans</t>
        </is>
      </c>
      <c r="E700" s="34" t="inlineStr">
        <is>
          <t>Balans</t>
        </is>
      </c>
      <c r="F700" s="34" t="inlineStr"/>
      <c r="G700" s="35" t="n">
        <v>0</v>
      </c>
      <c r="H700" s="35" t="n">
        <v>700</v>
      </c>
      <c r="I700" s="35">
        <f>G700-H700</f>
        <v/>
      </c>
      <c r="J700" s="33" t="n">
        <v>2025</v>
      </c>
      <c r="K700" s="33" t="n">
        <v>8</v>
      </c>
      <c r="L700" s="34" t="inlineStr">
        <is>
          <t>Balans</t>
        </is>
      </c>
      <c r="M700" s="34" t="inlineStr">
        <is>
          <t>Materiele vaste activa</t>
        </is>
      </c>
      <c r="N700" s="34" t="inlineStr">
        <is>
          <t>Vervoermiddelen</t>
        </is>
      </c>
      <c r="O700" s="36">
        <f>IFERROR(INDEX('Mapping'!$F$2:$F$60,MATCH(B700,'Mapping'!$A$2:$A$60,0)),"")</f>
        <v/>
      </c>
    </row>
    <row r="701">
      <c r="A701" s="32" t="n">
        <v>45901</v>
      </c>
      <c r="B701" s="33" t="n">
        <v>160</v>
      </c>
      <c r="C701" s="34" t="inlineStr">
        <is>
          <t>Vervoermiddelen</t>
        </is>
      </c>
      <c r="D701" s="34" t="inlineStr">
        <is>
          <t>Balans</t>
        </is>
      </c>
      <c r="E701" s="34" t="inlineStr">
        <is>
          <t>Balans</t>
        </is>
      </c>
      <c r="F701" s="34" t="inlineStr"/>
      <c r="G701" s="35" t="n">
        <v>0</v>
      </c>
      <c r="H701" s="35" t="n">
        <v>880</v>
      </c>
      <c r="I701" s="35">
        <f>G701-H701</f>
        <v/>
      </c>
      <c r="J701" s="33" t="n">
        <v>2025</v>
      </c>
      <c r="K701" s="33" t="n">
        <v>9</v>
      </c>
      <c r="L701" s="34" t="inlineStr">
        <is>
          <t>Balans</t>
        </is>
      </c>
      <c r="M701" s="34" t="inlineStr">
        <is>
          <t>Materiele vaste activa</t>
        </is>
      </c>
      <c r="N701" s="34" t="inlineStr">
        <is>
          <t>Vervoermiddelen</t>
        </is>
      </c>
      <c r="O701" s="36">
        <f>IFERROR(INDEX('Mapping'!$F$2:$F$60,MATCH(B701,'Mapping'!$A$2:$A$60,0)),"")</f>
        <v/>
      </c>
    </row>
    <row r="702">
      <c r="A702" s="32" t="n">
        <v>45931</v>
      </c>
      <c r="B702" s="33" t="n">
        <v>160</v>
      </c>
      <c r="C702" s="34" t="inlineStr">
        <is>
          <t>Vervoermiddelen</t>
        </is>
      </c>
      <c r="D702" s="34" t="inlineStr">
        <is>
          <t>Balans</t>
        </is>
      </c>
      <c r="E702" s="34" t="inlineStr">
        <is>
          <t>Balans</t>
        </is>
      </c>
      <c r="F702" s="34" t="inlineStr"/>
      <c r="G702" s="35" t="n">
        <v>0</v>
      </c>
      <c r="H702" s="35" t="n">
        <v>900</v>
      </c>
      <c r="I702" s="35">
        <f>G702-H702</f>
        <v/>
      </c>
      <c r="J702" s="33" t="n">
        <v>2025</v>
      </c>
      <c r="K702" s="33" t="n">
        <v>10</v>
      </c>
      <c r="L702" s="34" t="inlineStr">
        <is>
          <t>Balans</t>
        </is>
      </c>
      <c r="M702" s="34" t="inlineStr">
        <is>
          <t>Materiele vaste activa</t>
        </is>
      </c>
      <c r="N702" s="34" t="inlineStr">
        <is>
          <t>Vervoermiddelen</t>
        </is>
      </c>
      <c r="O702" s="36">
        <f>IFERROR(INDEX('Mapping'!$F$2:$F$60,MATCH(B702,'Mapping'!$A$2:$A$60,0)),"")</f>
        <v/>
      </c>
    </row>
    <row r="703">
      <c r="A703" s="32" t="n">
        <v>45962</v>
      </c>
      <c r="B703" s="33" t="n">
        <v>160</v>
      </c>
      <c r="C703" s="34" t="inlineStr">
        <is>
          <t>Vervoermiddelen</t>
        </is>
      </c>
      <c r="D703" s="34" t="inlineStr">
        <is>
          <t>Balans</t>
        </is>
      </c>
      <c r="E703" s="34" t="inlineStr">
        <is>
          <t>Balans</t>
        </is>
      </c>
      <c r="F703" s="34" t="inlineStr"/>
      <c r="G703" s="35" t="n">
        <v>0</v>
      </c>
      <c r="H703" s="35" t="n">
        <v>860</v>
      </c>
      <c r="I703" s="35">
        <f>G703-H703</f>
        <v/>
      </c>
      <c r="J703" s="33" t="n">
        <v>2025</v>
      </c>
      <c r="K703" s="33" t="n">
        <v>11</v>
      </c>
      <c r="L703" s="34" t="inlineStr">
        <is>
          <t>Balans</t>
        </is>
      </c>
      <c r="M703" s="34" t="inlineStr">
        <is>
          <t>Materiele vaste activa</t>
        </is>
      </c>
      <c r="N703" s="34" t="inlineStr">
        <is>
          <t>Vervoermiddelen</t>
        </is>
      </c>
      <c r="O703" s="36">
        <f>IFERROR(INDEX('Mapping'!$F$2:$F$60,MATCH(B703,'Mapping'!$A$2:$A$60,0)),"")</f>
        <v/>
      </c>
    </row>
    <row r="704">
      <c r="A704" s="32" t="n">
        <v>45992</v>
      </c>
      <c r="B704" s="33" t="n">
        <v>160</v>
      </c>
      <c r="C704" s="34" t="inlineStr">
        <is>
          <t>Vervoermiddelen</t>
        </is>
      </c>
      <c r="D704" s="34" t="inlineStr">
        <is>
          <t>Balans</t>
        </is>
      </c>
      <c r="E704" s="34" t="inlineStr">
        <is>
          <t>Balans</t>
        </is>
      </c>
      <c r="F704" s="34" t="inlineStr"/>
      <c r="G704" s="35" t="n">
        <v>0</v>
      </c>
      <c r="H704" s="35" t="n">
        <v>1040</v>
      </c>
      <c r="I704" s="35">
        <f>G704-H704</f>
        <v/>
      </c>
      <c r="J704" s="33" t="n">
        <v>2025</v>
      </c>
      <c r="K704" s="33" t="n">
        <v>12</v>
      </c>
      <c r="L704" s="34" t="inlineStr">
        <is>
          <t>Balans</t>
        </is>
      </c>
      <c r="M704" s="34" t="inlineStr">
        <is>
          <t>Materiele vaste activa</t>
        </is>
      </c>
      <c r="N704" s="34" t="inlineStr">
        <is>
          <t>Vervoermiddelen</t>
        </is>
      </c>
      <c r="O704" s="36">
        <f>IFERROR(INDEX('Mapping'!$F$2:$F$60,MATCH(B704,'Mapping'!$A$2:$A$60,0)),"")</f>
        <v/>
      </c>
    </row>
    <row r="705">
      <c r="A705" s="32" t="n">
        <v>45292</v>
      </c>
      <c r="B705" s="33" t="n">
        <v>100</v>
      </c>
      <c r="C705" s="34" t="inlineStr">
        <is>
          <t>Goodwill (beginbalans)</t>
        </is>
      </c>
      <c r="D705" s="34" t="inlineStr">
        <is>
          <t>Balans</t>
        </is>
      </c>
      <c r="E705" s="34" t="inlineStr">
        <is>
          <t>Balans</t>
        </is>
      </c>
      <c r="F705" s="34" t="inlineStr"/>
      <c r="G705" s="35" t="n">
        <v>80000</v>
      </c>
      <c r="H705" s="35" t="n">
        <v>0</v>
      </c>
      <c r="I705" s="35">
        <f>G705-H705</f>
        <v/>
      </c>
      <c r="J705" s="33" t="n">
        <v>2024</v>
      </c>
      <c r="K705" s="33" t="n">
        <v>0</v>
      </c>
      <c r="L705" s="34" t="inlineStr">
        <is>
          <t>Balans</t>
        </is>
      </c>
      <c r="M705" s="34" t="inlineStr">
        <is>
          <t>Immateriele vaste activa</t>
        </is>
      </c>
      <c r="N705" s="34" t="inlineStr">
        <is>
          <t>Goodwill</t>
        </is>
      </c>
      <c r="O705" s="36">
        <f>IFERROR(INDEX('Mapping'!$F$2:$F$60,MATCH(B705,'Mapping'!$A$2:$A$60,0)),"")</f>
        <v/>
      </c>
    </row>
    <row r="706">
      <c r="A706" s="32" t="n">
        <v>45292</v>
      </c>
      <c r="B706" s="33" t="n">
        <v>100</v>
      </c>
      <c r="C706" s="34" t="inlineStr">
        <is>
          <t>Goodwill</t>
        </is>
      </c>
      <c r="D706" s="34" t="inlineStr">
        <is>
          <t>Balans</t>
        </is>
      </c>
      <c r="E706" s="34" t="inlineStr">
        <is>
          <t>Balans</t>
        </is>
      </c>
      <c r="F706" s="34" t="inlineStr"/>
      <c r="G706" s="35" t="n">
        <v>0</v>
      </c>
      <c r="H706" s="35" t="n">
        <v>700</v>
      </c>
      <c r="I706" s="35">
        <f>G706-H706</f>
        <v/>
      </c>
      <c r="J706" s="33" t="n">
        <v>2024</v>
      </c>
      <c r="K706" s="33" t="n">
        <v>1</v>
      </c>
      <c r="L706" s="34" t="inlineStr">
        <is>
          <t>Balans</t>
        </is>
      </c>
      <c r="M706" s="34" t="inlineStr">
        <is>
          <t>Immateriele vaste activa</t>
        </is>
      </c>
      <c r="N706" s="34" t="inlineStr">
        <is>
          <t>Goodwill</t>
        </is>
      </c>
      <c r="O706" s="36">
        <f>IFERROR(INDEX('Mapping'!$F$2:$F$60,MATCH(B706,'Mapping'!$A$2:$A$60,0)),"")</f>
        <v/>
      </c>
    </row>
    <row r="707">
      <c r="A707" s="32" t="n">
        <v>45323</v>
      </c>
      <c r="B707" s="33" t="n">
        <v>100</v>
      </c>
      <c r="C707" s="34" t="inlineStr">
        <is>
          <t>Goodwill</t>
        </is>
      </c>
      <c r="D707" s="34" t="inlineStr">
        <is>
          <t>Balans</t>
        </is>
      </c>
      <c r="E707" s="34" t="inlineStr">
        <is>
          <t>Balans</t>
        </is>
      </c>
      <c r="F707" s="34" t="inlineStr"/>
      <c r="G707" s="35" t="n">
        <v>0</v>
      </c>
      <c r="H707" s="35" t="n">
        <v>700</v>
      </c>
      <c r="I707" s="35">
        <f>G707-H707</f>
        <v/>
      </c>
      <c r="J707" s="33" t="n">
        <v>2024</v>
      </c>
      <c r="K707" s="33" t="n">
        <v>2</v>
      </c>
      <c r="L707" s="34" t="inlineStr">
        <is>
          <t>Balans</t>
        </is>
      </c>
      <c r="M707" s="34" t="inlineStr">
        <is>
          <t>Immateriele vaste activa</t>
        </is>
      </c>
      <c r="N707" s="34" t="inlineStr">
        <is>
          <t>Goodwill</t>
        </is>
      </c>
      <c r="O707" s="36">
        <f>IFERROR(INDEX('Mapping'!$F$2:$F$60,MATCH(B707,'Mapping'!$A$2:$A$60,0)),"")</f>
        <v/>
      </c>
    </row>
    <row r="708">
      <c r="A708" s="32" t="n">
        <v>45352</v>
      </c>
      <c r="B708" s="33" t="n">
        <v>100</v>
      </c>
      <c r="C708" s="34" t="inlineStr">
        <is>
          <t>Goodwill</t>
        </is>
      </c>
      <c r="D708" s="34" t="inlineStr">
        <is>
          <t>Balans</t>
        </is>
      </c>
      <c r="E708" s="34" t="inlineStr">
        <is>
          <t>Balans</t>
        </is>
      </c>
      <c r="F708" s="34" t="inlineStr"/>
      <c r="G708" s="35" t="n">
        <v>0</v>
      </c>
      <c r="H708" s="35" t="n">
        <v>880</v>
      </c>
      <c r="I708" s="35">
        <f>G708-H708</f>
        <v/>
      </c>
      <c r="J708" s="33" t="n">
        <v>2024</v>
      </c>
      <c r="K708" s="33" t="n">
        <v>3</v>
      </c>
      <c r="L708" s="34" t="inlineStr">
        <is>
          <t>Balans</t>
        </is>
      </c>
      <c r="M708" s="34" t="inlineStr">
        <is>
          <t>Immateriele vaste activa</t>
        </is>
      </c>
      <c r="N708" s="34" t="inlineStr">
        <is>
          <t>Goodwill</t>
        </is>
      </c>
      <c r="O708" s="36">
        <f>IFERROR(INDEX('Mapping'!$F$2:$F$60,MATCH(B708,'Mapping'!$A$2:$A$60,0)),"")</f>
        <v/>
      </c>
    </row>
    <row r="709">
      <c r="A709" s="32" t="n">
        <v>45383</v>
      </c>
      <c r="B709" s="33" t="n">
        <v>100</v>
      </c>
      <c r="C709" s="34" t="inlineStr">
        <is>
          <t>Goodwill</t>
        </is>
      </c>
      <c r="D709" s="34" t="inlineStr">
        <is>
          <t>Balans</t>
        </is>
      </c>
      <c r="E709" s="34" t="inlineStr">
        <is>
          <t>Balans</t>
        </is>
      </c>
      <c r="F709" s="34" t="inlineStr"/>
      <c r="G709" s="35" t="n">
        <v>0</v>
      </c>
      <c r="H709" s="35" t="n">
        <v>820</v>
      </c>
      <c r="I709" s="35">
        <f>G709-H709</f>
        <v/>
      </c>
      <c r="J709" s="33" t="n">
        <v>2024</v>
      </c>
      <c r="K709" s="33" t="n">
        <v>4</v>
      </c>
      <c r="L709" s="34" t="inlineStr">
        <is>
          <t>Balans</t>
        </is>
      </c>
      <c r="M709" s="34" t="inlineStr">
        <is>
          <t>Immateriele vaste activa</t>
        </is>
      </c>
      <c r="N709" s="34" t="inlineStr">
        <is>
          <t>Goodwill</t>
        </is>
      </c>
      <c r="O709" s="36">
        <f>IFERROR(INDEX('Mapping'!$F$2:$F$60,MATCH(B709,'Mapping'!$A$2:$A$60,0)),"")</f>
        <v/>
      </c>
    </row>
    <row r="710">
      <c r="A710" s="32" t="n">
        <v>45413</v>
      </c>
      <c r="B710" s="33" t="n">
        <v>100</v>
      </c>
      <c r="C710" s="34" t="inlineStr">
        <is>
          <t>Goodwill</t>
        </is>
      </c>
      <c r="D710" s="34" t="inlineStr">
        <is>
          <t>Balans</t>
        </is>
      </c>
      <c r="E710" s="34" t="inlineStr">
        <is>
          <t>Balans</t>
        </is>
      </c>
      <c r="F710" s="34" t="inlineStr"/>
      <c r="G710" s="35" t="n">
        <v>0</v>
      </c>
      <c r="H710" s="35" t="n">
        <v>860</v>
      </c>
      <c r="I710" s="35">
        <f>G710-H710</f>
        <v/>
      </c>
      <c r="J710" s="33" t="n">
        <v>2024</v>
      </c>
      <c r="K710" s="33" t="n">
        <v>5</v>
      </c>
      <c r="L710" s="34" t="inlineStr">
        <is>
          <t>Balans</t>
        </is>
      </c>
      <c r="M710" s="34" t="inlineStr">
        <is>
          <t>Immateriele vaste activa</t>
        </is>
      </c>
      <c r="N710" s="34" t="inlineStr">
        <is>
          <t>Goodwill</t>
        </is>
      </c>
      <c r="O710" s="36">
        <f>IFERROR(INDEX('Mapping'!$F$2:$F$60,MATCH(B710,'Mapping'!$A$2:$A$60,0)),"")</f>
        <v/>
      </c>
    </row>
    <row r="711">
      <c r="A711" s="32" t="n">
        <v>45444</v>
      </c>
      <c r="B711" s="33" t="n">
        <v>100</v>
      </c>
      <c r="C711" s="34" t="inlineStr">
        <is>
          <t>Goodwill</t>
        </is>
      </c>
      <c r="D711" s="34" t="inlineStr">
        <is>
          <t>Balans</t>
        </is>
      </c>
      <c r="E711" s="34" t="inlineStr">
        <is>
          <t>Balans</t>
        </is>
      </c>
      <c r="F711" s="34" t="inlineStr"/>
      <c r="G711" s="35" t="n">
        <v>0</v>
      </c>
      <c r="H711" s="35" t="n">
        <v>900</v>
      </c>
      <c r="I711" s="35">
        <f>G711-H711</f>
        <v/>
      </c>
      <c r="J711" s="33" t="n">
        <v>2024</v>
      </c>
      <c r="K711" s="33" t="n">
        <v>6</v>
      </c>
      <c r="L711" s="34" t="inlineStr">
        <is>
          <t>Balans</t>
        </is>
      </c>
      <c r="M711" s="34" t="inlineStr">
        <is>
          <t>Immateriele vaste activa</t>
        </is>
      </c>
      <c r="N711" s="34" t="inlineStr">
        <is>
          <t>Goodwill</t>
        </is>
      </c>
      <c r="O711" s="36">
        <f>IFERROR(INDEX('Mapping'!$F$2:$F$60,MATCH(B711,'Mapping'!$A$2:$A$60,0)),"")</f>
        <v/>
      </c>
    </row>
    <row r="712">
      <c r="A712" s="32" t="n">
        <v>45474</v>
      </c>
      <c r="B712" s="33" t="n">
        <v>100</v>
      </c>
      <c r="C712" s="34" t="inlineStr">
        <is>
          <t>Goodwill</t>
        </is>
      </c>
      <c r="D712" s="34" t="inlineStr">
        <is>
          <t>Balans</t>
        </is>
      </c>
      <c r="E712" s="34" t="inlineStr">
        <is>
          <t>Balans</t>
        </is>
      </c>
      <c r="F712" s="34" t="inlineStr"/>
      <c r="G712" s="35" t="n">
        <v>0</v>
      </c>
      <c r="H712" s="35" t="n">
        <v>760</v>
      </c>
      <c r="I712" s="35">
        <f>G712-H712</f>
        <v/>
      </c>
      <c r="J712" s="33" t="n">
        <v>2024</v>
      </c>
      <c r="K712" s="33" t="n">
        <v>7</v>
      </c>
      <c r="L712" s="34" t="inlineStr">
        <is>
          <t>Balans</t>
        </is>
      </c>
      <c r="M712" s="34" t="inlineStr">
        <is>
          <t>Immateriele vaste activa</t>
        </is>
      </c>
      <c r="N712" s="34" t="inlineStr">
        <is>
          <t>Goodwill</t>
        </is>
      </c>
      <c r="O712" s="36">
        <f>IFERROR(INDEX('Mapping'!$F$2:$F$60,MATCH(B712,'Mapping'!$A$2:$A$60,0)),"")</f>
        <v/>
      </c>
    </row>
    <row r="713">
      <c r="A713" s="32" t="n">
        <v>45505</v>
      </c>
      <c r="B713" s="33" t="n">
        <v>100</v>
      </c>
      <c r="C713" s="34" t="inlineStr">
        <is>
          <t>Goodwill</t>
        </is>
      </c>
      <c r="D713" s="34" t="inlineStr">
        <is>
          <t>Balans</t>
        </is>
      </c>
      <c r="E713" s="34" t="inlineStr">
        <is>
          <t>Balans</t>
        </is>
      </c>
      <c r="F713" s="34" t="inlineStr"/>
      <c r="G713" s="35" t="n">
        <v>0</v>
      </c>
      <c r="H713" s="35" t="n">
        <v>700</v>
      </c>
      <c r="I713" s="35">
        <f>G713-H713</f>
        <v/>
      </c>
      <c r="J713" s="33" t="n">
        <v>2024</v>
      </c>
      <c r="K713" s="33" t="n">
        <v>8</v>
      </c>
      <c r="L713" s="34" t="inlineStr">
        <is>
          <t>Balans</t>
        </is>
      </c>
      <c r="M713" s="34" t="inlineStr">
        <is>
          <t>Immateriele vaste activa</t>
        </is>
      </c>
      <c r="N713" s="34" t="inlineStr">
        <is>
          <t>Goodwill</t>
        </is>
      </c>
      <c r="O713" s="36">
        <f>IFERROR(INDEX('Mapping'!$F$2:$F$60,MATCH(B713,'Mapping'!$A$2:$A$60,0)),"")</f>
        <v/>
      </c>
    </row>
    <row r="714">
      <c r="A714" s="32" t="n">
        <v>45536</v>
      </c>
      <c r="B714" s="33" t="n">
        <v>100</v>
      </c>
      <c r="C714" s="34" t="inlineStr">
        <is>
          <t>Goodwill</t>
        </is>
      </c>
      <c r="D714" s="34" t="inlineStr">
        <is>
          <t>Balans</t>
        </is>
      </c>
      <c r="E714" s="34" t="inlineStr">
        <is>
          <t>Balans</t>
        </is>
      </c>
      <c r="F714" s="34" t="inlineStr"/>
      <c r="G714" s="35" t="n">
        <v>0</v>
      </c>
      <c r="H714" s="35" t="n">
        <v>880</v>
      </c>
      <c r="I714" s="35">
        <f>G714-H714</f>
        <v/>
      </c>
      <c r="J714" s="33" t="n">
        <v>2024</v>
      </c>
      <c r="K714" s="33" t="n">
        <v>9</v>
      </c>
      <c r="L714" s="34" t="inlineStr">
        <is>
          <t>Balans</t>
        </is>
      </c>
      <c r="M714" s="34" t="inlineStr">
        <is>
          <t>Immateriele vaste activa</t>
        </is>
      </c>
      <c r="N714" s="34" t="inlineStr">
        <is>
          <t>Goodwill</t>
        </is>
      </c>
      <c r="O714" s="36">
        <f>IFERROR(INDEX('Mapping'!$F$2:$F$60,MATCH(B714,'Mapping'!$A$2:$A$60,0)),"")</f>
        <v/>
      </c>
    </row>
    <row r="715">
      <c r="A715" s="32" t="n">
        <v>45566</v>
      </c>
      <c r="B715" s="33" t="n">
        <v>100</v>
      </c>
      <c r="C715" s="34" t="inlineStr">
        <is>
          <t>Goodwill</t>
        </is>
      </c>
      <c r="D715" s="34" t="inlineStr">
        <is>
          <t>Balans</t>
        </is>
      </c>
      <c r="E715" s="34" t="inlineStr">
        <is>
          <t>Balans</t>
        </is>
      </c>
      <c r="F715" s="34" t="inlineStr"/>
      <c r="G715" s="35" t="n">
        <v>0</v>
      </c>
      <c r="H715" s="35" t="n">
        <v>900</v>
      </c>
      <c r="I715" s="35">
        <f>G715-H715</f>
        <v/>
      </c>
      <c r="J715" s="33" t="n">
        <v>2024</v>
      </c>
      <c r="K715" s="33" t="n">
        <v>10</v>
      </c>
      <c r="L715" s="34" t="inlineStr">
        <is>
          <t>Balans</t>
        </is>
      </c>
      <c r="M715" s="34" t="inlineStr">
        <is>
          <t>Immateriele vaste activa</t>
        </is>
      </c>
      <c r="N715" s="34" t="inlineStr">
        <is>
          <t>Goodwill</t>
        </is>
      </c>
      <c r="O715" s="36">
        <f>IFERROR(INDEX('Mapping'!$F$2:$F$60,MATCH(B715,'Mapping'!$A$2:$A$60,0)),"")</f>
        <v/>
      </c>
    </row>
    <row r="716">
      <c r="A716" s="32" t="n">
        <v>45597</v>
      </c>
      <c r="B716" s="33" t="n">
        <v>100</v>
      </c>
      <c r="C716" s="34" t="inlineStr">
        <is>
          <t>Goodwill</t>
        </is>
      </c>
      <c r="D716" s="34" t="inlineStr">
        <is>
          <t>Balans</t>
        </is>
      </c>
      <c r="E716" s="34" t="inlineStr">
        <is>
          <t>Balans</t>
        </is>
      </c>
      <c r="F716" s="34" t="inlineStr"/>
      <c r="G716" s="35" t="n">
        <v>0</v>
      </c>
      <c r="H716" s="35" t="n">
        <v>860</v>
      </c>
      <c r="I716" s="35">
        <f>G716-H716</f>
        <v/>
      </c>
      <c r="J716" s="33" t="n">
        <v>2024</v>
      </c>
      <c r="K716" s="33" t="n">
        <v>11</v>
      </c>
      <c r="L716" s="34" t="inlineStr">
        <is>
          <t>Balans</t>
        </is>
      </c>
      <c r="M716" s="34" t="inlineStr">
        <is>
          <t>Immateriele vaste activa</t>
        </is>
      </c>
      <c r="N716" s="34" t="inlineStr">
        <is>
          <t>Goodwill</t>
        </is>
      </c>
      <c r="O716" s="36">
        <f>IFERROR(INDEX('Mapping'!$F$2:$F$60,MATCH(B716,'Mapping'!$A$2:$A$60,0)),"")</f>
        <v/>
      </c>
    </row>
    <row r="717">
      <c r="A717" s="32" t="n">
        <v>45627</v>
      </c>
      <c r="B717" s="33" t="n">
        <v>100</v>
      </c>
      <c r="C717" s="34" t="inlineStr">
        <is>
          <t>Goodwill</t>
        </is>
      </c>
      <c r="D717" s="34" t="inlineStr">
        <is>
          <t>Balans</t>
        </is>
      </c>
      <c r="E717" s="34" t="inlineStr">
        <is>
          <t>Balans</t>
        </is>
      </c>
      <c r="F717" s="34" t="inlineStr"/>
      <c r="G717" s="35" t="n">
        <v>0</v>
      </c>
      <c r="H717" s="35" t="n">
        <v>1040</v>
      </c>
      <c r="I717" s="35">
        <f>G717-H717</f>
        <v/>
      </c>
      <c r="J717" s="33" t="n">
        <v>2024</v>
      </c>
      <c r="K717" s="33" t="n">
        <v>12</v>
      </c>
      <c r="L717" s="34" t="inlineStr">
        <is>
          <t>Balans</t>
        </is>
      </c>
      <c r="M717" s="34" t="inlineStr">
        <is>
          <t>Immateriele vaste activa</t>
        </is>
      </c>
      <c r="N717" s="34" t="inlineStr">
        <is>
          <t>Goodwill</t>
        </is>
      </c>
      <c r="O717" s="36">
        <f>IFERROR(INDEX('Mapping'!$F$2:$F$60,MATCH(B717,'Mapping'!$A$2:$A$60,0)),"")</f>
        <v/>
      </c>
    </row>
    <row r="718">
      <c r="A718" s="32" t="n">
        <v>45658</v>
      </c>
      <c r="B718" s="33" t="n">
        <v>100</v>
      </c>
      <c r="C718" s="34" t="inlineStr">
        <is>
          <t>Goodwill (beginbalans)</t>
        </is>
      </c>
      <c r="D718" s="34" t="inlineStr">
        <is>
          <t>Balans</t>
        </is>
      </c>
      <c r="E718" s="34" t="inlineStr">
        <is>
          <t>Balans</t>
        </is>
      </c>
      <c r="F718" s="34" t="inlineStr"/>
      <c r="G718" s="35" t="n">
        <v>70000</v>
      </c>
      <c r="H718" s="35" t="n">
        <v>0</v>
      </c>
      <c r="I718" s="35">
        <f>G718-H718</f>
        <v/>
      </c>
      <c r="J718" s="33" t="n">
        <v>2025</v>
      </c>
      <c r="K718" s="33" t="n">
        <v>0</v>
      </c>
      <c r="L718" s="34" t="inlineStr">
        <is>
          <t>Balans</t>
        </is>
      </c>
      <c r="M718" s="34" t="inlineStr">
        <is>
          <t>Immateriele vaste activa</t>
        </is>
      </c>
      <c r="N718" s="34" t="inlineStr">
        <is>
          <t>Goodwill</t>
        </is>
      </c>
      <c r="O718" s="36">
        <f>IFERROR(INDEX('Mapping'!$F$2:$F$60,MATCH(B718,'Mapping'!$A$2:$A$60,0)),"")</f>
        <v/>
      </c>
    </row>
    <row r="719">
      <c r="A719" s="32" t="n">
        <v>45658</v>
      </c>
      <c r="B719" s="33" t="n">
        <v>100</v>
      </c>
      <c r="C719" s="34" t="inlineStr">
        <is>
          <t>Goodwill</t>
        </is>
      </c>
      <c r="D719" s="34" t="inlineStr">
        <is>
          <t>Balans</t>
        </is>
      </c>
      <c r="E719" s="34" t="inlineStr">
        <is>
          <t>Balans</t>
        </is>
      </c>
      <c r="F719" s="34" t="inlineStr"/>
      <c r="G719" s="35" t="n">
        <v>0</v>
      </c>
      <c r="H719" s="35" t="n">
        <v>700</v>
      </c>
      <c r="I719" s="35">
        <f>G719-H719</f>
        <v/>
      </c>
      <c r="J719" s="33" t="n">
        <v>2025</v>
      </c>
      <c r="K719" s="33" t="n">
        <v>1</v>
      </c>
      <c r="L719" s="34" t="inlineStr">
        <is>
          <t>Balans</t>
        </is>
      </c>
      <c r="M719" s="34" t="inlineStr">
        <is>
          <t>Immateriele vaste activa</t>
        </is>
      </c>
      <c r="N719" s="34" t="inlineStr">
        <is>
          <t>Goodwill</t>
        </is>
      </c>
      <c r="O719" s="36">
        <f>IFERROR(INDEX('Mapping'!$F$2:$F$60,MATCH(B719,'Mapping'!$A$2:$A$60,0)),"")</f>
        <v/>
      </c>
    </row>
    <row r="720">
      <c r="A720" s="32" t="n">
        <v>45689</v>
      </c>
      <c r="B720" s="33" t="n">
        <v>100</v>
      </c>
      <c r="C720" s="34" t="inlineStr">
        <is>
          <t>Goodwill</t>
        </is>
      </c>
      <c r="D720" s="34" t="inlineStr">
        <is>
          <t>Balans</t>
        </is>
      </c>
      <c r="E720" s="34" t="inlineStr">
        <is>
          <t>Balans</t>
        </is>
      </c>
      <c r="F720" s="34" t="inlineStr"/>
      <c r="G720" s="35" t="n">
        <v>0</v>
      </c>
      <c r="H720" s="35" t="n">
        <v>700</v>
      </c>
      <c r="I720" s="35">
        <f>G720-H720</f>
        <v/>
      </c>
      <c r="J720" s="33" t="n">
        <v>2025</v>
      </c>
      <c r="K720" s="33" t="n">
        <v>2</v>
      </c>
      <c r="L720" s="34" t="inlineStr">
        <is>
          <t>Balans</t>
        </is>
      </c>
      <c r="M720" s="34" t="inlineStr">
        <is>
          <t>Immateriele vaste activa</t>
        </is>
      </c>
      <c r="N720" s="34" t="inlineStr">
        <is>
          <t>Goodwill</t>
        </is>
      </c>
      <c r="O720" s="36">
        <f>IFERROR(INDEX('Mapping'!$F$2:$F$60,MATCH(B720,'Mapping'!$A$2:$A$60,0)),"")</f>
        <v/>
      </c>
    </row>
    <row r="721">
      <c r="A721" s="32" t="n">
        <v>45717</v>
      </c>
      <c r="B721" s="33" t="n">
        <v>100</v>
      </c>
      <c r="C721" s="34" t="inlineStr">
        <is>
          <t>Goodwill</t>
        </is>
      </c>
      <c r="D721" s="34" t="inlineStr">
        <is>
          <t>Balans</t>
        </is>
      </c>
      <c r="E721" s="34" t="inlineStr">
        <is>
          <t>Balans</t>
        </is>
      </c>
      <c r="F721" s="34" t="inlineStr"/>
      <c r="G721" s="35" t="n">
        <v>0</v>
      </c>
      <c r="H721" s="35" t="n">
        <v>880</v>
      </c>
      <c r="I721" s="35">
        <f>G721-H721</f>
        <v/>
      </c>
      <c r="J721" s="33" t="n">
        <v>2025</v>
      </c>
      <c r="K721" s="33" t="n">
        <v>3</v>
      </c>
      <c r="L721" s="34" t="inlineStr">
        <is>
          <t>Balans</t>
        </is>
      </c>
      <c r="M721" s="34" t="inlineStr">
        <is>
          <t>Immateriele vaste activa</t>
        </is>
      </c>
      <c r="N721" s="34" t="inlineStr">
        <is>
          <t>Goodwill</t>
        </is>
      </c>
      <c r="O721" s="36">
        <f>IFERROR(INDEX('Mapping'!$F$2:$F$60,MATCH(B721,'Mapping'!$A$2:$A$60,0)),"")</f>
        <v/>
      </c>
    </row>
    <row r="722">
      <c r="A722" s="32" t="n">
        <v>45748</v>
      </c>
      <c r="B722" s="33" t="n">
        <v>100</v>
      </c>
      <c r="C722" s="34" t="inlineStr">
        <is>
          <t>Goodwill</t>
        </is>
      </c>
      <c r="D722" s="34" t="inlineStr">
        <is>
          <t>Balans</t>
        </is>
      </c>
      <c r="E722" s="34" t="inlineStr">
        <is>
          <t>Balans</t>
        </is>
      </c>
      <c r="F722" s="34" t="inlineStr"/>
      <c r="G722" s="35" t="n">
        <v>0</v>
      </c>
      <c r="H722" s="35" t="n">
        <v>820</v>
      </c>
      <c r="I722" s="35">
        <f>G722-H722</f>
        <v/>
      </c>
      <c r="J722" s="33" t="n">
        <v>2025</v>
      </c>
      <c r="K722" s="33" t="n">
        <v>4</v>
      </c>
      <c r="L722" s="34" t="inlineStr">
        <is>
          <t>Balans</t>
        </is>
      </c>
      <c r="M722" s="34" t="inlineStr">
        <is>
          <t>Immateriele vaste activa</t>
        </is>
      </c>
      <c r="N722" s="34" t="inlineStr">
        <is>
          <t>Goodwill</t>
        </is>
      </c>
      <c r="O722" s="36">
        <f>IFERROR(INDEX('Mapping'!$F$2:$F$60,MATCH(B722,'Mapping'!$A$2:$A$60,0)),"")</f>
        <v/>
      </c>
    </row>
    <row r="723">
      <c r="A723" s="32" t="n">
        <v>45778</v>
      </c>
      <c r="B723" s="33" t="n">
        <v>100</v>
      </c>
      <c r="C723" s="34" t="inlineStr">
        <is>
          <t>Goodwill</t>
        </is>
      </c>
      <c r="D723" s="34" t="inlineStr">
        <is>
          <t>Balans</t>
        </is>
      </c>
      <c r="E723" s="34" t="inlineStr">
        <is>
          <t>Balans</t>
        </is>
      </c>
      <c r="F723" s="34" t="inlineStr"/>
      <c r="G723" s="35" t="n">
        <v>0</v>
      </c>
      <c r="H723" s="35" t="n">
        <v>860</v>
      </c>
      <c r="I723" s="35">
        <f>G723-H723</f>
        <v/>
      </c>
      <c r="J723" s="33" t="n">
        <v>2025</v>
      </c>
      <c r="K723" s="33" t="n">
        <v>5</v>
      </c>
      <c r="L723" s="34" t="inlineStr">
        <is>
          <t>Balans</t>
        </is>
      </c>
      <c r="M723" s="34" t="inlineStr">
        <is>
          <t>Immateriele vaste activa</t>
        </is>
      </c>
      <c r="N723" s="34" t="inlineStr">
        <is>
          <t>Goodwill</t>
        </is>
      </c>
      <c r="O723" s="36">
        <f>IFERROR(INDEX('Mapping'!$F$2:$F$60,MATCH(B723,'Mapping'!$A$2:$A$60,0)),"")</f>
        <v/>
      </c>
    </row>
    <row r="724">
      <c r="A724" s="32" t="n">
        <v>45809</v>
      </c>
      <c r="B724" s="33" t="n">
        <v>100</v>
      </c>
      <c r="C724" s="34" t="inlineStr">
        <is>
          <t>Goodwill</t>
        </is>
      </c>
      <c r="D724" s="34" t="inlineStr">
        <is>
          <t>Balans</t>
        </is>
      </c>
      <c r="E724" s="34" t="inlineStr">
        <is>
          <t>Balans</t>
        </is>
      </c>
      <c r="F724" s="34" t="inlineStr"/>
      <c r="G724" s="35" t="n">
        <v>0</v>
      </c>
      <c r="H724" s="35" t="n">
        <v>900</v>
      </c>
      <c r="I724" s="35">
        <f>G724-H724</f>
        <v/>
      </c>
      <c r="J724" s="33" t="n">
        <v>2025</v>
      </c>
      <c r="K724" s="33" t="n">
        <v>6</v>
      </c>
      <c r="L724" s="34" t="inlineStr">
        <is>
          <t>Balans</t>
        </is>
      </c>
      <c r="M724" s="34" t="inlineStr">
        <is>
          <t>Immateriele vaste activa</t>
        </is>
      </c>
      <c r="N724" s="34" t="inlineStr">
        <is>
          <t>Goodwill</t>
        </is>
      </c>
      <c r="O724" s="36">
        <f>IFERROR(INDEX('Mapping'!$F$2:$F$60,MATCH(B724,'Mapping'!$A$2:$A$60,0)),"")</f>
        <v/>
      </c>
    </row>
    <row r="725">
      <c r="A725" s="32" t="n">
        <v>45839</v>
      </c>
      <c r="B725" s="33" t="n">
        <v>100</v>
      </c>
      <c r="C725" s="34" t="inlineStr">
        <is>
          <t>Goodwill</t>
        </is>
      </c>
      <c r="D725" s="34" t="inlineStr">
        <is>
          <t>Balans</t>
        </is>
      </c>
      <c r="E725" s="34" t="inlineStr">
        <is>
          <t>Balans</t>
        </is>
      </c>
      <c r="F725" s="34" t="inlineStr"/>
      <c r="G725" s="35" t="n">
        <v>0</v>
      </c>
      <c r="H725" s="35" t="n">
        <v>760</v>
      </c>
      <c r="I725" s="35">
        <f>G725-H725</f>
        <v/>
      </c>
      <c r="J725" s="33" t="n">
        <v>2025</v>
      </c>
      <c r="K725" s="33" t="n">
        <v>7</v>
      </c>
      <c r="L725" s="34" t="inlineStr">
        <is>
          <t>Balans</t>
        </is>
      </c>
      <c r="M725" s="34" t="inlineStr">
        <is>
          <t>Immateriele vaste activa</t>
        </is>
      </c>
      <c r="N725" s="34" t="inlineStr">
        <is>
          <t>Goodwill</t>
        </is>
      </c>
      <c r="O725" s="36">
        <f>IFERROR(INDEX('Mapping'!$F$2:$F$60,MATCH(B725,'Mapping'!$A$2:$A$60,0)),"")</f>
        <v/>
      </c>
    </row>
    <row r="726">
      <c r="A726" s="32" t="n">
        <v>45870</v>
      </c>
      <c r="B726" s="33" t="n">
        <v>100</v>
      </c>
      <c r="C726" s="34" t="inlineStr">
        <is>
          <t>Goodwill</t>
        </is>
      </c>
      <c r="D726" s="34" t="inlineStr">
        <is>
          <t>Balans</t>
        </is>
      </c>
      <c r="E726" s="34" t="inlineStr">
        <is>
          <t>Balans</t>
        </is>
      </c>
      <c r="F726" s="34" t="inlineStr"/>
      <c r="G726" s="35" t="n">
        <v>0</v>
      </c>
      <c r="H726" s="35" t="n">
        <v>700</v>
      </c>
      <c r="I726" s="35">
        <f>G726-H726</f>
        <v/>
      </c>
      <c r="J726" s="33" t="n">
        <v>2025</v>
      </c>
      <c r="K726" s="33" t="n">
        <v>8</v>
      </c>
      <c r="L726" s="34" t="inlineStr">
        <is>
          <t>Balans</t>
        </is>
      </c>
      <c r="M726" s="34" t="inlineStr">
        <is>
          <t>Immateriele vaste activa</t>
        </is>
      </c>
      <c r="N726" s="34" t="inlineStr">
        <is>
          <t>Goodwill</t>
        </is>
      </c>
      <c r="O726" s="36">
        <f>IFERROR(INDEX('Mapping'!$F$2:$F$60,MATCH(B726,'Mapping'!$A$2:$A$60,0)),"")</f>
        <v/>
      </c>
    </row>
    <row r="727">
      <c r="A727" s="32" t="n">
        <v>45901</v>
      </c>
      <c r="B727" s="33" t="n">
        <v>100</v>
      </c>
      <c r="C727" s="34" t="inlineStr">
        <is>
          <t>Goodwill</t>
        </is>
      </c>
      <c r="D727" s="34" t="inlineStr">
        <is>
          <t>Balans</t>
        </is>
      </c>
      <c r="E727" s="34" t="inlineStr">
        <is>
          <t>Balans</t>
        </is>
      </c>
      <c r="F727" s="34" t="inlineStr"/>
      <c r="G727" s="35" t="n">
        <v>0</v>
      </c>
      <c r="H727" s="35" t="n">
        <v>880</v>
      </c>
      <c r="I727" s="35">
        <f>G727-H727</f>
        <v/>
      </c>
      <c r="J727" s="33" t="n">
        <v>2025</v>
      </c>
      <c r="K727" s="33" t="n">
        <v>9</v>
      </c>
      <c r="L727" s="34" t="inlineStr">
        <is>
          <t>Balans</t>
        </is>
      </c>
      <c r="M727" s="34" t="inlineStr">
        <is>
          <t>Immateriele vaste activa</t>
        </is>
      </c>
      <c r="N727" s="34" t="inlineStr">
        <is>
          <t>Goodwill</t>
        </is>
      </c>
      <c r="O727" s="36">
        <f>IFERROR(INDEX('Mapping'!$F$2:$F$60,MATCH(B727,'Mapping'!$A$2:$A$60,0)),"")</f>
        <v/>
      </c>
    </row>
    <row r="728">
      <c r="A728" s="32" t="n">
        <v>45931</v>
      </c>
      <c r="B728" s="33" t="n">
        <v>100</v>
      </c>
      <c r="C728" s="34" t="inlineStr">
        <is>
          <t>Goodwill</t>
        </is>
      </c>
      <c r="D728" s="34" t="inlineStr">
        <is>
          <t>Balans</t>
        </is>
      </c>
      <c r="E728" s="34" t="inlineStr">
        <is>
          <t>Balans</t>
        </is>
      </c>
      <c r="F728" s="34" t="inlineStr"/>
      <c r="G728" s="35" t="n">
        <v>0</v>
      </c>
      <c r="H728" s="35" t="n">
        <v>900</v>
      </c>
      <c r="I728" s="35">
        <f>G728-H728</f>
        <v/>
      </c>
      <c r="J728" s="33" t="n">
        <v>2025</v>
      </c>
      <c r="K728" s="33" t="n">
        <v>10</v>
      </c>
      <c r="L728" s="34" t="inlineStr">
        <is>
          <t>Balans</t>
        </is>
      </c>
      <c r="M728" s="34" t="inlineStr">
        <is>
          <t>Immateriele vaste activa</t>
        </is>
      </c>
      <c r="N728" s="34" t="inlineStr">
        <is>
          <t>Goodwill</t>
        </is>
      </c>
      <c r="O728" s="36">
        <f>IFERROR(INDEX('Mapping'!$F$2:$F$60,MATCH(B728,'Mapping'!$A$2:$A$60,0)),"")</f>
        <v/>
      </c>
    </row>
    <row r="729">
      <c r="A729" s="32" t="n">
        <v>45962</v>
      </c>
      <c r="B729" s="33" t="n">
        <v>100</v>
      </c>
      <c r="C729" s="34" t="inlineStr">
        <is>
          <t>Goodwill</t>
        </is>
      </c>
      <c r="D729" s="34" t="inlineStr">
        <is>
          <t>Balans</t>
        </is>
      </c>
      <c r="E729" s="34" t="inlineStr">
        <is>
          <t>Balans</t>
        </is>
      </c>
      <c r="F729" s="34" t="inlineStr"/>
      <c r="G729" s="35" t="n">
        <v>0</v>
      </c>
      <c r="H729" s="35" t="n">
        <v>860</v>
      </c>
      <c r="I729" s="35">
        <f>G729-H729</f>
        <v/>
      </c>
      <c r="J729" s="33" t="n">
        <v>2025</v>
      </c>
      <c r="K729" s="33" t="n">
        <v>11</v>
      </c>
      <c r="L729" s="34" t="inlineStr">
        <is>
          <t>Balans</t>
        </is>
      </c>
      <c r="M729" s="34" t="inlineStr">
        <is>
          <t>Immateriele vaste activa</t>
        </is>
      </c>
      <c r="N729" s="34" t="inlineStr">
        <is>
          <t>Goodwill</t>
        </is>
      </c>
      <c r="O729" s="36">
        <f>IFERROR(INDEX('Mapping'!$F$2:$F$60,MATCH(B729,'Mapping'!$A$2:$A$60,0)),"")</f>
        <v/>
      </c>
    </row>
    <row r="730">
      <c r="A730" s="32" t="n">
        <v>45992</v>
      </c>
      <c r="B730" s="33" t="n">
        <v>100</v>
      </c>
      <c r="C730" s="34" t="inlineStr">
        <is>
          <t>Goodwill</t>
        </is>
      </c>
      <c r="D730" s="34" t="inlineStr">
        <is>
          <t>Balans</t>
        </is>
      </c>
      <c r="E730" s="34" t="inlineStr">
        <is>
          <t>Balans</t>
        </is>
      </c>
      <c r="F730" s="34" t="inlineStr"/>
      <c r="G730" s="35" t="n">
        <v>0</v>
      </c>
      <c r="H730" s="35" t="n">
        <v>1040</v>
      </c>
      <c r="I730" s="35">
        <f>G730-H730</f>
        <v/>
      </c>
      <c r="J730" s="33" t="n">
        <v>2025</v>
      </c>
      <c r="K730" s="33" t="n">
        <v>12</v>
      </c>
      <c r="L730" s="34" t="inlineStr">
        <is>
          <t>Balans</t>
        </is>
      </c>
      <c r="M730" s="34" t="inlineStr">
        <is>
          <t>Immateriele vaste activa</t>
        </is>
      </c>
      <c r="N730" s="34" t="inlineStr">
        <is>
          <t>Goodwill</t>
        </is>
      </c>
      <c r="O730" s="36">
        <f>IFERROR(INDEX('Mapping'!$F$2:$F$60,MATCH(B730,'Mapping'!$A$2:$A$60,0)),"")</f>
        <v/>
      </c>
    </row>
    <row r="731">
      <c r="A731" s="32" t="n">
        <v>45292</v>
      </c>
      <c r="B731" s="33" t="n">
        <v>3000</v>
      </c>
      <c r="C731" s="34" t="inlineStr">
        <is>
          <t>Voorraad handelsgoederen (beginbalans)</t>
        </is>
      </c>
      <c r="D731" s="34" t="inlineStr">
        <is>
          <t>Balans</t>
        </is>
      </c>
      <c r="E731" s="34" t="inlineStr">
        <is>
          <t>Balans</t>
        </is>
      </c>
      <c r="F731" s="34" t="inlineStr"/>
      <c r="G731" s="35" t="n">
        <v>450000</v>
      </c>
      <c r="H731" s="35" t="n">
        <v>0</v>
      </c>
      <c r="I731" s="35">
        <f>G731-H731</f>
        <v/>
      </c>
      <c r="J731" s="33" t="n">
        <v>2024</v>
      </c>
      <c r="K731" s="33" t="n">
        <v>0</v>
      </c>
      <c r="L731" s="34" t="inlineStr">
        <is>
          <t>Balans</t>
        </is>
      </c>
      <c r="M731" s="34" t="inlineStr">
        <is>
          <t>Voorraden</t>
        </is>
      </c>
      <c r="N731" s="34" t="inlineStr">
        <is>
          <t>Handelsvoorraad</t>
        </is>
      </c>
      <c r="O731" s="36">
        <f>IFERROR(INDEX('Mapping'!$F$2:$F$60,MATCH(B731,'Mapping'!$A$2:$A$60,0)),"")</f>
        <v/>
      </c>
    </row>
    <row r="732">
      <c r="A732" s="32" t="n">
        <v>45292</v>
      </c>
      <c r="B732" s="33" t="n">
        <v>3000</v>
      </c>
      <c r="C732" s="34" t="inlineStr">
        <is>
          <t>Voorraad handelsgoederen</t>
        </is>
      </c>
      <c r="D732" s="34" t="inlineStr">
        <is>
          <t>Balans</t>
        </is>
      </c>
      <c r="E732" s="34" t="inlineStr">
        <is>
          <t>Balans</t>
        </is>
      </c>
      <c r="F732" s="34" t="inlineStr"/>
      <c r="G732" s="35" t="n">
        <v>1400</v>
      </c>
      <c r="H732" s="35" t="n">
        <v>0</v>
      </c>
      <c r="I732" s="35">
        <f>G732-H732</f>
        <v/>
      </c>
      <c r="J732" s="33" t="n">
        <v>2024</v>
      </c>
      <c r="K732" s="33" t="n">
        <v>1</v>
      </c>
      <c r="L732" s="34" t="inlineStr">
        <is>
          <t>Balans</t>
        </is>
      </c>
      <c r="M732" s="34" t="inlineStr">
        <is>
          <t>Voorraden</t>
        </is>
      </c>
      <c r="N732" s="34" t="inlineStr">
        <is>
          <t>Handelsvoorraad</t>
        </is>
      </c>
      <c r="O732" s="36">
        <f>IFERROR(INDEX('Mapping'!$F$2:$F$60,MATCH(B732,'Mapping'!$A$2:$A$60,0)),"")</f>
        <v/>
      </c>
    </row>
    <row r="733">
      <c r="A733" s="32" t="n">
        <v>45323</v>
      </c>
      <c r="B733" s="33" t="n">
        <v>3000</v>
      </c>
      <c r="C733" s="34" t="inlineStr">
        <is>
          <t>Voorraad handelsgoederen</t>
        </is>
      </c>
      <c r="D733" s="34" t="inlineStr">
        <is>
          <t>Balans</t>
        </is>
      </c>
      <c r="E733" s="34" t="inlineStr">
        <is>
          <t>Balans</t>
        </is>
      </c>
      <c r="F733" s="34" t="inlineStr"/>
      <c r="G733" s="35" t="n">
        <v>1400</v>
      </c>
      <c r="H733" s="35" t="n">
        <v>0</v>
      </c>
      <c r="I733" s="35">
        <f>G733-H733</f>
        <v/>
      </c>
      <c r="J733" s="33" t="n">
        <v>2024</v>
      </c>
      <c r="K733" s="33" t="n">
        <v>2</v>
      </c>
      <c r="L733" s="34" t="inlineStr">
        <is>
          <t>Balans</t>
        </is>
      </c>
      <c r="M733" s="34" t="inlineStr">
        <is>
          <t>Voorraden</t>
        </is>
      </c>
      <c r="N733" s="34" t="inlineStr">
        <is>
          <t>Handelsvoorraad</t>
        </is>
      </c>
      <c r="O733" s="36">
        <f>IFERROR(INDEX('Mapping'!$F$2:$F$60,MATCH(B733,'Mapping'!$A$2:$A$60,0)),"")</f>
        <v/>
      </c>
    </row>
    <row r="734">
      <c r="A734" s="32" t="n">
        <v>45352</v>
      </c>
      <c r="B734" s="33" t="n">
        <v>3000</v>
      </c>
      <c r="C734" s="34" t="inlineStr">
        <is>
          <t>Voorraad handelsgoederen</t>
        </is>
      </c>
      <c r="D734" s="34" t="inlineStr">
        <is>
          <t>Balans</t>
        </is>
      </c>
      <c r="E734" s="34" t="inlineStr">
        <is>
          <t>Balans</t>
        </is>
      </c>
      <c r="F734" s="34" t="inlineStr"/>
      <c r="G734" s="35" t="n">
        <v>1760</v>
      </c>
      <c r="H734" s="35" t="n">
        <v>0</v>
      </c>
      <c r="I734" s="35">
        <f>G734-H734</f>
        <v/>
      </c>
      <c r="J734" s="33" t="n">
        <v>2024</v>
      </c>
      <c r="K734" s="33" t="n">
        <v>3</v>
      </c>
      <c r="L734" s="34" t="inlineStr">
        <is>
          <t>Balans</t>
        </is>
      </c>
      <c r="M734" s="34" t="inlineStr">
        <is>
          <t>Voorraden</t>
        </is>
      </c>
      <c r="N734" s="34" t="inlineStr">
        <is>
          <t>Handelsvoorraad</t>
        </is>
      </c>
      <c r="O734" s="36">
        <f>IFERROR(INDEX('Mapping'!$F$2:$F$60,MATCH(B734,'Mapping'!$A$2:$A$60,0)),"")</f>
        <v/>
      </c>
    </row>
    <row r="735">
      <c r="A735" s="32" t="n">
        <v>45383</v>
      </c>
      <c r="B735" s="33" t="n">
        <v>3000</v>
      </c>
      <c r="C735" s="34" t="inlineStr">
        <is>
          <t>Voorraad handelsgoederen</t>
        </is>
      </c>
      <c r="D735" s="34" t="inlineStr">
        <is>
          <t>Balans</t>
        </is>
      </c>
      <c r="E735" s="34" t="inlineStr">
        <is>
          <t>Balans</t>
        </is>
      </c>
      <c r="F735" s="34" t="inlineStr"/>
      <c r="G735" s="35" t="n">
        <v>1640</v>
      </c>
      <c r="H735" s="35" t="n">
        <v>0</v>
      </c>
      <c r="I735" s="35">
        <f>G735-H735</f>
        <v/>
      </c>
      <c r="J735" s="33" t="n">
        <v>2024</v>
      </c>
      <c r="K735" s="33" t="n">
        <v>4</v>
      </c>
      <c r="L735" s="34" t="inlineStr">
        <is>
          <t>Balans</t>
        </is>
      </c>
      <c r="M735" s="34" t="inlineStr">
        <is>
          <t>Voorraden</t>
        </is>
      </c>
      <c r="N735" s="34" t="inlineStr">
        <is>
          <t>Handelsvoorraad</t>
        </is>
      </c>
      <c r="O735" s="36">
        <f>IFERROR(INDEX('Mapping'!$F$2:$F$60,MATCH(B735,'Mapping'!$A$2:$A$60,0)),"")</f>
        <v/>
      </c>
    </row>
    <row r="736">
      <c r="A736" s="32" t="n">
        <v>45413</v>
      </c>
      <c r="B736" s="33" t="n">
        <v>3000</v>
      </c>
      <c r="C736" s="34" t="inlineStr">
        <is>
          <t>Voorraad handelsgoederen</t>
        </is>
      </c>
      <c r="D736" s="34" t="inlineStr">
        <is>
          <t>Balans</t>
        </is>
      </c>
      <c r="E736" s="34" t="inlineStr">
        <is>
          <t>Balans</t>
        </is>
      </c>
      <c r="F736" s="34" t="inlineStr"/>
      <c r="G736" s="35" t="n">
        <v>1720</v>
      </c>
      <c r="H736" s="35" t="n">
        <v>0</v>
      </c>
      <c r="I736" s="35">
        <f>G736-H736</f>
        <v/>
      </c>
      <c r="J736" s="33" t="n">
        <v>2024</v>
      </c>
      <c r="K736" s="33" t="n">
        <v>5</v>
      </c>
      <c r="L736" s="34" t="inlineStr">
        <is>
          <t>Balans</t>
        </is>
      </c>
      <c r="M736" s="34" t="inlineStr">
        <is>
          <t>Voorraden</t>
        </is>
      </c>
      <c r="N736" s="34" t="inlineStr">
        <is>
          <t>Handelsvoorraad</t>
        </is>
      </c>
      <c r="O736" s="36">
        <f>IFERROR(INDEX('Mapping'!$F$2:$F$60,MATCH(B736,'Mapping'!$A$2:$A$60,0)),"")</f>
        <v/>
      </c>
    </row>
    <row r="737">
      <c r="A737" s="32" t="n">
        <v>45444</v>
      </c>
      <c r="B737" s="33" t="n">
        <v>3000</v>
      </c>
      <c r="C737" s="34" t="inlineStr">
        <is>
          <t>Voorraad handelsgoederen</t>
        </is>
      </c>
      <c r="D737" s="34" t="inlineStr">
        <is>
          <t>Balans</t>
        </is>
      </c>
      <c r="E737" s="34" t="inlineStr">
        <is>
          <t>Balans</t>
        </is>
      </c>
      <c r="F737" s="34" t="inlineStr"/>
      <c r="G737" s="35" t="n">
        <v>1800</v>
      </c>
      <c r="H737" s="35" t="n">
        <v>0</v>
      </c>
      <c r="I737" s="35">
        <f>G737-H737</f>
        <v/>
      </c>
      <c r="J737" s="33" t="n">
        <v>2024</v>
      </c>
      <c r="K737" s="33" t="n">
        <v>6</v>
      </c>
      <c r="L737" s="34" t="inlineStr">
        <is>
          <t>Balans</t>
        </is>
      </c>
      <c r="M737" s="34" t="inlineStr">
        <is>
          <t>Voorraden</t>
        </is>
      </c>
      <c r="N737" s="34" t="inlineStr">
        <is>
          <t>Handelsvoorraad</t>
        </is>
      </c>
      <c r="O737" s="36">
        <f>IFERROR(INDEX('Mapping'!$F$2:$F$60,MATCH(B737,'Mapping'!$A$2:$A$60,0)),"")</f>
        <v/>
      </c>
    </row>
    <row r="738">
      <c r="A738" s="32" t="n">
        <v>45474</v>
      </c>
      <c r="B738" s="33" t="n">
        <v>3000</v>
      </c>
      <c r="C738" s="34" t="inlineStr">
        <is>
          <t>Voorraad handelsgoederen</t>
        </is>
      </c>
      <c r="D738" s="34" t="inlineStr">
        <is>
          <t>Balans</t>
        </is>
      </c>
      <c r="E738" s="34" t="inlineStr">
        <is>
          <t>Balans</t>
        </is>
      </c>
      <c r="F738" s="34" t="inlineStr"/>
      <c r="G738" s="35" t="n">
        <v>1520</v>
      </c>
      <c r="H738" s="35" t="n">
        <v>0</v>
      </c>
      <c r="I738" s="35">
        <f>G738-H738</f>
        <v/>
      </c>
      <c r="J738" s="33" t="n">
        <v>2024</v>
      </c>
      <c r="K738" s="33" t="n">
        <v>7</v>
      </c>
      <c r="L738" s="34" t="inlineStr">
        <is>
          <t>Balans</t>
        </is>
      </c>
      <c r="M738" s="34" t="inlineStr">
        <is>
          <t>Voorraden</t>
        </is>
      </c>
      <c r="N738" s="34" t="inlineStr">
        <is>
          <t>Handelsvoorraad</t>
        </is>
      </c>
      <c r="O738" s="36">
        <f>IFERROR(INDEX('Mapping'!$F$2:$F$60,MATCH(B738,'Mapping'!$A$2:$A$60,0)),"")</f>
        <v/>
      </c>
    </row>
    <row r="739">
      <c r="A739" s="32" t="n">
        <v>45505</v>
      </c>
      <c r="B739" s="33" t="n">
        <v>3000</v>
      </c>
      <c r="C739" s="34" t="inlineStr">
        <is>
          <t>Voorraad handelsgoederen</t>
        </is>
      </c>
      <c r="D739" s="34" t="inlineStr">
        <is>
          <t>Balans</t>
        </is>
      </c>
      <c r="E739" s="34" t="inlineStr">
        <is>
          <t>Balans</t>
        </is>
      </c>
      <c r="F739" s="34" t="inlineStr"/>
      <c r="G739" s="35" t="n">
        <v>1400</v>
      </c>
      <c r="H739" s="35" t="n">
        <v>0</v>
      </c>
      <c r="I739" s="35">
        <f>G739-H739</f>
        <v/>
      </c>
      <c r="J739" s="33" t="n">
        <v>2024</v>
      </c>
      <c r="K739" s="33" t="n">
        <v>8</v>
      </c>
      <c r="L739" s="34" t="inlineStr">
        <is>
          <t>Balans</t>
        </is>
      </c>
      <c r="M739" s="34" t="inlineStr">
        <is>
          <t>Voorraden</t>
        </is>
      </c>
      <c r="N739" s="34" t="inlineStr">
        <is>
          <t>Handelsvoorraad</t>
        </is>
      </c>
      <c r="O739" s="36">
        <f>IFERROR(INDEX('Mapping'!$F$2:$F$60,MATCH(B739,'Mapping'!$A$2:$A$60,0)),"")</f>
        <v/>
      </c>
    </row>
    <row r="740">
      <c r="A740" s="32" t="n">
        <v>45536</v>
      </c>
      <c r="B740" s="33" t="n">
        <v>3000</v>
      </c>
      <c r="C740" s="34" t="inlineStr">
        <is>
          <t>Voorraad handelsgoederen</t>
        </is>
      </c>
      <c r="D740" s="34" t="inlineStr">
        <is>
          <t>Balans</t>
        </is>
      </c>
      <c r="E740" s="34" t="inlineStr">
        <is>
          <t>Balans</t>
        </is>
      </c>
      <c r="F740" s="34" t="inlineStr"/>
      <c r="G740" s="35" t="n">
        <v>1760</v>
      </c>
      <c r="H740" s="35" t="n">
        <v>0</v>
      </c>
      <c r="I740" s="35">
        <f>G740-H740</f>
        <v/>
      </c>
      <c r="J740" s="33" t="n">
        <v>2024</v>
      </c>
      <c r="K740" s="33" t="n">
        <v>9</v>
      </c>
      <c r="L740" s="34" t="inlineStr">
        <is>
          <t>Balans</t>
        </is>
      </c>
      <c r="M740" s="34" t="inlineStr">
        <is>
          <t>Voorraden</t>
        </is>
      </c>
      <c r="N740" s="34" t="inlineStr">
        <is>
          <t>Handelsvoorraad</t>
        </is>
      </c>
      <c r="O740" s="36">
        <f>IFERROR(INDEX('Mapping'!$F$2:$F$60,MATCH(B740,'Mapping'!$A$2:$A$60,0)),"")</f>
        <v/>
      </c>
    </row>
    <row r="741">
      <c r="A741" s="32" t="n">
        <v>45566</v>
      </c>
      <c r="B741" s="33" t="n">
        <v>3000</v>
      </c>
      <c r="C741" s="34" t="inlineStr">
        <is>
          <t>Voorraad handelsgoederen</t>
        </is>
      </c>
      <c r="D741" s="34" t="inlineStr">
        <is>
          <t>Balans</t>
        </is>
      </c>
      <c r="E741" s="34" t="inlineStr">
        <is>
          <t>Balans</t>
        </is>
      </c>
      <c r="F741" s="34" t="inlineStr"/>
      <c r="G741" s="35" t="n">
        <v>1800</v>
      </c>
      <c r="H741" s="35" t="n">
        <v>0</v>
      </c>
      <c r="I741" s="35">
        <f>G741-H741</f>
        <v/>
      </c>
      <c r="J741" s="33" t="n">
        <v>2024</v>
      </c>
      <c r="K741" s="33" t="n">
        <v>10</v>
      </c>
      <c r="L741" s="34" t="inlineStr">
        <is>
          <t>Balans</t>
        </is>
      </c>
      <c r="M741" s="34" t="inlineStr">
        <is>
          <t>Voorraden</t>
        </is>
      </c>
      <c r="N741" s="34" t="inlineStr">
        <is>
          <t>Handelsvoorraad</t>
        </is>
      </c>
      <c r="O741" s="36">
        <f>IFERROR(INDEX('Mapping'!$F$2:$F$60,MATCH(B741,'Mapping'!$A$2:$A$60,0)),"")</f>
        <v/>
      </c>
    </row>
    <row r="742">
      <c r="A742" s="32" t="n">
        <v>45597</v>
      </c>
      <c r="B742" s="33" t="n">
        <v>3000</v>
      </c>
      <c r="C742" s="34" t="inlineStr">
        <is>
          <t>Voorraad handelsgoederen</t>
        </is>
      </c>
      <c r="D742" s="34" t="inlineStr">
        <is>
          <t>Balans</t>
        </is>
      </c>
      <c r="E742" s="34" t="inlineStr">
        <is>
          <t>Balans</t>
        </is>
      </c>
      <c r="F742" s="34" t="inlineStr"/>
      <c r="G742" s="35" t="n">
        <v>1720</v>
      </c>
      <c r="H742" s="35" t="n">
        <v>0</v>
      </c>
      <c r="I742" s="35">
        <f>G742-H742</f>
        <v/>
      </c>
      <c r="J742" s="33" t="n">
        <v>2024</v>
      </c>
      <c r="K742" s="33" t="n">
        <v>11</v>
      </c>
      <c r="L742" s="34" t="inlineStr">
        <is>
          <t>Balans</t>
        </is>
      </c>
      <c r="M742" s="34" t="inlineStr">
        <is>
          <t>Voorraden</t>
        </is>
      </c>
      <c r="N742" s="34" t="inlineStr">
        <is>
          <t>Handelsvoorraad</t>
        </is>
      </c>
      <c r="O742" s="36">
        <f>IFERROR(INDEX('Mapping'!$F$2:$F$60,MATCH(B742,'Mapping'!$A$2:$A$60,0)),"")</f>
        <v/>
      </c>
    </row>
    <row r="743">
      <c r="A743" s="32" t="n">
        <v>45627</v>
      </c>
      <c r="B743" s="33" t="n">
        <v>3000</v>
      </c>
      <c r="C743" s="34" t="inlineStr">
        <is>
          <t>Voorraad handelsgoederen</t>
        </is>
      </c>
      <c r="D743" s="34" t="inlineStr">
        <is>
          <t>Balans</t>
        </is>
      </c>
      <c r="E743" s="34" t="inlineStr">
        <is>
          <t>Balans</t>
        </is>
      </c>
      <c r="F743" s="34" t="inlineStr"/>
      <c r="G743" s="35" t="n">
        <v>2080</v>
      </c>
      <c r="H743" s="35" t="n">
        <v>0</v>
      </c>
      <c r="I743" s="35">
        <f>G743-H743</f>
        <v/>
      </c>
      <c r="J743" s="33" t="n">
        <v>2024</v>
      </c>
      <c r="K743" s="33" t="n">
        <v>12</v>
      </c>
      <c r="L743" s="34" t="inlineStr">
        <is>
          <t>Balans</t>
        </is>
      </c>
      <c r="M743" s="34" t="inlineStr">
        <is>
          <t>Voorraden</t>
        </is>
      </c>
      <c r="N743" s="34" t="inlineStr">
        <is>
          <t>Handelsvoorraad</t>
        </is>
      </c>
      <c r="O743" s="36">
        <f>IFERROR(INDEX('Mapping'!$F$2:$F$60,MATCH(B743,'Mapping'!$A$2:$A$60,0)),"")</f>
        <v/>
      </c>
    </row>
    <row r="744">
      <c r="A744" s="32" t="n">
        <v>45658</v>
      </c>
      <c r="B744" s="33" t="n">
        <v>3000</v>
      </c>
      <c r="C744" s="34" t="inlineStr">
        <is>
          <t>Voorraad handelsgoederen (beginbalans)</t>
        </is>
      </c>
      <c r="D744" s="34" t="inlineStr">
        <is>
          <t>Balans</t>
        </is>
      </c>
      <c r="E744" s="34" t="inlineStr">
        <is>
          <t>Balans</t>
        </is>
      </c>
      <c r="F744" s="34" t="inlineStr"/>
      <c r="G744" s="35" t="n">
        <v>470000</v>
      </c>
      <c r="H744" s="35" t="n">
        <v>0</v>
      </c>
      <c r="I744" s="35">
        <f>G744-H744</f>
        <v/>
      </c>
      <c r="J744" s="33" t="n">
        <v>2025</v>
      </c>
      <c r="K744" s="33" t="n">
        <v>0</v>
      </c>
      <c r="L744" s="34" t="inlineStr">
        <is>
          <t>Balans</t>
        </is>
      </c>
      <c r="M744" s="34" t="inlineStr">
        <is>
          <t>Voorraden</t>
        </is>
      </c>
      <c r="N744" s="34" t="inlineStr">
        <is>
          <t>Handelsvoorraad</t>
        </is>
      </c>
      <c r="O744" s="36">
        <f>IFERROR(INDEX('Mapping'!$F$2:$F$60,MATCH(B744,'Mapping'!$A$2:$A$60,0)),"")</f>
        <v/>
      </c>
    </row>
    <row r="745">
      <c r="A745" s="32" t="n">
        <v>45658</v>
      </c>
      <c r="B745" s="33" t="n">
        <v>3000</v>
      </c>
      <c r="C745" s="34" t="inlineStr">
        <is>
          <t>Voorraad handelsgoederen</t>
        </is>
      </c>
      <c r="D745" s="34" t="inlineStr">
        <is>
          <t>Balans</t>
        </is>
      </c>
      <c r="E745" s="34" t="inlineStr">
        <is>
          <t>Balans</t>
        </is>
      </c>
      <c r="F745" s="34" t="inlineStr"/>
      <c r="G745" s="35" t="n">
        <v>3500</v>
      </c>
      <c r="H745" s="35" t="n">
        <v>0</v>
      </c>
      <c r="I745" s="35">
        <f>G745-H745</f>
        <v/>
      </c>
      <c r="J745" s="33" t="n">
        <v>2025</v>
      </c>
      <c r="K745" s="33" t="n">
        <v>1</v>
      </c>
      <c r="L745" s="34" t="inlineStr">
        <is>
          <t>Balans</t>
        </is>
      </c>
      <c r="M745" s="34" t="inlineStr">
        <is>
          <t>Voorraden</t>
        </is>
      </c>
      <c r="N745" s="34" t="inlineStr">
        <is>
          <t>Handelsvoorraad</t>
        </is>
      </c>
      <c r="O745" s="36">
        <f>IFERROR(INDEX('Mapping'!$F$2:$F$60,MATCH(B745,'Mapping'!$A$2:$A$60,0)),"")</f>
        <v/>
      </c>
    </row>
    <row r="746">
      <c r="A746" s="32" t="n">
        <v>45689</v>
      </c>
      <c r="B746" s="33" t="n">
        <v>3000</v>
      </c>
      <c r="C746" s="34" t="inlineStr">
        <is>
          <t>Voorraad handelsgoederen</t>
        </is>
      </c>
      <c r="D746" s="34" t="inlineStr">
        <is>
          <t>Balans</t>
        </is>
      </c>
      <c r="E746" s="34" t="inlineStr">
        <is>
          <t>Balans</t>
        </is>
      </c>
      <c r="F746" s="34" t="inlineStr"/>
      <c r="G746" s="35" t="n">
        <v>3500</v>
      </c>
      <c r="H746" s="35" t="n">
        <v>0</v>
      </c>
      <c r="I746" s="35">
        <f>G746-H746</f>
        <v/>
      </c>
      <c r="J746" s="33" t="n">
        <v>2025</v>
      </c>
      <c r="K746" s="33" t="n">
        <v>2</v>
      </c>
      <c r="L746" s="34" t="inlineStr">
        <is>
          <t>Balans</t>
        </is>
      </c>
      <c r="M746" s="34" t="inlineStr">
        <is>
          <t>Voorraden</t>
        </is>
      </c>
      <c r="N746" s="34" t="inlineStr">
        <is>
          <t>Handelsvoorraad</t>
        </is>
      </c>
      <c r="O746" s="36">
        <f>IFERROR(INDEX('Mapping'!$F$2:$F$60,MATCH(B746,'Mapping'!$A$2:$A$60,0)),"")</f>
        <v/>
      </c>
    </row>
    <row r="747">
      <c r="A747" s="32" t="n">
        <v>45717</v>
      </c>
      <c r="B747" s="33" t="n">
        <v>3000</v>
      </c>
      <c r="C747" s="34" t="inlineStr">
        <is>
          <t>Voorraad handelsgoederen</t>
        </is>
      </c>
      <c r="D747" s="34" t="inlineStr">
        <is>
          <t>Balans</t>
        </is>
      </c>
      <c r="E747" s="34" t="inlineStr">
        <is>
          <t>Balans</t>
        </is>
      </c>
      <c r="F747" s="34" t="inlineStr"/>
      <c r="G747" s="35" t="n">
        <v>4400</v>
      </c>
      <c r="H747" s="35" t="n">
        <v>0</v>
      </c>
      <c r="I747" s="35">
        <f>G747-H747</f>
        <v/>
      </c>
      <c r="J747" s="33" t="n">
        <v>2025</v>
      </c>
      <c r="K747" s="33" t="n">
        <v>3</v>
      </c>
      <c r="L747" s="34" t="inlineStr">
        <is>
          <t>Balans</t>
        </is>
      </c>
      <c r="M747" s="34" t="inlineStr">
        <is>
          <t>Voorraden</t>
        </is>
      </c>
      <c r="N747" s="34" t="inlineStr">
        <is>
          <t>Handelsvoorraad</t>
        </is>
      </c>
      <c r="O747" s="36">
        <f>IFERROR(INDEX('Mapping'!$F$2:$F$60,MATCH(B747,'Mapping'!$A$2:$A$60,0)),"")</f>
        <v/>
      </c>
    </row>
    <row r="748">
      <c r="A748" s="32" t="n">
        <v>45748</v>
      </c>
      <c r="B748" s="33" t="n">
        <v>3000</v>
      </c>
      <c r="C748" s="34" t="inlineStr">
        <is>
          <t>Voorraad handelsgoederen</t>
        </is>
      </c>
      <c r="D748" s="34" t="inlineStr">
        <is>
          <t>Balans</t>
        </is>
      </c>
      <c r="E748" s="34" t="inlineStr">
        <is>
          <t>Balans</t>
        </is>
      </c>
      <c r="F748" s="34" t="inlineStr"/>
      <c r="G748" s="35" t="n">
        <v>4100</v>
      </c>
      <c r="H748" s="35" t="n">
        <v>0</v>
      </c>
      <c r="I748" s="35">
        <f>G748-H748</f>
        <v/>
      </c>
      <c r="J748" s="33" t="n">
        <v>2025</v>
      </c>
      <c r="K748" s="33" t="n">
        <v>4</v>
      </c>
      <c r="L748" s="34" t="inlineStr">
        <is>
          <t>Balans</t>
        </is>
      </c>
      <c r="M748" s="34" t="inlineStr">
        <is>
          <t>Voorraden</t>
        </is>
      </c>
      <c r="N748" s="34" t="inlineStr">
        <is>
          <t>Handelsvoorraad</t>
        </is>
      </c>
      <c r="O748" s="36">
        <f>IFERROR(INDEX('Mapping'!$F$2:$F$60,MATCH(B748,'Mapping'!$A$2:$A$60,0)),"")</f>
        <v/>
      </c>
    </row>
    <row r="749">
      <c r="A749" s="32" t="n">
        <v>45778</v>
      </c>
      <c r="B749" s="33" t="n">
        <v>3000</v>
      </c>
      <c r="C749" s="34" t="inlineStr">
        <is>
          <t>Voorraad handelsgoederen</t>
        </is>
      </c>
      <c r="D749" s="34" t="inlineStr">
        <is>
          <t>Balans</t>
        </is>
      </c>
      <c r="E749" s="34" t="inlineStr">
        <is>
          <t>Balans</t>
        </is>
      </c>
      <c r="F749" s="34" t="inlineStr"/>
      <c r="G749" s="35" t="n">
        <v>4300</v>
      </c>
      <c r="H749" s="35" t="n">
        <v>0</v>
      </c>
      <c r="I749" s="35">
        <f>G749-H749</f>
        <v/>
      </c>
      <c r="J749" s="33" t="n">
        <v>2025</v>
      </c>
      <c r="K749" s="33" t="n">
        <v>5</v>
      </c>
      <c r="L749" s="34" t="inlineStr">
        <is>
          <t>Balans</t>
        </is>
      </c>
      <c r="M749" s="34" t="inlineStr">
        <is>
          <t>Voorraden</t>
        </is>
      </c>
      <c r="N749" s="34" t="inlineStr">
        <is>
          <t>Handelsvoorraad</t>
        </is>
      </c>
      <c r="O749" s="36">
        <f>IFERROR(INDEX('Mapping'!$F$2:$F$60,MATCH(B749,'Mapping'!$A$2:$A$60,0)),"")</f>
        <v/>
      </c>
    </row>
    <row r="750">
      <c r="A750" s="32" t="n">
        <v>45809</v>
      </c>
      <c r="B750" s="33" t="n">
        <v>3000</v>
      </c>
      <c r="C750" s="34" t="inlineStr">
        <is>
          <t>Voorraad handelsgoederen</t>
        </is>
      </c>
      <c r="D750" s="34" t="inlineStr">
        <is>
          <t>Balans</t>
        </is>
      </c>
      <c r="E750" s="34" t="inlineStr">
        <is>
          <t>Balans</t>
        </is>
      </c>
      <c r="F750" s="34" t="inlineStr"/>
      <c r="G750" s="35" t="n">
        <v>4500</v>
      </c>
      <c r="H750" s="35" t="n">
        <v>0</v>
      </c>
      <c r="I750" s="35">
        <f>G750-H750</f>
        <v/>
      </c>
      <c r="J750" s="33" t="n">
        <v>2025</v>
      </c>
      <c r="K750" s="33" t="n">
        <v>6</v>
      </c>
      <c r="L750" s="34" t="inlineStr">
        <is>
          <t>Balans</t>
        </is>
      </c>
      <c r="M750" s="34" t="inlineStr">
        <is>
          <t>Voorraden</t>
        </is>
      </c>
      <c r="N750" s="34" t="inlineStr">
        <is>
          <t>Handelsvoorraad</t>
        </is>
      </c>
      <c r="O750" s="36">
        <f>IFERROR(INDEX('Mapping'!$F$2:$F$60,MATCH(B750,'Mapping'!$A$2:$A$60,0)),"")</f>
        <v/>
      </c>
    </row>
    <row r="751">
      <c r="A751" s="32" t="n">
        <v>45839</v>
      </c>
      <c r="B751" s="33" t="n">
        <v>3000</v>
      </c>
      <c r="C751" s="34" t="inlineStr">
        <is>
          <t>Voorraad handelsgoederen</t>
        </is>
      </c>
      <c r="D751" s="34" t="inlineStr">
        <is>
          <t>Balans</t>
        </is>
      </c>
      <c r="E751" s="34" t="inlineStr">
        <is>
          <t>Balans</t>
        </is>
      </c>
      <c r="F751" s="34" t="inlineStr"/>
      <c r="G751" s="35" t="n">
        <v>3800</v>
      </c>
      <c r="H751" s="35" t="n">
        <v>0</v>
      </c>
      <c r="I751" s="35">
        <f>G751-H751</f>
        <v/>
      </c>
      <c r="J751" s="33" t="n">
        <v>2025</v>
      </c>
      <c r="K751" s="33" t="n">
        <v>7</v>
      </c>
      <c r="L751" s="34" t="inlineStr">
        <is>
          <t>Balans</t>
        </is>
      </c>
      <c r="M751" s="34" t="inlineStr">
        <is>
          <t>Voorraden</t>
        </is>
      </c>
      <c r="N751" s="34" t="inlineStr">
        <is>
          <t>Handelsvoorraad</t>
        </is>
      </c>
      <c r="O751" s="36">
        <f>IFERROR(INDEX('Mapping'!$F$2:$F$60,MATCH(B751,'Mapping'!$A$2:$A$60,0)),"")</f>
        <v/>
      </c>
    </row>
    <row r="752">
      <c r="A752" s="32" t="n">
        <v>45870</v>
      </c>
      <c r="B752" s="33" t="n">
        <v>3000</v>
      </c>
      <c r="C752" s="34" t="inlineStr">
        <is>
          <t>Voorraad handelsgoederen</t>
        </is>
      </c>
      <c r="D752" s="34" t="inlineStr">
        <is>
          <t>Balans</t>
        </is>
      </c>
      <c r="E752" s="34" t="inlineStr">
        <is>
          <t>Balans</t>
        </is>
      </c>
      <c r="F752" s="34" t="inlineStr"/>
      <c r="G752" s="35" t="n">
        <v>3500</v>
      </c>
      <c r="H752" s="35" t="n">
        <v>0</v>
      </c>
      <c r="I752" s="35">
        <f>G752-H752</f>
        <v/>
      </c>
      <c r="J752" s="33" t="n">
        <v>2025</v>
      </c>
      <c r="K752" s="33" t="n">
        <v>8</v>
      </c>
      <c r="L752" s="34" t="inlineStr">
        <is>
          <t>Balans</t>
        </is>
      </c>
      <c r="M752" s="34" t="inlineStr">
        <is>
          <t>Voorraden</t>
        </is>
      </c>
      <c r="N752" s="34" t="inlineStr">
        <is>
          <t>Handelsvoorraad</t>
        </is>
      </c>
      <c r="O752" s="36">
        <f>IFERROR(INDEX('Mapping'!$F$2:$F$60,MATCH(B752,'Mapping'!$A$2:$A$60,0)),"")</f>
        <v/>
      </c>
    </row>
    <row r="753">
      <c r="A753" s="32" t="n">
        <v>45901</v>
      </c>
      <c r="B753" s="33" t="n">
        <v>3000</v>
      </c>
      <c r="C753" s="34" t="inlineStr">
        <is>
          <t>Voorraad handelsgoederen</t>
        </is>
      </c>
      <c r="D753" s="34" t="inlineStr">
        <is>
          <t>Balans</t>
        </is>
      </c>
      <c r="E753" s="34" t="inlineStr">
        <is>
          <t>Balans</t>
        </is>
      </c>
      <c r="F753" s="34" t="inlineStr"/>
      <c r="G753" s="35" t="n">
        <v>4400</v>
      </c>
      <c r="H753" s="35" t="n">
        <v>0</v>
      </c>
      <c r="I753" s="35">
        <f>G753-H753</f>
        <v/>
      </c>
      <c r="J753" s="33" t="n">
        <v>2025</v>
      </c>
      <c r="K753" s="33" t="n">
        <v>9</v>
      </c>
      <c r="L753" s="34" t="inlineStr">
        <is>
          <t>Balans</t>
        </is>
      </c>
      <c r="M753" s="34" t="inlineStr">
        <is>
          <t>Voorraden</t>
        </is>
      </c>
      <c r="N753" s="34" t="inlineStr">
        <is>
          <t>Handelsvoorraad</t>
        </is>
      </c>
      <c r="O753" s="36">
        <f>IFERROR(INDEX('Mapping'!$F$2:$F$60,MATCH(B753,'Mapping'!$A$2:$A$60,0)),"")</f>
        <v/>
      </c>
    </row>
    <row r="754">
      <c r="A754" s="32" t="n">
        <v>45931</v>
      </c>
      <c r="B754" s="33" t="n">
        <v>3000</v>
      </c>
      <c r="C754" s="34" t="inlineStr">
        <is>
          <t>Voorraad handelsgoederen</t>
        </is>
      </c>
      <c r="D754" s="34" t="inlineStr">
        <is>
          <t>Balans</t>
        </is>
      </c>
      <c r="E754" s="34" t="inlineStr">
        <is>
          <t>Balans</t>
        </is>
      </c>
      <c r="F754" s="34" t="inlineStr"/>
      <c r="G754" s="35" t="n">
        <v>4500</v>
      </c>
      <c r="H754" s="35" t="n">
        <v>0</v>
      </c>
      <c r="I754" s="35">
        <f>G754-H754</f>
        <v/>
      </c>
      <c r="J754" s="33" t="n">
        <v>2025</v>
      </c>
      <c r="K754" s="33" t="n">
        <v>10</v>
      </c>
      <c r="L754" s="34" t="inlineStr">
        <is>
          <t>Balans</t>
        </is>
      </c>
      <c r="M754" s="34" t="inlineStr">
        <is>
          <t>Voorraden</t>
        </is>
      </c>
      <c r="N754" s="34" t="inlineStr">
        <is>
          <t>Handelsvoorraad</t>
        </is>
      </c>
      <c r="O754" s="36">
        <f>IFERROR(INDEX('Mapping'!$F$2:$F$60,MATCH(B754,'Mapping'!$A$2:$A$60,0)),"")</f>
        <v/>
      </c>
    </row>
    <row r="755">
      <c r="A755" s="32" t="n">
        <v>45962</v>
      </c>
      <c r="B755" s="33" t="n">
        <v>3000</v>
      </c>
      <c r="C755" s="34" t="inlineStr">
        <is>
          <t>Voorraad handelsgoederen</t>
        </is>
      </c>
      <c r="D755" s="34" t="inlineStr">
        <is>
          <t>Balans</t>
        </is>
      </c>
      <c r="E755" s="34" t="inlineStr">
        <is>
          <t>Balans</t>
        </is>
      </c>
      <c r="F755" s="34" t="inlineStr"/>
      <c r="G755" s="35" t="n">
        <v>4300</v>
      </c>
      <c r="H755" s="35" t="n">
        <v>0</v>
      </c>
      <c r="I755" s="35">
        <f>G755-H755</f>
        <v/>
      </c>
      <c r="J755" s="33" t="n">
        <v>2025</v>
      </c>
      <c r="K755" s="33" t="n">
        <v>11</v>
      </c>
      <c r="L755" s="34" t="inlineStr">
        <is>
          <t>Balans</t>
        </is>
      </c>
      <c r="M755" s="34" t="inlineStr">
        <is>
          <t>Voorraden</t>
        </is>
      </c>
      <c r="N755" s="34" t="inlineStr">
        <is>
          <t>Handelsvoorraad</t>
        </is>
      </c>
      <c r="O755" s="36">
        <f>IFERROR(INDEX('Mapping'!$F$2:$F$60,MATCH(B755,'Mapping'!$A$2:$A$60,0)),"")</f>
        <v/>
      </c>
    </row>
    <row r="756">
      <c r="A756" s="32" t="n">
        <v>45992</v>
      </c>
      <c r="B756" s="33" t="n">
        <v>3000</v>
      </c>
      <c r="C756" s="34" t="inlineStr">
        <is>
          <t>Voorraad handelsgoederen</t>
        </is>
      </c>
      <c r="D756" s="34" t="inlineStr">
        <is>
          <t>Balans</t>
        </is>
      </c>
      <c r="E756" s="34" t="inlineStr">
        <is>
          <t>Balans</t>
        </is>
      </c>
      <c r="F756" s="34" t="inlineStr"/>
      <c r="G756" s="35" t="n">
        <v>5200</v>
      </c>
      <c r="H756" s="35" t="n">
        <v>0</v>
      </c>
      <c r="I756" s="35">
        <f>G756-H756</f>
        <v/>
      </c>
      <c r="J756" s="33" t="n">
        <v>2025</v>
      </c>
      <c r="K756" s="33" t="n">
        <v>12</v>
      </c>
      <c r="L756" s="34" t="inlineStr">
        <is>
          <t>Balans</t>
        </is>
      </c>
      <c r="M756" s="34" t="inlineStr">
        <is>
          <t>Voorraden</t>
        </is>
      </c>
      <c r="N756" s="34" t="inlineStr">
        <is>
          <t>Handelsvoorraad</t>
        </is>
      </c>
      <c r="O756" s="36">
        <f>IFERROR(INDEX('Mapping'!$F$2:$F$60,MATCH(B756,'Mapping'!$A$2:$A$60,0)),"")</f>
        <v/>
      </c>
    </row>
    <row r="757">
      <c r="A757" s="32" t="n">
        <v>45292</v>
      </c>
      <c r="B757" s="33" t="n">
        <v>1300</v>
      </c>
      <c r="C757" s="34" t="inlineStr">
        <is>
          <t>Debiteuren (beginbalans)</t>
        </is>
      </c>
      <c r="D757" s="34" t="inlineStr">
        <is>
          <t>Balans</t>
        </is>
      </c>
      <c r="E757" s="34" t="inlineStr">
        <is>
          <t>Balans</t>
        </is>
      </c>
      <c r="F757" s="34" t="inlineStr"/>
      <c r="G757" s="35" t="n">
        <v>600000</v>
      </c>
      <c r="H757" s="35" t="n">
        <v>0</v>
      </c>
      <c r="I757" s="35">
        <f>G757-H757</f>
        <v/>
      </c>
      <c r="J757" s="33" t="n">
        <v>2024</v>
      </c>
      <c r="K757" s="33" t="n">
        <v>0</v>
      </c>
      <c r="L757" s="34" t="inlineStr">
        <is>
          <t>Balans</t>
        </is>
      </c>
      <c r="M757" s="34" t="inlineStr">
        <is>
          <t>Vorderingen</t>
        </is>
      </c>
      <c r="N757" s="34" t="inlineStr">
        <is>
          <t>Handelsdebiteuren</t>
        </is>
      </c>
      <c r="O757" s="36">
        <f>IFERROR(INDEX('Mapping'!$F$2:$F$60,MATCH(B757,'Mapping'!$A$2:$A$60,0)),"")</f>
        <v/>
      </c>
    </row>
    <row r="758">
      <c r="A758" s="32" t="n">
        <v>45292</v>
      </c>
      <c r="B758" s="33" t="n">
        <v>1300</v>
      </c>
      <c r="C758" s="34" t="inlineStr">
        <is>
          <t>Debiteuren</t>
        </is>
      </c>
      <c r="D758" s="34" t="inlineStr">
        <is>
          <t>Balans</t>
        </is>
      </c>
      <c r="E758" s="34" t="inlineStr">
        <is>
          <t>Balans</t>
        </is>
      </c>
      <c r="F758" s="34" t="inlineStr"/>
      <c r="G758" s="35" t="n">
        <v>2800</v>
      </c>
      <c r="H758" s="35" t="n">
        <v>0</v>
      </c>
      <c r="I758" s="35">
        <f>G758-H758</f>
        <v/>
      </c>
      <c r="J758" s="33" t="n">
        <v>2024</v>
      </c>
      <c r="K758" s="33" t="n">
        <v>1</v>
      </c>
      <c r="L758" s="34" t="inlineStr">
        <is>
          <t>Balans</t>
        </is>
      </c>
      <c r="M758" s="34" t="inlineStr">
        <is>
          <t>Vorderingen</t>
        </is>
      </c>
      <c r="N758" s="34" t="inlineStr">
        <is>
          <t>Handelsdebiteuren</t>
        </is>
      </c>
      <c r="O758" s="36">
        <f>IFERROR(INDEX('Mapping'!$F$2:$F$60,MATCH(B758,'Mapping'!$A$2:$A$60,0)),"")</f>
        <v/>
      </c>
    </row>
    <row r="759">
      <c r="A759" s="32" t="n">
        <v>45323</v>
      </c>
      <c r="B759" s="33" t="n">
        <v>1300</v>
      </c>
      <c r="C759" s="34" t="inlineStr">
        <is>
          <t>Debiteuren</t>
        </is>
      </c>
      <c r="D759" s="34" t="inlineStr">
        <is>
          <t>Balans</t>
        </is>
      </c>
      <c r="E759" s="34" t="inlineStr">
        <is>
          <t>Balans</t>
        </is>
      </c>
      <c r="F759" s="34" t="inlineStr"/>
      <c r="G759" s="35" t="n">
        <v>2800</v>
      </c>
      <c r="H759" s="35" t="n">
        <v>0</v>
      </c>
      <c r="I759" s="35">
        <f>G759-H759</f>
        <v/>
      </c>
      <c r="J759" s="33" t="n">
        <v>2024</v>
      </c>
      <c r="K759" s="33" t="n">
        <v>2</v>
      </c>
      <c r="L759" s="34" t="inlineStr">
        <is>
          <t>Balans</t>
        </is>
      </c>
      <c r="M759" s="34" t="inlineStr">
        <is>
          <t>Vorderingen</t>
        </is>
      </c>
      <c r="N759" s="34" t="inlineStr">
        <is>
          <t>Handelsdebiteuren</t>
        </is>
      </c>
      <c r="O759" s="36">
        <f>IFERROR(INDEX('Mapping'!$F$2:$F$60,MATCH(B759,'Mapping'!$A$2:$A$60,0)),"")</f>
        <v/>
      </c>
    </row>
    <row r="760">
      <c r="A760" s="32" t="n">
        <v>45352</v>
      </c>
      <c r="B760" s="33" t="n">
        <v>1300</v>
      </c>
      <c r="C760" s="34" t="inlineStr">
        <is>
          <t>Debiteuren</t>
        </is>
      </c>
      <c r="D760" s="34" t="inlineStr">
        <is>
          <t>Balans</t>
        </is>
      </c>
      <c r="E760" s="34" t="inlineStr">
        <is>
          <t>Balans</t>
        </is>
      </c>
      <c r="F760" s="34" t="inlineStr"/>
      <c r="G760" s="35" t="n">
        <v>3520</v>
      </c>
      <c r="H760" s="35" t="n">
        <v>0</v>
      </c>
      <c r="I760" s="35">
        <f>G760-H760</f>
        <v/>
      </c>
      <c r="J760" s="33" t="n">
        <v>2024</v>
      </c>
      <c r="K760" s="33" t="n">
        <v>3</v>
      </c>
      <c r="L760" s="34" t="inlineStr">
        <is>
          <t>Balans</t>
        </is>
      </c>
      <c r="M760" s="34" t="inlineStr">
        <is>
          <t>Vorderingen</t>
        </is>
      </c>
      <c r="N760" s="34" t="inlineStr">
        <is>
          <t>Handelsdebiteuren</t>
        </is>
      </c>
      <c r="O760" s="36">
        <f>IFERROR(INDEX('Mapping'!$F$2:$F$60,MATCH(B760,'Mapping'!$A$2:$A$60,0)),"")</f>
        <v/>
      </c>
    </row>
    <row r="761">
      <c r="A761" s="32" t="n">
        <v>45383</v>
      </c>
      <c r="B761" s="33" t="n">
        <v>1300</v>
      </c>
      <c r="C761" s="34" t="inlineStr">
        <is>
          <t>Debiteuren</t>
        </is>
      </c>
      <c r="D761" s="34" t="inlineStr">
        <is>
          <t>Balans</t>
        </is>
      </c>
      <c r="E761" s="34" t="inlineStr">
        <is>
          <t>Balans</t>
        </is>
      </c>
      <c r="F761" s="34" t="inlineStr"/>
      <c r="G761" s="35" t="n">
        <v>3280</v>
      </c>
      <c r="H761" s="35" t="n">
        <v>0</v>
      </c>
      <c r="I761" s="35">
        <f>G761-H761</f>
        <v/>
      </c>
      <c r="J761" s="33" t="n">
        <v>2024</v>
      </c>
      <c r="K761" s="33" t="n">
        <v>4</v>
      </c>
      <c r="L761" s="34" t="inlineStr">
        <is>
          <t>Balans</t>
        </is>
      </c>
      <c r="M761" s="34" t="inlineStr">
        <is>
          <t>Vorderingen</t>
        </is>
      </c>
      <c r="N761" s="34" t="inlineStr">
        <is>
          <t>Handelsdebiteuren</t>
        </is>
      </c>
      <c r="O761" s="36">
        <f>IFERROR(INDEX('Mapping'!$F$2:$F$60,MATCH(B761,'Mapping'!$A$2:$A$60,0)),"")</f>
        <v/>
      </c>
    </row>
    <row r="762">
      <c r="A762" s="32" t="n">
        <v>45413</v>
      </c>
      <c r="B762" s="33" t="n">
        <v>1300</v>
      </c>
      <c r="C762" s="34" t="inlineStr">
        <is>
          <t>Debiteuren</t>
        </is>
      </c>
      <c r="D762" s="34" t="inlineStr">
        <is>
          <t>Balans</t>
        </is>
      </c>
      <c r="E762" s="34" t="inlineStr">
        <is>
          <t>Balans</t>
        </is>
      </c>
      <c r="F762" s="34" t="inlineStr"/>
      <c r="G762" s="35" t="n">
        <v>3440</v>
      </c>
      <c r="H762" s="35" t="n">
        <v>0</v>
      </c>
      <c r="I762" s="35">
        <f>G762-H762</f>
        <v/>
      </c>
      <c r="J762" s="33" t="n">
        <v>2024</v>
      </c>
      <c r="K762" s="33" t="n">
        <v>5</v>
      </c>
      <c r="L762" s="34" t="inlineStr">
        <is>
          <t>Balans</t>
        </is>
      </c>
      <c r="M762" s="34" t="inlineStr">
        <is>
          <t>Vorderingen</t>
        </is>
      </c>
      <c r="N762" s="34" t="inlineStr">
        <is>
          <t>Handelsdebiteuren</t>
        </is>
      </c>
      <c r="O762" s="36">
        <f>IFERROR(INDEX('Mapping'!$F$2:$F$60,MATCH(B762,'Mapping'!$A$2:$A$60,0)),"")</f>
        <v/>
      </c>
    </row>
    <row r="763">
      <c r="A763" s="32" t="n">
        <v>45444</v>
      </c>
      <c r="B763" s="33" t="n">
        <v>1300</v>
      </c>
      <c r="C763" s="34" t="inlineStr">
        <is>
          <t>Debiteuren</t>
        </is>
      </c>
      <c r="D763" s="34" t="inlineStr">
        <is>
          <t>Balans</t>
        </is>
      </c>
      <c r="E763" s="34" t="inlineStr">
        <is>
          <t>Balans</t>
        </is>
      </c>
      <c r="F763" s="34" t="inlineStr"/>
      <c r="G763" s="35" t="n">
        <v>3600</v>
      </c>
      <c r="H763" s="35" t="n">
        <v>0</v>
      </c>
      <c r="I763" s="35">
        <f>G763-H763</f>
        <v/>
      </c>
      <c r="J763" s="33" t="n">
        <v>2024</v>
      </c>
      <c r="K763" s="33" t="n">
        <v>6</v>
      </c>
      <c r="L763" s="34" t="inlineStr">
        <is>
          <t>Balans</t>
        </is>
      </c>
      <c r="M763" s="34" t="inlineStr">
        <is>
          <t>Vorderingen</t>
        </is>
      </c>
      <c r="N763" s="34" t="inlineStr">
        <is>
          <t>Handelsdebiteuren</t>
        </is>
      </c>
      <c r="O763" s="36">
        <f>IFERROR(INDEX('Mapping'!$F$2:$F$60,MATCH(B763,'Mapping'!$A$2:$A$60,0)),"")</f>
        <v/>
      </c>
    </row>
    <row r="764">
      <c r="A764" s="32" t="n">
        <v>45474</v>
      </c>
      <c r="B764" s="33" t="n">
        <v>1300</v>
      </c>
      <c r="C764" s="34" t="inlineStr">
        <is>
          <t>Debiteuren</t>
        </is>
      </c>
      <c r="D764" s="34" t="inlineStr">
        <is>
          <t>Balans</t>
        </is>
      </c>
      <c r="E764" s="34" t="inlineStr">
        <is>
          <t>Balans</t>
        </is>
      </c>
      <c r="F764" s="34" t="inlineStr"/>
      <c r="G764" s="35" t="n">
        <v>3040</v>
      </c>
      <c r="H764" s="35" t="n">
        <v>0</v>
      </c>
      <c r="I764" s="35">
        <f>G764-H764</f>
        <v/>
      </c>
      <c r="J764" s="33" t="n">
        <v>2024</v>
      </c>
      <c r="K764" s="33" t="n">
        <v>7</v>
      </c>
      <c r="L764" s="34" t="inlineStr">
        <is>
          <t>Balans</t>
        </is>
      </c>
      <c r="M764" s="34" t="inlineStr">
        <is>
          <t>Vorderingen</t>
        </is>
      </c>
      <c r="N764" s="34" t="inlineStr">
        <is>
          <t>Handelsdebiteuren</t>
        </is>
      </c>
      <c r="O764" s="36">
        <f>IFERROR(INDEX('Mapping'!$F$2:$F$60,MATCH(B764,'Mapping'!$A$2:$A$60,0)),"")</f>
        <v/>
      </c>
    </row>
    <row r="765">
      <c r="A765" s="32" t="n">
        <v>45505</v>
      </c>
      <c r="B765" s="33" t="n">
        <v>1300</v>
      </c>
      <c r="C765" s="34" t="inlineStr">
        <is>
          <t>Debiteuren</t>
        </is>
      </c>
      <c r="D765" s="34" t="inlineStr">
        <is>
          <t>Balans</t>
        </is>
      </c>
      <c r="E765" s="34" t="inlineStr">
        <is>
          <t>Balans</t>
        </is>
      </c>
      <c r="F765" s="34" t="inlineStr"/>
      <c r="G765" s="35" t="n">
        <v>2800</v>
      </c>
      <c r="H765" s="35" t="n">
        <v>0</v>
      </c>
      <c r="I765" s="35">
        <f>G765-H765</f>
        <v/>
      </c>
      <c r="J765" s="33" t="n">
        <v>2024</v>
      </c>
      <c r="K765" s="33" t="n">
        <v>8</v>
      </c>
      <c r="L765" s="34" t="inlineStr">
        <is>
          <t>Balans</t>
        </is>
      </c>
      <c r="M765" s="34" t="inlineStr">
        <is>
          <t>Vorderingen</t>
        </is>
      </c>
      <c r="N765" s="34" t="inlineStr">
        <is>
          <t>Handelsdebiteuren</t>
        </is>
      </c>
      <c r="O765" s="36">
        <f>IFERROR(INDEX('Mapping'!$F$2:$F$60,MATCH(B765,'Mapping'!$A$2:$A$60,0)),"")</f>
        <v/>
      </c>
    </row>
    <row r="766">
      <c r="A766" s="32" t="n">
        <v>45536</v>
      </c>
      <c r="B766" s="33" t="n">
        <v>1300</v>
      </c>
      <c r="C766" s="34" t="inlineStr">
        <is>
          <t>Debiteuren</t>
        </is>
      </c>
      <c r="D766" s="34" t="inlineStr">
        <is>
          <t>Balans</t>
        </is>
      </c>
      <c r="E766" s="34" t="inlineStr">
        <is>
          <t>Balans</t>
        </is>
      </c>
      <c r="F766" s="34" t="inlineStr"/>
      <c r="G766" s="35" t="n">
        <v>3520</v>
      </c>
      <c r="H766" s="35" t="n">
        <v>0</v>
      </c>
      <c r="I766" s="35">
        <f>G766-H766</f>
        <v/>
      </c>
      <c r="J766" s="33" t="n">
        <v>2024</v>
      </c>
      <c r="K766" s="33" t="n">
        <v>9</v>
      </c>
      <c r="L766" s="34" t="inlineStr">
        <is>
          <t>Balans</t>
        </is>
      </c>
      <c r="M766" s="34" t="inlineStr">
        <is>
          <t>Vorderingen</t>
        </is>
      </c>
      <c r="N766" s="34" t="inlineStr">
        <is>
          <t>Handelsdebiteuren</t>
        </is>
      </c>
      <c r="O766" s="36">
        <f>IFERROR(INDEX('Mapping'!$F$2:$F$60,MATCH(B766,'Mapping'!$A$2:$A$60,0)),"")</f>
        <v/>
      </c>
    </row>
    <row r="767">
      <c r="A767" s="32" t="n">
        <v>45566</v>
      </c>
      <c r="B767" s="33" t="n">
        <v>1300</v>
      </c>
      <c r="C767" s="34" t="inlineStr">
        <is>
          <t>Debiteuren</t>
        </is>
      </c>
      <c r="D767" s="34" t="inlineStr">
        <is>
          <t>Balans</t>
        </is>
      </c>
      <c r="E767" s="34" t="inlineStr">
        <is>
          <t>Balans</t>
        </is>
      </c>
      <c r="F767" s="34" t="inlineStr"/>
      <c r="G767" s="35" t="n">
        <v>3600</v>
      </c>
      <c r="H767" s="35" t="n">
        <v>0</v>
      </c>
      <c r="I767" s="35">
        <f>G767-H767</f>
        <v/>
      </c>
      <c r="J767" s="33" t="n">
        <v>2024</v>
      </c>
      <c r="K767" s="33" t="n">
        <v>10</v>
      </c>
      <c r="L767" s="34" t="inlineStr">
        <is>
          <t>Balans</t>
        </is>
      </c>
      <c r="M767" s="34" t="inlineStr">
        <is>
          <t>Vorderingen</t>
        </is>
      </c>
      <c r="N767" s="34" t="inlineStr">
        <is>
          <t>Handelsdebiteuren</t>
        </is>
      </c>
      <c r="O767" s="36">
        <f>IFERROR(INDEX('Mapping'!$F$2:$F$60,MATCH(B767,'Mapping'!$A$2:$A$60,0)),"")</f>
        <v/>
      </c>
    </row>
    <row r="768">
      <c r="A768" s="32" t="n">
        <v>45597</v>
      </c>
      <c r="B768" s="33" t="n">
        <v>1300</v>
      </c>
      <c r="C768" s="34" t="inlineStr">
        <is>
          <t>Debiteuren</t>
        </is>
      </c>
      <c r="D768" s="34" t="inlineStr">
        <is>
          <t>Balans</t>
        </is>
      </c>
      <c r="E768" s="34" t="inlineStr">
        <is>
          <t>Balans</t>
        </is>
      </c>
      <c r="F768" s="34" t="inlineStr"/>
      <c r="G768" s="35" t="n">
        <v>3440</v>
      </c>
      <c r="H768" s="35" t="n">
        <v>0</v>
      </c>
      <c r="I768" s="35">
        <f>G768-H768</f>
        <v/>
      </c>
      <c r="J768" s="33" t="n">
        <v>2024</v>
      </c>
      <c r="K768" s="33" t="n">
        <v>11</v>
      </c>
      <c r="L768" s="34" t="inlineStr">
        <is>
          <t>Balans</t>
        </is>
      </c>
      <c r="M768" s="34" t="inlineStr">
        <is>
          <t>Vorderingen</t>
        </is>
      </c>
      <c r="N768" s="34" t="inlineStr">
        <is>
          <t>Handelsdebiteuren</t>
        </is>
      </c>
      <c r="O768" s="36">
        <f>IFERROR(INDEX('Mapping'!$F$2:$F$60,MATCH(B768,'Mapping'!$A$2:$A$60,0)),"")</f>
        <v/>
      </c>
    </row>
    <row r="769">
      <c r="A769" s="32" t="n">
        <v>45627</v>
      </c>
      <c r="B769" s="33" t="n">
        <v>1300</v>
      </c>
      <c r="C769" s="34" t="inlineStr">
        <is>
          <t>Debiteuren</t>
        </is>
      </c>
      <c r="D769" s="34" t="inlineStr">
        <is>
          <t>Balans</t>
        </is>
      </c>
      <c r="E769" s="34" t="inlineStr">
        <is>
          <t>Balans</t>
        </is>
      </c>
      <c r="F769" s="34" t="inlineStr"/>
      <c r="G769" s="35" t="n">
        <v>4160</v>
      </c>
      <c r="H769" s="35" t="n">
        <v>0</v>
      </c>
      <c r="I769" s="35">
        <f>G769-H769</f>
        <v/>
      </c>
      <c r="J769" s="33" t="n">
        <v>2024</v>
      </c>
      <c r="K769" s="33" t="n">
        <v>12</v>
      </c>
      <c r="L769" s="34" t="inlineStr">
        <is>
          <t>Balans</t>
        </is>
      </c>
      <c r="M769" s="34" t="inlineStr">
        <is>
          <t>Vorderingen</t>
        </is>
      </c>
      <c r="N769" s="34" t="inlineStr">
        <is>
          <t>Handelsdebiteuren</t>
        </is>
      </c>
      <c r="O769" s="36">
        <f>IFERROR(INDEX('Mapping'!$F$2:$F$60,MATCH(B769,'Mapping'!$A$2:$A$60,0)),"")</f>
        <v/>
      </c>
    </row>
    <row r="770">
      <c r="A770" s="32" t="n">
        <v>45658</v>
      </c>
      <c r="B770" s="33" t="n">
        <v>1300</v>
      </c>
      <c r="C770" s="34" t="inlineStr">
        <is>
          <t>Debiteuren (beginbalans)</t>
        </is>
      </c>
      <c r="D770" s="34" t="inlineStr">
        <is>
          <t>Balans</t>
        </is>
      </c>
      <c r="E770" s="34" t="inlineStr">
        <is>
          <t>Balans</t>
        </is>
      </c>
      <c r="F770" s="34" t="inlineStr"/>
      <c r="G770" s="35" t="n">
        <v>640000</v>
      </c>
      <c r="H770" s="35" t="n">
        <v>0</v>
      </c>
      <c r="I770" s="35">
        <f>G770-H770</f>
        <v/>
      </c>
      <c r="J770" s="33" t="n">
        <v>2025</v>
      </c>
      <c r="K770" s="33" t="n">
        <v>0</v>
      </c>
      <c r="L770" s="34" t="inlineStr">
        <is>
          <t>Balans</t>
        </is>
      </c>
      <c r="M770" s="34" t="inlineStr">
        <is>
          <t>Vorderingen</t>
        </is>
      </c>
      <c r="N770" s="34" t="inlineStr">
        <is>
          <t>Handelsdebiteuren</t>
        </is>
      </c>
      <c r="O770" s="36">
        <f>IFERROR(INDEX('Mapping'!$F$2:$F$60,MATCH(B770,'Mapping'!$A$2:$A$60,0)),"")</f>
        <v/>
      </c>
    </row>
    <row r="771">
      <c r="A771" s="32" t="n">
        <v>45658</v>
      </c>
      <c r="B771" s="33" t="n">
        <v>1300</v>
      </c>
      <c r="C771" s="34" t="inlineStr">
        <is>
          <t>Debiteuren</t>
        </is>
      </c>
      <c r="D771" s="34" t="inlineStr">
        <is>
          <t>Balans</t>
        </is>
      </c>
      <c r="E771" s="34" t="inlineStr">
        <is>
          <t>Balans</t>
        </is>
      </c>
      <c r="F771" s="34" t="inlineStr"/>
      <c r="G771" s="35" t="n">
        <v>0</v>
      </c>
      <c r="H771" s="35" t="n">
        <v>2100</v>
      </c>
      <c r="I771" s="35">
        <f>G771-H771</f>
        <v/>
      </c>
      <c r="J771" s="33" t="n">
        <v>2025</v>
      </c>
      <c r="K771" s="33" t="n">
        <v>1</v>
      </c>
      <c r="L771" s="34" t="inlineStr">
        <is>
          <t>Balans</t>
        </is>
      </c>
      <c r="M771" s="34" t="inlineStr">
        <is>
          <t>Vorderingen</t>
        </is>
      </c>
      <c r="N771" s="34" t="inlineStr">
        <is>
          <t>Handelsdebiteuren</t>
        </is>
      </c>
      <c r="O771" s="36">
        <f>IFERROR(INDEX('Mapping'!$F$2:$F$60,MATCH(B771,'Mapping'!$A$2:$A$60,0)),"")</f>
        <v/>
      </c>
    </row>
    <row r="772">
      <c r="A772" s="32" t="n">
        <v>45689</v>
      </c>
      <c r="B772" s="33" t="n">
        <v>1300</v>
      </c>
      <c r="C772" s="34" t="inlineStr">
        <is>
          <t>Debiteuren</t>
        </is>
      </c>
      <c r="D772" s="34" t="inlineStr">
        <is>
          <t>Balans</t>
        </is>
      </c>
      <c r="E772" s="34" t="inlineStr">
        <is>
          <t>Balans</t>
        </is>
      </c>
      <c r="F772" s="34" t="inlineStr"/>
      <c r="G772" s="35" t="n">
        <v>0</v>
      </c>
      <c r="H772" s="35" t="n">
        <v>2100</v>
      </c>
      <c r="I772" s="35">
        <f>G772-H772</f>
        <v/>
      </c>
      <c r="J772" s="33" t="n">
        <v>2025</v>
      </c>
      <c r="K772" s="33" t="n">
        <v>2</v>
      </c>
      <c r="L772" s="34" t="inlineStr">
        <is>
          <t>Balans</t>
        </is>
      </c>
      <c r="M772" s="34" t="inlineStr">
        <is>
          <t>Vorderingen</t>
        </is>
      </c>
      <c r="N772" s="34" t="inlineStr">
        <is>
          <t>Handelsdebiteuren</t>
        </is>
      </c>
      <c r="O772" s="36">
        <f>IFERROR(INDEX('Mapping'!$F$2:$F$60,MATCH(B772,'Mapping'!$A$2:$A$60,0)),"")</f>
        <v/>
      </c>
    </row>
    <row r="773">
      <c r="A773" s="32" t="n">
        <v>45717</v>
      </c>
      <c r="B773" s="33" t="n">
        <v>1300</v>
      </c>
      <c r="C773" s="34" t="inlineStr">
        <is>
          <t>Debiteuren</t>
        </is>
      </c>
      <c r="D773" s="34" t="inlineStr">
        <is>
          <t>Balans</t>
        </is>
      </c>
      <c r="E773" s="34" t="inlineStr">
        <is>
          <t>Balans</t>
        </is>
      </c>
      <c r="F773" s="34" t="inlineStr"/>
      <c r="G773" s="35" t="n">
        <v>0</v>
      </c>
      <c r="H773" s="35" t="n">
        <v>2640</v>
      </c>
      <c r="I773" s="35">
        <f>G773-H773</f>
        <v/>
      </c>
      <c r="J773" s="33" t="n">
        <v>2025</v>
      </c>
      <c r="K773" s="33" t="n">
        <v>3</v>
      </c>
      <c r="L773" s="34" t="inlineStr">
        <is>
          <t>Balans</t>
        </is>
      </c>
      <c r="M773" s="34" t="inlineStr">
        <is>
          <t>Vorderingen</t>
        </is>
      </c>
      <c r="N773" s="34" t="inlineStr">
        <is>
          <t>Handelsdebiteuren</t>
        </is>
      </c>
      <c r="O773" s="36">
        <f>IFERROR(INDEX('Mapping'!$F$2:$F$60,MATCH(B773,'Mapping'!$A$2:$A$60,0)),"")</f>
        <v/>
      </c>
    </row>
    <row r="774">
      <c r="A774" s="32" t="n">
        <v>45748</v>
      </c>
      <c r="B774" s="33" t="n">
        <v>1300</v>
      </c>
      <c r="C774" s="34" t="inlineStr">
        <is>
          <t>Debiteuren</t>
        </is>
      </c>
      <c r="D774" s="34" t="inlineStr">
        <is>
          <t>Balans</t>
        </is>
      </c>
      <c r="E774" s="34" t="inlineStr">
        <is>
          <t>Balans</t>
        </is>
      </c>
      <c r="F774" s="34" t="inlineStr"/>
      <c r="G774" s="35" t="n">
        <v>0</v>
      </c>
      <c r="H774" s="35" t="n">
        <v>2460</v>
      </c>
      <c r="I774" s="35">
        <f>G774-H774</f>
        <v/>
      </c>
      <c r="J774" s="33" t="n">
        <v>2025</v>
      </c>
      <c r="K774" s="33" t="n">
        <v>4</v>
      </c>
      <c r="L774" s="34" t="inlineStr">
        <is>
          <t>Balans</t>
        </is>
      </c>
      <c r="M774" s="34" t="inlineStr">
        <is>
          <t>Vorderingen</t>
        </is>
      </c>
      <c r="N774" s="34" t="inlineStr">
        <is>
          <t>Handelsdebiteuren</t>
        </is>
      </c>
      <c r="O774" s="36">
        <f>IFERROR(INDEX('Mapping'!$F$2:$F$60,MATCH(B774,'Mapping'!$A$2:$A$60,0)),"")</f>
        <v/>
      </c>
    </row>
    <row r="775">
      <c r="A775" s="32" t="n">
        <v>45778</v>
      </c>
      <c r="B775" s="33" t="n">
        <v>1300</v>
      </c>
      <c r="C775" s="34" t="inlineStr">
        <is>
          <t>Debiteuren</t>
        </is>
      </c>
      <c r="D775" s="34" t="inlineStr">
        <is>
          <t>Balans</t>
        </is>
      </c>
      <c r="E775" s="34" t="inlineStr">
        <is>
          <t>Balans</t>
        </is>
      </c>
      <c r="F775" s="34" t="inlineStr"/>
      <c r="G775" s="35" t="n">
        <v>0</v>
      </c>
      <c r="H775" s="35" t="n">
        <v>2580</v>
      </c>
      <c r="I775" s="35">
        <f>G775-H775</f>
        <v/>
      </c>
      <c r="J775" s="33" t="n">
        <v>2025</v>
      </c>
      <c r="K775" s="33" t="n">
        <v>5</v>
      </c>
      <c r="L775" s="34" t="inlineStr">
        <is>
          <t>Balans</t>
        </is>
      </c>
      <c r="M775" s="34" t="inlineStr">
        <is>
          <t>Vorderingen</t>
        </is>
      </c>
      <c r="N775" s="34" t="inlineStr">
        <is>
          <t>Handelsdebiteuren</t>
        </is>
      </c>
      <c r="O775" s="36">
        <f>IFERROR(INDEX('Mapping'!$F$2:$F$60,MATCH(B775,'Mapping'!$A$2:$A$60,0)),"")</f>
        <v/>
      </c>
    </row>
    <row r="776">
      <c r="A776" s="32" t="n">
        <v>45809</v>
      </c>
      <c r="B776" s="33" t="n">
        <v>1300</v>
      </c>
      <c r="C776" s="34" t="inlineStr">
        <is>
          <t>Debiteuren</t>
        </is>
      </c>
      <c r="D776" s="34" t="inlineStr">
        <is>
          <t>Balans</t>
        </is>
      </c>
      <c r="E776" s="34" t="inlineStr">
        <is>
          <t>Balans</t>
        </is>
      </c>
      <c r="F776" s="34" t="inlineStr"/>
      <c r="G776" s="35" t="n">
        <v>0</v>
      </c>
      <c r="H776" s="35" t="n">
        <v>2700</v>
      </c>
      <c r="I776" s="35">
        <f>G776-H776</f>
        <v/>
      </c>
      <c r="J776" s="33" t="n">
        <v>2025</v>
      </c>
      <c r="K776" s="33" t="n">
        <v>6</v>
      </c>
      <c r="L776" s="34" t="inlineStr">
        <is>
          <t>Balans</t>
        </is>
      </c>
      <c r="M776" s="34" t="inlineStr">
        <is>
          <t>Vorderingen</t>
        </is>
      </c>
      <c r="N776" s="34" t="inlineStr">
        <is>
          <t>Handelsdebiteuren</t>
        </is>
      </c>
      <c r="O776" s="36">
        <f>IFERROR(INDEX('Mapping'!$F$2:$F$60,MATCH(B776,'Mapping'!$A$2:$A$60,0)),"")</f>
        <v/>
      </c>
    </row>
    <row r="777">
      <c r="A777" s="32" t="n">
        <v>45839</v>
      </c>
      <c r="B777" s="33" t="n">
        <v>1300</v>
      </c>
      <c r="C777" s="34" t="inlineStr">
        <is>
          <t>Debiteuren</t>
        </is>
      </c>
      <c r="D777" s="34" t="inlineStr">
        <is>
          <t>Balans</t>
        </is>
      </c>
      <c r="E777" s="34" t="inlineStr">
        <is>
          <t>Balans</t>
        </is>
      </c>
      <c r="F777" s="34" t="inlineStr"/>
      <c r="G777" s="35" t="n">
        <v>0</v>
      </c>
      <c r="H777" s="35" t="n">
        <v>2280</v>
      </c>
      <c r="I777" s="35">
        <f>G777-H777</f>
        <v/>
      </c>
      <c r="J777" s="33" t="n">
        <v>2025</v>
      </c>
      <c r="K777" s="33" t="n">
        <v>7</v>
      </c>
      <c r="L777" s="34" t="inlineStr">
        <is>
          <t>Balans</t>
        </is>
      </c>
      <c r="M777" s="34" t="inlineStr">
        <is>
          <t>Vorderingen</t>
        </is>
      </c>
      <c r="N777" s="34" t="inlineStr">
        <is>
          <t>Handelsdebiteuren</t>
        </is>
      </c>
      <c r="O777" s="36">
        <f>IFERROR(INDEX('Mapping'!$F$2:$F$60,MATCH(B777,'Mapping'!$A$2:$A$60,0)),"")</f>
        <v/>
      </c>
    </row>
    <row r="778">
      <c r="A778" s="32" t="n">
        <v>45870</v>
      </c>
      <c r="B778" s="33" t="n">
        <v>1300</v>
      </c>
      <c r="C778" s="34" t="inlineStr">
        <is>
          <t>Debiteuren</t>
        </is>
      </c>
      <c r="D778" s="34" t="inlineStr">
        <is>
          <t>Balans</t>
        </is>
      </c>
      <c r="E778" s="34" t="inlineStr">
        <is>
          <t>Balans</t>
        </is>
      </c>
      <c r="F778" s="34" t="inlineStr"/>
      <c r="G778" s="35" t="n">
        <v>0</v>
      </c>
      <c r="H778" s="35" t="n">
        <v>2100</v>
      </c>
      <c r="I778" s="35">
        <f>G778-H778</f>
        <v/>
      </c>
      <c r="J778" s="33" t="n">
        <v>2025</v>
      </c>
      <c r="K778" s="33" t="n">
        <v>8</v>
      </c>
      <c r="L778" s="34" t="inlineStr">
        <is>
          <t>Balans</t>
        </is>
      </c>
      <c r="M778" s="34" t="inlineStr">
        <is>
          <t>Vorderingen</t>
        </is>
      </c>
      <c r="N778" s="34" t="inlineStr">
        <is>
          <t>Handelsdebiteuren</t>
        </is>
      </c>
      <c r="O778" s="36">
        <f>IFERROR(INDEX('Mapping'!$F$2:$F$60,MATCH(B778,'Mapping'!$A$2:$A$60,0)),"")</f>
        <v/>
      </c>
    </row>
    <row r="779">
      <c r="A779" s="32" t="n">
        <v>45901</v>
      </c>
      <c r="B779" s="33" t="n">
        <v>1300</v>
      </c>
      <c r="C779" s="34" t="inlineStr">
        <is>
          <t>Debiteuren</t>
        </is>
      </c>
      <c r="D779" s="34" t="inlineStr">
        <is>
          <t>Balans</t>
        </is>
      </c>
      <c r="E779" s="34" t="inlineStr">
        <is>
          <t>Balans</t>
        </is>
      </c>
      <c r="F779" s="34" t="inlineStr"/>
      <c r="G779" s="35" t="n">
        <v>0</v>
      </c>
      <c r="H779" s="35" t="n">
        <v>2640</v>
      </c>
      <c r="I779" s="35">
        <f>G779-H779</f>
        <v/>
      </c>
      <c r="J779" s="33" t="n">
        <v>2025</v>
      </c>
      <c r="K779" s="33" t="n">
        <v>9</v>
      </c>
      <c r="L779" s="34" t="inlineStr">
        <is>
          <t>Balans</t>
        </is>
      </c>
      <c r="M779" s="34" t="inlineStr">
        <is>
          <t>Vorderingen</t>
        </is>
      </c>
      <c r="N779" s="34" t="inlineStr">
        <is>
          <t>Handelsdebiteuren</t>
        </is>
      </c>
      <c r="O779" s="36">
        <f>IFERROR(INDEX('Mapping'!$F$2:$F$60,MATCH(B779,'Mapping'!$A$2:$A$60,0)),"")</f>
        <v/>
      </c>
    </row>
    <row r="780">
      <c r="A780" s="32" t="n">
        <v>45931</v>
      </c>
      <c r="B780" s="33" t="n">
        <v>1300</v>
      </c>
      <c r="C780" s="34" t="inlineStr">
        <is>
          <t>Debiteuren</t>
        </is>
      </c>
      <c r="D780" s="34" t="inlineStr">
        <is>
          <t>Balans</t>
        </is>
      </c>
      <c r="E780" s="34" t="inlineStr">
        <is>
          <t>Balans</t>
        </is>
      </c>
      <c r="F780" s="34" t="inlineStr"/>
      <c r="G780" s="35" t="n">
        <v>0</v>
      </c>
      <c r="H780" s="35" t="n">
        <v>2700</v>
      </c>
      <c r="I780" s="35">
        <f>G780-H780</f>
        <v/>
      </c>
      <c r="J780" s="33" t="n">
        <v>2025</v>
      </c>
      <c r="K780" s="33" t="n">
        <v>10</v>
      </c>
      <c r="L780" s="34" t="inlineStr">
        <is>
          <t>Balans</t>
        </is>
      </c>
      <c r="M780" s="34" t="inlineStr">
        <is>
          <t>Vorderingen</t>
        </is>
      </c>
      <c r="N780" s="34" t="inlineStr">
        <is>
          <t>Handelsdebiteuren</t>
        </is>
      </c>
      <c r="O780" s="36">
        <f>IFERROR(INDEX('Mapping'!$F$2:$F$60,MATCH(B780,'Mapping'!$A$2:$A$60,0)),"")</f>
        <v/>
      </c>
    </row>
    <row r="781">
      <c r="A781" s="32" t="n">
        <v>45962</v>
      </c>
      <c r="B781" s="33" t="n">
        <v>1300</v>
      </c>
      <c r="C781" s="34" t="inlineStr">
        <is>
          <t>Debiteuren</t>
        </is>
      </c>
      <c r="D781" s="34" t="inlineStr">
        <is>
          <t>Balans</t>
        </is>
      </c>
      <c r="E781" s="34" t="inlineStr">
        <is>
          <t>Balans</t>
        </is>
      </c>
      <c r="F781" s="34" t="inlineStr"/>
      <c r="G781" s="35" t="n">
        <v>0</v>
      </c>
      <c r="H781" s="35" t="n">
        <v>2580</v>
      </c>
      <c r="I781" s="35">
        <f>G781-H781</f>
        <v/>
      </c>
      <c r="J781" s="33" t="n">
        <v>2025</v>
      </c>
      <c r="K781" s="33" t="n">
        <v>11</v>
      </c>
      <c r="L781" s="34" t="inlineStr">
        <is>
          <t>Balans</t>
        </is>
      </c>
      <c r="M781" s="34" t="inlineStr">
        <is>
          <t>Vorderingen</t>
        </is>
      </c>
      <c r="N781" s="34" t="inlineStr">
        <is>
          <t>Handelsdebiteuren</t>
        </is>
      </c>
      <c r="O781" s="36">
        <f>IFERROR(INDEX('Mapping'!$F$2:$F$60,MATCH(B781,'Mapping'!$A$2:$A$60,0)),"")</f>
        <v/>
      </c>
    </row>
    <row r="782">
      <c r="A782" s="32" t="n">
        <v>45992</v>
      </c>
      <c r="B782" s="33" t="n">
        <v>1300</v>
      </c>
      <c r="C782" s="34" t="inlineStr">
        <is>
          <t>Debiteuren</t>
        </is>
      </c>
      <c r="D782" s="34" t="inlineStr">
        <is>
          <t>Balans</t>
        </is>
      </c>
      <c r="E782" s="34" t="inlineStr">
        <is>
          <t>Balans</t>
        </is>
      </c>
      <c r="F782" s="34" t="inlineStr"/>
      <c r="G782" s="35" t="n">
        <v>0</v>
      </c>
      <c r="H782" s="35" t="n">
        <v>3120</v>
      </c>
      <c r="I782" s="35">
        <f>G782-H782</f>
        <v/>
      </c>
      <c r="J782" s="33" t="n">
        <v>2025</v>
      </c>
      <c r="K782" s="33" t="n">
        <v>12</v>
      </c>
      <c r="L782" s="34" t="inlineStr">
        <is>
          <t>Balans</t>
        </is>
      </c>
      <c r="M782" s="34" t="inlineStr">
        <is>
          <t>Vorderingen</t>
        </is>
      </c>
      <c r="N782" s="34" t="inlineStr">
        <is>
          <t>Handelsdebiteuren</t>
        </is>
      </c>
      <c r="O782" s="36">
        <f>IFERROR(INDEX('Mapping'!$F$2:$F$60,MATCH(B782,'Mapping'!$A$2:$A$60,0)),"")</f>
        <v/>
      </c>
    </row>
    <row r="783">
      <c r="A783" s="32" t="n">
        <v>45292</v>
      </c>
      <c r="B783" s="33" t="n">
        <v>1500</v>
      </c>
      <c r="C783" s="34" t="inlineStr">
        <is>
          <t>Overige vorderingen (beginbalans)</t>
        </is>
      </c>
      <c r="D783" s="34" t="inlineStr">
        <is>
          <t>Balans</t>
        </is>
      </c>
      <c r="E783" s="34" t="inlineStr">
        <is>
          <t>Balans</t>
        </is>
      </c>
      <c r="F783" s="34" t="inlineStr"/>
      <c r="G783" s="35" t="n">
        <v>38000</v>
      </c>
      <c r="H783" s="35" t="n">
        <v>0</v>
      </c>
      <c r="I783" s="35">
        <f>G783-H783</f>
        <v/>
      </c>
      <c r="J783" s="33" t="n">
        <v>2024</v>
      </c>
      <c r="K783" s="33" t="n">
        <v>0</v>
      </c>
      <c r="L783" s="34" t="inlineStr">
        <is>
          <t>Balans</t>
        </is>
      </c>
      <c r="M783" s="34" t="inlineStr">
        <is>
          <t>Vorderingen</t>
        </is>
      </c>
      <c r="N783" s="34" t="inlineStr">
        <is>
          <t>Overlopende activa</t>
        </is>
      </c>
      <c r="O783" s="36">
        <f>IFERROR(INDEX('Mapping'!$F$2:$F$60,MATCH(B783,'Mapping'!$A$2:$A$60,0)),"")</f>
        <v/>
      </c>
    </row>
    <row r="784">
      <c r="A784" s="32" t="n">
        <v>45292</v>
      </c>
      <c r="B784" s="33" t="n">
        <v>1500</v>
      </c>
      <c r="C784" s="34" t="inlineStr">
        <is>
          <t>Overige vorderingen</t>
        </is>
      </c>
      <c r="D784" s="34" t="inlineStr">
        <is>
          <t>Balans</t>
        </is>
      </c>
      <c r="E784" s="34" t="inlineStr">
        <is>
          <t>Balans</t>
        </is>
      </c>
      <c r="F784" s="34" t="inlineStr"/>
      <c r="G784" s="35" t="n">
        <v>140</v>
      </c>
      <c r="H784" s="35" t="n">
        <v>0</v>
      </c>
      <c r="I784" s="35">
        <f>G784-H784</f>
        <v/>
      </c>
      <c r="J784" s="33" t="n">
        <v>2024</v>
      </c>
      <c r="K784" s="33" t="n">
        <v>1</v>
      </c>
      <c r="L784" s="34" t="inlineStr">
        <is>
          <t>Balans</t>
        </is>
      </c>
      <c r="M784" s="34" t="inlineStr">
        <is>
          <t>Vorderingen</t>
        </is>
      </c>
      <c r="N784" s="34" t="inlineStr">
        <is>
          <t>Overlopende activa</t>
        </is>
      </c>
      <c r="O784" s="36">
        <f>IFERROR(INDEX('Mapping'!$F$2:$F$60,MATCH(B784,'Mapping'!$A$2:$A$60,0)),"")</f>
        <v/>
      </c>
    </row>
    <row r="785">
      <c r="A785" s="32" t="n">
        <v>45323</v>
      </c>
      <c r="B785" s="33" t="n">
        <v>1500</v>
      </c>
      <c r="C785" s="34" t="inlineStr">
        <is>
          <t>Overige vorderingen</t>
        </is>
      </c>
      <c r="D785" s="34" t="inlineStr">
        <is>
          <t>Balans</t>
        </is>
      </c>
      <c r="E785" s="34" t="inlineStr">
        <is>
          <t>Balans</t>
        </is>
      </c>
      <c r="F785" s="34" t="inlineStr"/>
      <c r="G785" s="35" t="n">
        <v>140</v>
      </c>
      <c r="H785" s="35" t="n">
        <v>0</v>
      </c>
      <c r="I785" s="35">
        <f>G785-H785</f>
        <v/>
      </c>
      <c r="J785" s="33" t="n">
        <v>2024</v>
      </c>
      <c r="K785" s="33" t="n">
        <v>2</v>
      </c>
      <c r="L785" s="34" t="inlineStr">
        <is>
          <t>Balans</t>
        </is>
      </c>
      <c r="M785" s="34" t="inlineStr">
        <is>
          <t>Vorderingen</t>
        </is>
      </c>
      <c r="N785" s="34" t="inlineStr">
        <is>
          <t>Overlopende activa</t>
        </is>
      </c>
      <c r="O785" s="36">
        <f>IFERROR(INDEX('Mapping'!$F$2:$F$60,MATCH(B785,'Mapping'!$A$2:$A$60,0)),"")</f>
        <v/>
      </c>
    </row>
    <row r="786">
      <c r="A786" s="32" t="n">
        <v>45352</v>
      </c>
      <c r="B786" s="33" t="n">
        <v>1500</v>
      </c>
      <c r="C786" s="34" t="inlineStr">
        <is>
          <t>Overige vorderingen</t>
        </is>
      </c>
      <c r="D786" s="34" t="inlineStr">
        <is>
          <t>Balans</t>
        </is>
      </c>
      <c r="E786" s="34" t="inlineStr">
        <is>
          <t>Balans</t>
        </is>
      </c>
      <c r="F786" s="34" t="inlineStr"/>
      <c r="G786" s="35" t="n">
        <v>176</v>
      </c>
      <c r="H786" s="35" t="n">
        <v>0</v>
      </c>
      <c r="I786" s="35">
        <f>G786-H786</f>
        <v/>
      </c>
      <c r="J786" s="33" t="n">
        <v>2024</v>
      </c>
      <c r="K786" s="33" t="n">
        <v>3</v>
      </c>
      <c r="L786" s="34" t="inlineStr">
        <is>
          <t>Balans</t>
        </is>
      </c>
      <c r="M786" s="34" t="inlineStr">
        <is>
          <t>Vorderingen</t>
        </is>
      </c>
      <c r="N786" s="34" t="inlineStr">
        <is>
          <t>Overlopende activa</t>
        </is>
      </c>
      <c r="O786" s="36">
        <f>IFERROR(INDEX('Mapping'!$F$2:$F$60,MATCH(B786,'Mapping'!$A$2:$A$60,0)),"")</f>
        <v/>
      </c>
    </row>
    <row r="787">
      <c r="A787" s="32" t="n">
        <v>45383</v>
      </c>
      <c r="B787" s="33" t="n">
        <v>1500</v>
      </c>
      <c r="C787" s="34" t="inlineStr">
        <is>
          <t>Overige vorderingen</t>
        </is>
      </c>
      <c r="D787" s="34" t="inlineStr">
        <is>
          <t>Balans</t>
        </is>
      </c>
      <c r="E787" s="34" t="inlineStr">
        <is>
          <t>Balans</t>
        </is>
      </c>
      <c r="F787" s="34" t="inlineStr"/>
      <c r="G787" s="35" t="n">
        <v>164</v>
      </c>
      <c r="H787" s="35" t="n">
        <v>0</v>
      </c>
      <c r="I787" s="35">
        <f>G787-H787</f>
        <v/>
      </c>
      <c r="J787" s="33" t="n">
        <v>2024</v>
      </c>
      <c r="K787" s="33" t="n">
        <v>4</v>
      </c>
      <c r="L787" s="34" t="inlineStr">
        <is>
          <t>Balans</t>
        </is>
      </c>
      <c r="M787" s="34" t="inlineStr">
        <is>
          <t>Vorderingen</t>
        </is>
      </c>
      <c r="N787" s="34" t="inlineStr">
        <is>
          <t>Overlopende activa</t>
        </is>
      </c>
      <c r="O787" s="36">
        <f>IFERROR(INDEX('Mapping'!$F$2:$F$60,MATCH(B787,'Mapping'!$A$2:$A$60,0)),"")</f>
        <v/>
      </c>
    </row>
    <row r="788">
      <c r="A788" s="32" t="n">
        <v>45413</v>
      </c>
      <c r="B788" s="33" t="n">
        <v>1500</v>
      </c>
      <c r="C788" s="34" t="inlineStr">
        <is>
          <t>Overige vorderingen</t>
        </is>
      </c>
      <c r="D788" s="34" t="inlineStr">
        <is>
          <t>Balans</t>
        </is>
      </c>
      <c r="E788" s="34" t="inlineStr">
        <is>
          <t>Balans</t>
        </is>
      </c>
      <c r="F788" s="34" t="inlineStr"/>
      <c r="G788" s="35" t="n">
        <v>172</v>
      </c>
      <c r="H788" s="35" t="n">
        <v>0</v>
      </c>
      <c r="I788" s="35">
        <f>G788-H788</f>
        <v/>
      </c>
      <c r="J788" s="33" t="n">
        <v>2024</v>
      </c>
      <c r="K788" s="33" t="n">
        <v>5</v>
      </c>
      <c r="L788" s="34" t="inlineStr">
        <is>
          <t>Balans</t>
        </is>
      </c>
      <c r="M788" s="34" t="inlineStr">
        <is>
          <t>Vorderingen</t>
        </is>
      </c>
      <c r="N788" s="34" t="inlineStr">
        <is>
          <t>Overlopende activa</t>
        </is>
      </c>
      <c r="O788" s="36">
        <f>IFERROR(INDEX('Mapping'!$F$2:$F$60,MATCH(B788,'Mapping'!$A$2:$A$60,0)),"")</f>
        <v/>
      </c>
    </row>
    <row r="789">
      <c r="A789" s="32" t="n">
        <v>45444</v>
      </c>
      <c r="B789" s="33" t="n">
        <v>1500</v>
      </c>
      <c r="C789" s="34" t="inlineStr">
        <is>
          <t>Overige vorderingen</t>
        </is>
      </c>
      <c r="D789" s="34" t="inlineStr">
        <is>
          <t>Balans</t>
        </is>
      </c>
      <c r="E789" s="34" t="inlineStr">
        <is>
          <t>Balans</t>
        </is>
      </c>
      <c r="F789" s="34" t="inlineStr"/>
      <c r="G789" s="35" t="n">
        <v>180</v>
      </c>
      <c r="H789" s="35" t="n">
        <v>0</v>
      </c>
      <c r="I789" s="35">
        <f>G789-H789</f>
        <v/>
      </c>
      <c r="J789" s="33" t="n">
        <v>2024</v>
      </c>
      <c r="K789" s="33" t="n">
        <v>6</v>
      </c>
      <c r="L789" s="34" t="inlineStr">
        <is>
          <t>Balans</t>
        </is>
      </c>
      <c r="M789" s="34" t="inlineStr">
        <is>
          <t>Vorderingen</t>
        </is>
      </c>
      <c r="N789" s="34" t="inlineStr">
        <is>
          <t>Overlopende activa</t>
        </is>
      </c>
      <c r="O789" s="36">
        <f>IFERROR(INDEX('Mapping'!$F$2:$F$60,MATCH(B789,'Mapping'!$A$2:$A$60,0)),"")</f>
        <v/>
      </c>
    </row>
    <row r="790">
      <c r="A790" s="32" t="n">
        <v>45474</v>
      </c>
      <c r="B790" s="33" t="n">
        <v>1500</v>
      </c>
      <c r="C790" s="34" t="inlineStr">
        <is>
          <t>Overige vorderingen</t>
        </is>
      </c>
      <c r="D790" s="34" t="inlineStr">
        <is>
          <t>Balans</t>
        </is>
      </c>
      <c r="E790" s="34" t="inlineStr">
        <is>
          <t>Balans</t>
        </is>
      </c>
      <c r="F790" s="34" t="inlineStr"/>
      <c r="G790" s="35" t="n">
        <v>152</v>
      </c>
      <c r="H790" s="35" t="n">
        <v>0</v>
      </c>
      <c r="I790" s="35">
        <f>G790-H790</f>
        <v/>
      </c>
      <c r="J790" s="33" t="n">
        <v>2024</v>
      </c>
      <c r="K790" s="33" t="n">
        <v>7</v>
      </c>
      <c r="L790" s="34" t="inlineStr">
        <is>
          <t>Balans</t>
        </is>
      </c>
      <c r="M790" s="34" t="inlineStr">
        <is>
          <t>Vorderingen</t>
        </is>
      </c>
      <c r="N790" s="34" t="inlineStr">
        <is>
          <t>Overlopende activa</t>
        </is>
      </c>
      <c r="O790" s="36">
        <f>IFERROR(INDEX('Mapping'!$F$2:$F$60,MATCH(B790,'Mapping'!$A$2:$A$60,0)),"")</f>
        <v/>
      </c>
    </row>
    <row r="791">
      <c r="A791" s="32" t="n">
        <v>45505</v>
      </c>
      <c r="B791" s="33" t="n">
        <v>1500</v>
      </c>
      <c r="C791" s="34" t="inlineStr">
        <is>
          <t>Overige vorderingen</t>
        </is>
      </c>
      <c r="D791" s="34" t="inlineStr">
        <is>
          <t>Balans</t>
        </is>
      </c>
      <c r="E791" s="34" t="inlineStr">
        <is>
          <t>Balans</t>
        </is>
      </c>
      <c r="F791" s="34" t="inlineStr"/>
      <c r="G791" s="35" t="n">
        <v>140</v>
      </c>
      <c r="H791" s="35" t="n">
        <v>0</v>
      </c>
      <c r="I791" s="35">
        <f>G791-H791</f>
        <v/>
      </c>
      <c r="J791" s="33" t="n">
        <v>2024</v>
      </c>
      <c r="K791" s="33" t="n">
        <v>8</v>
      </c>
      <c r="L791" s="34" t="inlineStr">
        <is>
          <t>Balans</t>
        </is>
      </c>
      <c r="M791" s="34" t="inlineStr">
        <is>
          <t>Vorderingen</t>
        </is>
      </c>
      <c r="N791" s="34" t="inlineStr">
        <is>
          <t>Overlopende activa</t>
        </is>
      </c>
      <c r="O791" s="36">
        <f>IFERROR(INDEX('Mapping'!$F$2:$F$60,MATCH(B791,'Mapping'!$A$2:$A$60,0)),"")</f>
        <v/>
      </c>
    </row>
    <row r="792">
      <c r="A792" s="32" t="n">
        <v>45536</v>
      </c>
      <c r="B792" s="33" t="n">
        <v>1500</v>
      </c>
      <c r="C792" s="34" t="inlineStr">
        <is>
          <t>Overige vorderingen</t>
        </is>
      </c>
      <c r="D792" s="34" t="inlineStr">
        <is>
          <t>Balans</t>
        </is>
      </c>
      <c r="E792" s="34" t="inlineStr">
        <is>
          <t>Balans</t>
        </is>
      </c>
      <c r="F792" s="34" t="inlineStr"/>
      <c r="G792" s="35" t="n">
        <v>176</v>
      </c>
      <c r="H792" s="35" t="n">
        <v>0</v>
      </c>
      <c r="I792" s="35">
        <f>G792-H792</f>
        <v/>
      </c>
      <c r="J792" s="33" t="n">
        <v>2024</v>
      </c>
      <c r="K792" s="33" t="n">
        <v>9</v>
      </c>
      <c r="L792" s="34" t="inlineStr">
        <is>
          <t>Balans</t>
        </is>
      </c>
      <c r="M792" s="34" t="inlineStr">
        <is>
          <t>Vorderingen</t>
        </is>
      </c>
      <c r="N792" s="34" t="inlineStr">
        <is>
          <t>Overlopende activa</t>
        </is>
      </c>
      <c r="O792" s="36">
        <f>IFERROR(INDEX('Mapping'!$F$2:$F$60,MATCH(B792,'Mapping'!$A$2:$A$60,0)),"")</f>
        <v/>
      </c>
    </row>
    <row r="793">
      <c r="A793" s="32" t="n">
        <v>45566</v>
      </c>
      <c r="B793" s="33" t="n">
        <v>1500</v>
      </c>
      <c r="C793" s="34" t="inlineStr">
        <is>
          <t>Overige vorderingen</t>
        </is>
      </c>
      <c r="D793" s="34" t="inlineStr">
        <is>
          <t>Balans</t>
        </is>
      </c>
      <c r="E793" s="34" t="inlineStr">
        <is>
          <t>Balans</t>
        </is>
      </c>
      <c r="F793" s="34" t="inlineStr"/>
      <c r="G793" s="35" t="n">
        <v>180</v>
      </c>
      <c r="H793" s="35" t="n">
        <v>0</v>
      </c>
      <c r="I793" s="35">
        <f>G793-H793</f>
        <v/>
      </c>
      <c r="J793" s="33" t="n">
        <v>2024</v>
      </c>
      <c r="K793" s="33" t="n">
        <v>10</v>
      </c>
      <c r="L793" s="34" t="inlineStr">
        <is>
          <t>Balans</t>
        </is>
      </c>
      <c r="M793" s="34" t="inlineStr">
        <is>
          <t>Vorderingen</t>
        </is>
      </c>
      <c r="N793" s="34" t="inlineStr">
        <is>
          <t>Overlopende activa</t>
        </is>
      </c>
      <c r="O793" s="36">
        <f>IFERROR(INDEX('Mapping'!$F$2:$F$60,MATCH(B793,'Mapping'!$A$2:$A$60,0)),"")</f>
        <v/>
      </c>
    </row>
    <row r="794">
      <c r="A794" s="32" t="n">
        <v>45597</v>
      </c>
      <c r="B794" s="33" t="n">
        <v>1500</v>
      </c>
      <c r="C794" s="34" t="inlineStr">
        <is>
          <t>Overige vorderingen</t>
        </is>
      </c>
      <c r="D794" s="34" t="inlineStr">
        <is>
          <t>Balans</t>
        </is>
      </c>
      <c r="E794" s="34" t="inlineStr">
        <is>
          <t>Balans</t>
        </is>
      </c>
      <c r="F794" s="34" t="inlineStr"/>
      <c r="G794" s="35" t="n">
        <v>172</v>
      </c>
      <c r="H794" s="35" t="n">
        <v>0</v>
      </c>
      <c r="I794" s="35">
        <f>G794-H794</f>
        <v/>
      </c>
      <c r="J794" s="33" t="n">
        <v>2024</v>
      </c>
      <c r="K794" s="33" t="n">
        <v>11</v>
      </c>
      <c r="L794" s="34" t="inlineStr">
        <is>
          <t>Balans</t>
        </is>
      </c>
      <c r="M794" s="34" t="inlineStr">
        <is>
          <t>Vorderingen</t>
        </is>
      </c>
      <c r="N794" s="34" t="inlineStr">
        <is>
          <t>Overlopende activa</t>
        </is>
      </c>
      <c r="O794" s="36">
        <f>IFERROR(INDEX('Mapping'!$F$2:$F$60,MATCH(B794,'Mapping'!$A$2:$A$60,0)),"")</f>
        <v/>
      </c>
    </row>
    <row r="795">
      <c r="A795" s="32" t="n">
        <v>45627</v>
      </c>
      <c r="B795" s="33" t="n">
        <v>1500</v>
      </c>
      <c r="C795" s="34" t="inlineStr">
        <is>
          <t>Overige vorderingen</t>
        </is>
      </c>
      <c r="D795" s="34" t="inlineStr">
        <is>
          <t>Balans</t>
        </is>
      </c>
      <c r="E795" s="34" t="inlineStr">
        <is>
          <t>Balans</t>
        </is>
      </c>
      <c r="F795" s="34" t="inlineStr"/>
      <c r="G795" s="35" t="n">
        <v>208</v>
      </c>
      <c r="H795" s="35" t="n">
        <v>0</v>
      </c>
      <c r="I795" s="35">
        <f>G795-H795</f>
        <v/>
      </c>
      <c r="J795" s="33" t="n">
        <v>2024</v>
      </c>
      <c r="K795" s="33" t="n">
        <v>12</v>
      </c>
      <c r="L795" s="34" t="inlineStr">
        <is>
          <t>Balans</t>
        </is>
      </c>
      <c r="M795" s="34" t="inlineStr">
        <is>
          <t>Vorderingen</t>
        </is>
      </c>
      <c r="N795" s="34" t="inlineStr">
        <is>
          <t>Overlopende activa</t>
        </is>
      </c>
      <c r="O795" s="36">
        <f>IFERROR(INDEX('Mapping'!$F$2:$F$60,MATCH(B795,'Mapping'!$A$2:$A$60,0)),"")</f>
        <v/>
      </c>
    </row>
    <row r="796">
      <c r="A796" s="32" t="n">
        <v>45658</v>
      </c>
      <c r="B796" s="33" t="n">
        <v>1500</v>
      </c>
      <c r="C796" s="34" t="inlineStr">
        <is>
          <t>Overige vorderingen (beginbalans)</t>
        </is>
      </c>
      <c r="D796" s="34" t="inlineStr">
        <is>
          <t>Balans</t>
        </is>
      </c>
      <c r="E796" s="34" t="inlineStr">
        <is>
          <t>Balans</t>
        </is>
      </c>
      <c r="F796" s="34" t="inlineStr"/>
      <c r="G796" s="35" t="n">
        <v>40000</v>
      </c>
      <c r="H796" s="35" t="n">
        <v>0</v>
      </c>
      <c r="I796" s="35">
        <f>G796-H796</f>
        <v/>
      </c>
      <c r="J796" s="33" t="n">
        <v>2025</v>
      </c>
      <c r="K796" s="33" t="n">
        <v>0</v>
      </c>
      <c r="L796" s="34" t="inlineStr">
        <is>
          <t>Balans</t>
        </is>
      </c>
      <c r="M796" s="34" t="inlineStr">
        <is>
          <t>Vorderingen</t>
        </is>
      </c>
      <c r="N796" s="34" t="inlineStr">
        <is>
          <t>Overlopende activa</t>
        </is>
      </c>
      <c r="O796" s="36">
        <f>IFERROR(INDEX('Mapping'!$F$2:$F$60,MATCH(B796,'Mapping'!$A$2:$A$60,0)),"")</f>
        <v/>
      </c>
    </row>
    <row r="797">
      <c r="A797" s="32" t="n">
        <v>45658</v>
      </c>
      <c r="B797" s="33" t="n">
        <v>1500</v>
      </c>
      <c r="C797" s="34" t="inlineStr">
        <is>
          <t>Overige vorderingen</t>
        </is>
      </c>
      <c r="D797" s="34" t="inlineStr">
        <is>
          <t>Balans</t>
        </is>
      </c>
      <c r="E797" s="34" t="inlineStr">
        <is>
          <t>Balans</t>
        </is>
      </c>
      <c r="F797" s="34" t="inlineStr"/>
      <c r="G797" s="35" t="n">
        <v>350</v>
      </c>
      <c r="H797" s="35" t="n">
        <v>0</v>
      </c>
      <c r="I797" s="35">
        <f>G797-H797</f>
        <v/>
      </c>
      <c r="J797" s="33" t="n">
        <v>2025</v>
      </c>
      <c r="K797" s="33" t="n">
        <v>1</v>
      </c>
      <c r="L797" s="34" t="inlineStr">
        <is>
          <t>Balans</t>
        </is>
      </c>
      <c r="M797" s="34" t="inlineStr">
        <is>
          <t>Vorderingen</t>
        </is>
      </c>
      <c r="N797" s="34" t="inlineStr">
        <is>
          <t>Overlopende activa</t>
        </is>
      </c>
      <c r="O797" s="36">
        <f>IFERROR(INDEX('Mapping'!$F$2:$F$60,MATCH(B797,'Mapping'!$A$2:$A$60,0)),"")</f>
        <v/>
      </c>
    </row>
    <row r="798">
      <c r="A798" s="32" t="n">
        <v>45689</v>
      </c>
      <c r="B798" s="33" t="n">
        <v>1500</v>
      </c>
      <c r="C798" s="34" t="inlineStr">
        <is>
          <t>Overige vorderingen</t>
        </is>
      </c>
      <c r="D798" s="34" t="inlineStr">
        <is>
          <t>Balans</t>
        </is>
      </c>
      <c r="E798" s="34" t="inlineStr">
        <is>
          <t>Balans</t>
        </is>
      </c>
      <c r="F798" s="34" t="inlineStr"/>
      <c r="G798" s="35" t="n">
        <v>350</v>
      </c>
      <c r="H798" s="35" t="n">
        <v>0</v>
      </c>
      <c r="I798" s="35">
        <f>G798-H798</f>
        <v/>
      </c>
      <c r="J798" s="33" t="n">
        <v>2025</v>
      </c>
      <c r="K798" s="33" t="n">
        <v>2</v>
      </c>
      <c r="L798" s="34" t="inlineStr">
        <is>
          <t>Balans</t>
        </is>
      </c>
      <c r="M798" s="34" t="inlineStr">
        <is>
          <t>Vorderingen</t>
        </is>
      </c>
      <c r="N798" s="34" t="inlineStr">
        <is>
          <t>Overlopende activa</t>
        </is>
      </c>
      <c r="O798" s="36">
        <f>IFERROR(INDEX('Mapping'!$F$2:$F$60,MATCH(B798,'Mapping'!$A$2:$A$60,0)),"")</f>
        <v/>
      </c>
    </row>
    <row r="799">
      <c r="A799" s="32" t="n">
        <v>45717</v>
      </c>
      <c r="B799" s="33" t="n">
        <v>1500</v>
      </c>
      <c r="C799" s="34" t="inlineStr">
        <is>
          <t>Overige vorderingen</t>
        </is>
      </c>
      <c r="D799" s="34" t="inlineStr">
        <is>
          <t>Balans</t>
        </is>
      </c>
      <c r="E799" s="34" t="inlineStr">
        <is>
          <t>Balans</t>
        </is>
      </c>
      <c r="F799" s="34" t="inlineStr"/>
      <c r="G799" s="35" t="n">
        <v>440</v>
      </c>
      <c r="H799" s="35" t="n">
        <v>0</v>
      </c>
      <c r="I799" s="35">
        <f>G799-H799</f>
        <v/>
      </c>
      <c r="J799" s="33" t="n">
        <v>2025</v>
      </c>
      <c r="K799" s="33" t="n">
        <v>3</v>
      </c>
      <c r="L799" s="34" t="inlineStr">
        <is>
          <t>Balans</t>
        </is>
      </c>
      <c r="M799" s="34" t="inlineStr">
        <is>
          <t>Vorderingen</t>
        </is>
      </c>
      <c r="N799" s="34" t="inlineStr">
        <is>
          <t>Overlopende activa</t>
        </is>
      </c>
      <c r="O799" s="36">
        <f>IFERROR(INDEX('Mapping'!$F$2:$F$60,MATCH(B799,'Mapping'!$A$2:$A$60,0)),"")</f>
        <v/>
      </c>
    </row>
    <row r="800">
      <c r="A800" s="32" t="n">
        <v>45748</v>
      </c>
      <c r="B800" s="33" t="n">
        <v>1500</v>
      </c>
      <c r="C800" s="34" t="inlineStr">
        <is>
          <t>Overige vorderingen</t>
        </is>
      </c>
      <c r="D800" s="34" t="inlineStr">
        <is>
          <t>Balans</t>
        </is>
      </c>
      <c r="E800" s="34" t="inlineStr">
        <is>
          <t>Balans</t>
        </is>
      </c>
      <c r="F800" s="34" t="inlineStr"/>
      <c r="G800" s="35" t="n">
        <v>410</v>
      </c>
      <c r="H800" s="35" t="n">
        <v>0</v>
      </c>
      <c r="I800" s="35">
        <f>G800-H800</f>
        <v/>
      </c>
      <c r="J800" s="33" t="n">
        <v>2025</v>
      </c>
      <c r="K800" s="33" t="n">
        <v>4</v>
      </c>
      <c r="L800" s="34" t="inlineStr">
        <is>
          <t>Balans</t>
        </is>
      </c>
      <c r="M800" s="34" t="inlineStr">
        <is>
          <t>Vorderingen</t>
        </is>
      </c>
      <c r="N800" s="34" t="inlineStr">
        <is>
          <t>Overlopende activa</t>
        </is>
      </c>
      <c r="O800" s="36">
        <f>IFERROR(INDEX('Mapping'!$F$2:$F$60,MATCH(B800,'Mapping'!$A$2:$A$60,0)),"")</f>
        <v/>
      </c>
    </row>
    <row r="801">
      <c r="A801" s="32" t="n">
        <v>45778</v>
      </c>
      <c r="B801" s="33" t="n">
        <v>1500</v>
      </c>
      <c r="C801" s="34" t="inlineStr">
        <is>
          <t>Overige vorderingen</t>
        </is>
      </c>
      <c r="D801" s="34" t="inlineStr">
        <is>
          <t>Balans</t>
        </is>
      </c>
      <c r="E801" s="34" t="inlineStr">
        <is>
          <t>Balans</t>
        </is>
      </c>
      <c r="F801" s="34" t="inlineStr"/>
      <c r="G801" s="35" t="n">
        <v>430</v>
      </c>
      <c r="H801" s="35" t="n">
        <v>0</v>
      </c>
      <c r="I801" s="35">
        <f>G801-H801</f>
        <v/>
      </c>
      <c r="J801" s="33" t="n">
        <v>2025</v>
      </c>
      <c r="K801" s="33" t="n">
        <v>5</v>
      </c>
      <c r="L801" s="34" t="inlineStr">
        <is>
          <t>Balans</t>
        </is>
      </c>
      <c r="M801" s="34" t="inlineStr">
        <is>
          <t>Vorderingen</t>
        </is>
      </c>
      <c r="N801" s="34" t="inlineStr">
        <is>
          <t>Overlopende activa</t>
        </is>
      </c>
      <c r="O801" s="36">
        <f>IFERROR(INDEX('Mapping'!$F$2:$F$60,MATCH(B801,'Mapping'!$A$2:$A$60,0)),"")</f>
        <v/>
      </c>
    </row>
    <row r="802">
      <c r="A802" s="32" t="n">
        <v>45809</v>
      </c>
      <c r="B802" s="33" t="n">
        <v>1500</v>
      </c>
      <c r="C802" s="34" t="inlineStr">
        <is>
          <t>Overige vorderingen</t>
        </is>
      </c>
      <c r="D802" s="34" t="inlineStr">
        <is>
          <t>Balans</t>
        </is>
      </c>
      <c r="E802" s="34" t="inlineStr">
        <is>
          <t>Balans</t>
        </is>
      </c>
      <c r="F802" s="34" t="inlineStr"/>
      <c r="G802" s="35" t="n">
        <v>450</v>
      </c>
      <c r="H802" s="35" t="n">
        <v>0</v>
      </c>
      <c r="I802" s="35">
        <f>G802-H802</f>
        <v/>
      </c>
      <c r="J802" s="33" t="n">
        <v>2025</v>
      </c>
      <c r="K802" s="33" t="n">
        <v>6</v>
      </c>
      <c r="L802" s="34" t="inlineStr">
        <is>
          <t>Balans</t>
        </is>
      </c>
      <c r="M802" s="34" t="inlineStr">
        <is>
          <t>Vorderingen</t>
        </is>
      </c>
      <c r="N802" s="34" t="inlineStr">
        <is>
          <t>Overlopende activa</t>
        </is>
      </c>
      <c r="O802" s="36">
        <f>IFERROR(INDEX('Mapping'!$F$2:$F$60,MATCH(B802,'Mapping'!$A$2:$A$60,0)),"")</f>
        <v/>
      </c>
    </row>
    <row r="803">
      <c r="A803" s="32" t="n">
        <v>45839</v>
      </c>
      <c r="B803" s="33" t="n">
        <v>1500</v>
      </c>
      <c r="C803" s="34" t="inlineStr">
        <is>
          <t>Overige vorderingen</t>
        </is>
      </c>
      <c r="D803" s="34" t="inlineStr">
        <is>
          <t>Balans</t>
        </is>
      </c>
      <c r="E803" s="34" t="inlineStr">
        <is>
          <t>Balans</t>
        </is>
      </c>
      <c r="F803" s="34" t="inlineStr"/>
      <c r="G803" s="35" t="n">
        <v>380</v>
      </c>
      <c r="H803" s="35" t="n">
        <v>0</v>
      </c>
      <c r="I803" s="35">
        <f>G803-H803</f>
        <v/>
      </c>
      <c r="J803" s="33" t="n">
        <v>2025</v>
      </c>
      <c r="K803" s="33" t="n">
        <v>7</v>
      </c>
      <c r="L803" s="34" t="inlineStr">
        <is>
          <t>Balans</t>
        </is>
      </c>
      <c r="M803" s="34" t="inlineStr">
        <is>
          <t>Vorderingen</t>
        </is>
      </c>
      <c r="N803" s="34" t="inlineStr">
        <is>
          <t>Overlopende activa</t>
        </is>
      </c>
      <c r="O803" s="36">
        <f>IFERROR(INDEX('Mapping'!$F$2:$F$60,MATCH(B803,'Mapping'!$A$2:$A$60,0)),"")</f>
        <v/>
      </c>
    </row>
    <row r="804">
      <c r="A804" s="32" t="n">
        <v>45870</v>
      </c>
      <c r="B804" s="33" t="n">
        <v>1500</v>
      </c>
      <c r="C804" s="34" t="inlineStr">
        <is>
          <t>Overige vorderingen</t>
        </is>
      </c>
      <c r="D804" s="34" t="inlineStr">
        <is>
          <t>Balans</t>
        </is>
      </c>
      <c r="E804" s="34" t="inlineStr">
        <is>
          <t>Balans</t>
        </is>
      </c>
      <c r="F804" s="34" t="inlineStr"/>
      <c r="G804" s="35" t="n">
        <v>350</v>
      </c>
      <c r="H804" s="35" t="n">
        <v>0</v>
      </c>
      <c r="I804" s="35">
        <f>G804-H804</f>
        <v/>
      </c>
      <c r="J804" s="33" t="n">
        <v>2025</v>
      </c>
      <c r="K804" s="33" t="n">
        <v>8</v>
      </c>
      <c r="L804" s="34" t="inlineStr">
        <is>
          <t>Balans</t>
        </is>
      </c>
      <c r="M804" s="34" t="inlineStr">
        <is>
          <t>Vorderingen</t>
        </is>
      </c>
      <c r="N804" s="34" t="inlineStr">
        <is>
          <t>Overlopende activa</t>
        </is>
      </c>
      <c r="O804" s="36">
        <f>IFERROR(INDEX('Mapping'!$F$2:$F$60,MATCH(B804,'Mapping'!$A$2:$A$60,0)),"")</f>
        <v/>
      </c>
    </row>
    <row r="805">
      <c r="A805" s="32" t="n">
        <v>45901</v>
      </c>
      <c r="B805" s="33" t="n">
        <v>1500</v>
      </c>
      <c r="C805" s="34" t="inlineStr">
        <is>
          <t>Overige vorderingen</t>
        </is>
      </c>
      <c r="D805" s="34" t="inlineStr">
        <is>
          <t>Balans</t>
        </is>
      </c>
      <c r="E805" s="34" t="inlineStr">
        <is>
          <t>Balans</t>
        </is>
      </c>
      <c r="F805" s="34" t="inlineStr"/>
      <c r="G805" s="35" t="n">
        <v>440</v>
      </c>
      <c r="H805" s="35" t="n">
        <v>0</v>
      </c>
      <c r="I805" s="35">
        <f>G805-H805</f>
        <v/>
      </c>
      <c r="J805" s="33" t="n">
        <v>2025</v>
      </c>
      <c r="K805" s="33" t="n">
        <v>9</v>
      </c>
      <c r="L805" s="34" t="inlineStr">
        <is>
          <t>Balans</t>
        </is>
      </c>
      <c r="M805" s="34" t="inlineStr">
        <is>
          <t>Vorderingen</t>
        </is>
      </c>
      <c r="N805" s="34" t="inlineStr">
        <is>
          <t>Overlopende activa</t>
        </is>
      </c>
      <c r="O805" s="36">
        <f>IFERROR(INDEX('Mapping'!$F$2:$F$60,MATCH(B805,'Mapping'!$A$2:$A$60,0)),"")</f>
        <v/>
      </c>
    </row>
    <row r="806">
      <c r="A806" s="32" t="n">
        <v>45931</v>
      </c>
      <c r="B806" s="33" t="n">
        <v>1500</v>
      </c>
      <c r="C806" s="34" t="inlineStr">
        <is>
          <t>Overige vorderingen</t>
        </is>
      </c>
      <c r="D806" s="34" t="inlineStr">
        <is>
          <t>Balans</t>
        </is>
      </c>
      <c r="E806" s="34" t="inlineStr">
        <is>
          <t>Balans</t>
        </is>
      </c>
      <c r="F806" s="34" t="inlineStr"/>
      <c r="G806" s="35" t="n">
        <v>450</v>
      </c>
      <c r="H806" s="35" t="n">
        <v>0</v>
      </c>
      <c r="I806" s="35">
        <f>G806-H806</f>
        <v/>
      </c>
      <c r="J806" s="33" t="n">
        <v>2025</v>
      </c>
      <c r="K806" s="33" t="n">
        <v>10</v>
      </c>
      <c r="L806" s="34" t="inlineStr">
        <is>
          <t>Balans</t>
        </is>
      </c>
      <c r="M806" s="34" t="inlineStr">
        <is>
          <t>Vorderingen</t>
        </is>
      </c>
      <c r="N806" s="34" t="inlineStr">
        <is>
          <t>Overlopende activa</t>
        </is>
      </c>
      <c r="O806" s="36">
        <f>IFERROR(INDEX('Mapping'!$F$2:$F$60,MATCH(B806,'Mapping'!$A$2:$A$60,0)),"")</f>
        <v/>
      </c>
    </row>
    <row r="807">
      <c r="A807" s="32" t="n">
        <v>45962</v>
      </c>
      <c r="B807" s="33" t="n">
        <v>1500</v>
      </c>
      <c r="C807" s="34" t="inlineStr">
        <is>
          <t>Overige vorderingen</t>
        </is>
      </c>
      <c r="D807" s="34" t="inlineStr">
        <is>
          <t>Balans</t>
        </is>
      </c>
      <c r="E807" s="34" t="inlineStr">
        <is>
          <t>Balans</t>
        </is>
      </c>
      <c r="F807" s="34" t="inlineStr"/>
      <c r="G807" s="35" t="n">
        <v>430</v>
      </c>
      <c r="H807" s="35" t="n">
        <v>0</v>
      </c>
      <c r="I807" s="35">
        <f>G807-H807</f>
        <v/>
      </c>
      <c r="J807" s="33" t="n">
        <v>2025</v>
      </c>
      <c r="K807" s="33" t="n">
        <v>11</v>
      </c>
      <c r="L807" s="34" t="inlineStr">
        <is>
          <t>Balans</t>
        </is>
      </c>
      <c r="M807" s="34" t="inlineStr">
        <is>
          <t>Vorderingen</t>
        </is>
      </c>
      <c r="N807" s="34" t="inlineStr">
        <is>
          <t>Overlopende activa</t>
        </is>
      </c>
      <c r="O807" s="36">
        <f>IFERROR(INDEX('Mapping'!$F$2:$F$60,MATCH(B807,'Mapping'!$A$2:$A$60,0)),"")</f>
        <v/>
      </c>
    </row>
    <row r="808">
      <c r="A808" s="32" t="n">
        <v>45992</v>
      </c>
      <c r="B808" s="33" t="n">
        <v>1500</v>
      </c>
      <c r="C808" s="34" t="inlineStr">
        <is>
          <t>Overige vorderingen</t>
        </is>
      </c>
      <c r="D808" s="34" t="inlineStr">
        <is>
          <t>Balans</t>
        </is>
      </c>
      <c r="E808" s="34" t="inlineStr">
        <is>
          <t>Balans</t>
        </is>
      </c>
      <c r="F808" s="34" t="inlineStr"/>
      <c r="G808" s="35" t="n">
        <v>520</v>
      </c>
      <c r="H808" s="35" t="n">
        <v>0</v>
      </c>
      <c r="I808" s="35">
        <f>G808-H808</f>
        <v/>
      </c>
      <c r="J808" s="33" t="n">
        <v>2025</v>
      </c>
      <c r="K808" s="33" t="n">
        <v>12</v>
      </c>
      <c r="L808" s="34" t="inlineStr">
        <is>
          <t>Balans</t>
        </is>
      </c>
      <c r="M808" s="34" t="inlineStr">
        <is>
          <t>Vorderingen</t>
        </is>
      </c>
      <c r="N808" s="34" t="inlineStr">
        <is>
          <t>Overlopende activa</t>
        </is>
      </c>
      <c r="O808" s="36">
        <f>IFERROR(INDEX('Mapping'!$F$2:$F$60,MATCH(B808,'Mapping'!$A$2:$A$60,0)),"")</f>
        <v/>
      </c>
    </row>
    <row r="809">
      <c r="A809" s="32" t="n">
        <v>45292</v>
      </c>
      <c r="B809" s="33" t="n">
        <v>1100</v>
      </c>
      <c r="C809" s="34" t="inlineStr">
        <is>
          <t>Bank (beginbalans)</t>
        </is>
      </c>
      <c r="D809" s="34" t="inlineStr">
        <is>
          <t>Balans</t>
        </is>
      </c>
      <c r="E809" s="34" t="inlineStr">
        <is>
          <t>Balans</t>
        </is>
      </c>
      <c r="F809" s="34" t="inlineStr"/>
      <c r="G809" s="35" t="n">
        <v>90000</v>
      </c>
      <c r="H809" s="35" t="n">
        <v>0</v>
      </c>
      <c r="I809" s="35">
        <f>G809-H809</f>
        <v/>
      </c>
      <c r="J809" s="33" t="n">
        <v>2024</v>
      </c>
      <c r="K809" s="33" t="n">
        <v>0</v>
      </c>
      <c r="L809" s="34" t="inlineStr">
        <is>
          <t>Balans</t>
        </is>
      </c>
      <c r="M809" s="34" t="inlineStr">
        <is>
          <t>Liquide middelen</t>
        </is>
      </c>
      <c r="N809" s="34" t="inlineStr">
        <is>
          <t>Bank</t>
        </is>
      </c>
      <c r="O809" s="36">
        <f>IFERROR(INDEX('Mapping'!$F$2:$F$60,MATCH(B809,'Mapping'!$A$2:$A$60,0)),"")</f>
        <v/>
      </c>
    </row>
    <row r="810">
      <c r="A810" s="32" t="n">
        <v>45292</v>
      </c>
      <c r="B810" s="33" t="n">
        <v>1100</v>
      </c>
      <c r="C810" s="34" t="inlineStr">
        <is>
          <t>Bank</t>
        </is>
      </c>
      <c r="D810" s="34" t="inlineStr">
        <is>
          <t>Balans</t>
        </is>
      </c>
      <c r="E810" s="34" t="inlineStr">
        <is>
          <t>Balans</t>
        </is>
      </c>
      <c r="F810" s="34" t="inlineStr"/>
      <c r="G810" s="35" t="n">
        <v>1260</v>
      </c>
      <c r="H810" s="35" t="n">
        <v>0</v>
      </c>
      <c r="I810" s="35">
        <f>G810-H810</f>
        <v/>
      </c>
      <c r="J810" s="33" t="n">
        <v>2024</v>
      </c>
      <c r="K810" s="33" t="n">
        <v>1</v>
      </c>
      <c r="L810" s="34" t="inlineStr">
        <is>
          <t>Balans</t>
        </is>
      </c>
      <c r="M810" s="34" t="inlineStr">
        <is>
          <t>Liquide middelen</t>
        </is>
      </c>
      <c r="N810" s="34" t="inlineStr">
        <is>
          <t>Bank</t>
        </is>
      </c>
      <c r="O810" s="36">
        <f>IFERROR(INDEX('Mapping'!$F$2:$F$60,MATCH(B810,'Mapping'!$A$2:$A$60,0)),"")</f>
        <v/>
      </c>
    </row>
    <row r="811">
      <c r="A811" s="32" t="n">
        <v>45323</v>
      </c>
      <c r="B811" s="33" t="n">
        <v>1100</v>
      </c>
      <c r="C811" s="34" t="inlineStr">
        <is>
          <t>Bank</t>
        </is>
      </c>
      <c r="D811" s="34" t="inlineStr">
        <is>
          <t>Balans</t>
        </is>
      </c>
      <c r="E811" s="34" t="inlineStr">
        <is>
          <t>Balans</t>
        </is>
      </c>
      <c r="F811" s="34" t="inlineStr"/>
      <c r="G811" s="35" t="n">
        <v>1260</v>
      </c>
      <c r="H811" s="35" t="n">
        <v>0</v>
      </c>
      <c r="I811" s="35">
        <f>G811-H811</f>
        <v/>
      </c>
      <c r="J811" s="33" t="n">
        <v>2024</v>
      </c>
      <c r="K811" s="33" t="n">
        <v>2</v>
      </c>
      <c r="L811" s="34" t="inlineStr">
        <is>
          <t>Balans</t>
        </is>
      </c>
      <c r="M811" s="34" t="inlineStr">
        <is>
          <t>Liquide middelen</t>
        </is>
      </c>
      <c r="N811" s="34" t="inlineStr">
        <is>
          <t>Bank</t>
        </is>
      </c>
      <c r="O811" s="36">
        <f>IFERROR(INDEX('Mapping'!$F$2:$F$60,MATCH(B811,'Mapping'!$A$2:$A$60,0)),"")</f>
        <v/>
      </c>
    </row>
    <row r="812">
      <c r="A812" s="32" t="n">
        <v>45352</v>
      </c>
      <c r="B812" s="33" t="n">
        <v>1100</v>
      </c>
      <c r="C812" s="34" t="inlineStr">
        <is>
          <t>Bank</t>
        </is>
      </c>
      <c r="D812" s="34" t="inlineStr">
        <is>
          <t>Balans</t>
        </is>
      </c>
      <c r="E812" s="34" t="inlineStr">
        <is>
          <t>Balans</t>
        </is>
      </c>
      <c r="F812" s="34" t="inlineStr"/>
      <c r="G812" s="35" t="n">
        <v>1584</v>
      </c>
      <c r="H812" s="35" t="n">
        <v>0</v>
      </c>
      <c r="I812" s="35">
        <f>G812-H812</f>
        <v/>
      </c>
      <c r="J812" s="33" t="n">
        <v>2024</v>
      </c>
      <c r="K812" s="33" t="n">
        <v>3</v>
      </c>
      <c r="L812" s="34" t="inlineStr">
        <is>
          <t>Balans</t>
        </is>
      </c>
      <c r="M812" s="34" t="inlineStr">
        <is>
          <t>Liquide middelen</t>
        </is>
      </c>
      <c r="N812" s="34" t="inlineStr">
        <is>
          <t>Bank</t>
        </is>
      </c>
      <c r="O812" s="36">
        <f>IFERROR(INDEX('Mapping'!$F$2:$F$60,MATCH(B812,'Mapping'!$A$2:$A$60,0)),"")</f>
        <v/>
      </c>
    </row>
    <row r="813">
      <c r="A813" s="32" t="n">
        <v>45383</v>
      </c>
      <c r="B813" s="33" t="n">
        <v>1100</v>
      </c>
      <c r="C813" s="34" t="inlineStr">
        <is>
          <t>Bank</t>
        </is>
      </c>
      <c r="D813" s="34" t="inlineStr">
        <is>
          <t>Balans</t>
        </is>
      </c>
      <c r="E813" s="34" t="inlineStr">
        <is>
          <t>Balans</t>
        </is>
      </c>
      <c r="F813" s="34" t="inlineStr"/>
      <c r="G813" s="35" t="n">
        <v>1476</v>
      </c>
      <c r="H813" s="35" t="n">
        <v>0</v>
      </c>
      <c r="I813" s="35">
        <f>G813-H813</f>
        <v/>
      </c>
      <c r="J813" s="33" t="n">
        <v>2024</v>
      </c>
      <c r="K813" s="33" t="n">
        <v>4</v>
      </c>
      <c r="L813" s="34" t="inlineStr">
        <is>
          <t>Balans</t>
        </is>
      </c>
      <c r="M813" s="34" t="inlineStr">
        <is>
          <t>Liquide middelen</t>
        </is>
      </c>
      <c r="N813" s="34" t="inlineStr">
        <is>
          <t>Bank</t>
        </is>
      </c>
      <c r="O813" s="36">
        <f>IFERROR(INDEX('Mapping'!$F$2:$F$60,MATCH(B813,'Mapping'!$A$2:$A$60,0)),"")</f>
        <v/>
      </c>
    </row>
    <row r="814">
      <c r="A814" s="32" t="n">
        <v>45413</v>
      </c>
      <c r="B814" s="33" t="n">
        <v>1100</v>
      </c>
      <c r="C814" s="34" t="inlineStr">
        <is>
          <t>Bank</t>
        </is>
      </c>
      <c r="D814" s="34" t="inlineStr">
        <is>
          <t>Balans</t>
        </is>
      </c>
      <c r="E814" s="34" t="inlineStr">
        <is>
          <t>Balans</t>
        </is>
      </c>
      <c r="F814" s="34" t="inlineStr"/>
      <c r="G814" s="35" t="n">
        <v>1548</v>
      </c>
      <c r="H814" s="35" t="n">
        <v>0</v>
      </c>
      <c r="I814" s="35">
        <f>G814-H814</f>
        <v/>
      </c>
      <c r="J814" s="33" t="n">
        <v>2024</v>
      </c>
      <c r="K814" s="33" t="n">
        <v>5</v>
      </c>
      <c r="L814" s="34" t="inlineStr">
        <is>
          <t>Balans</t>
        </is>
      </c>
      <c r="M814" s="34" t="inlineStr">
        <is>
          <t>Liquide middelen</t>
        </is>
      </c>
      <c r="N814" s="34" t="inlineStr">
        <is>
          <t>Bank</t>
        </is>
      </c>
      <c r="O814" s="36">
        <f>IFERROR(INDEX('Mapping'!$F$2:$F$60,MATCH(B814,'Mapping'!$A$2:$A$60,0)),"")</f>
        <v/>
      </c>
    </row>
    <row r="815">
      <c r="A815" s="32" t="n">
        <v>45444</v>
      </c>
      <c r="B815" s="33" t="n">
        <v>1100</v>
      </c>
      <c r="C815" s="34" t="inlineStr">
        <is>
          <t>Bank</t>
        </is>
      </c>
      <c r="D815" s="34" t="inlineStr">
        <is>
          <t>Balans</t>
        </is>
      </c>
      <c r="E815" s="34" t="inlineStr">
        <is>
          <t>Balans</t>
        </is>
      </c>
      <c r="F815" s="34" t="inlineStr"/>
      <c r="G815" s="35" t="n">
        <v>1620</v>
      </c>
      <c r="H815" s="35" t="n">
        <v>0</v>
      </c>
      <c r="I815" s="35">
        <f>G815-H815</f>
        <v/>
      </c>
      <c r="J815" s="33" t="n">
        <v>2024</v>
      </c>
      <c r="K815" s="33" t="n">
        <v>6</v>
      </c>
      <c r="L815" s="34" t="inlineStr">
        <is>
          <t>Balans</t>
        </is>
      </c>
      <c r="M815" s="34" t="inlineStr">
        <is>
          <t>Liquide middelen</t>
        </is>
      </c>
      <c r="N815" s="34" t="inlineStr">
        <is>
          <t>Bank</t>
        </is>
      </c>
      <c r="O815" s="36">
        <f>IFERROR(INDEX('Mapping'!$F$2:$F$60,MATCH(B815,'Mapping'!$A$2:$A$60,0)),"")</f>
        <v/>
      </c>
    </row>
    <row r="816">
      <c r="A816" s="32" t="n">
        <v>45474</v>
      </c>
      <c r="B816" s="33" t="n">
        <v>1100</v>
      </c>
      <c r="C816" s="34" t="inlineStr">
        <is>
          <t>Bank</t>
        </is>
      </c>
      <c r="D816" s="34" t="inlineStr">
        <is>
          <t>Balans</t>
        </is>
      </c>
      <c r="E816" s="34" t="inlineStr">
        <is>
          <t>Balans</t>
        </is>
      </c>
      <c r="F816" s="34" t="inlineStr"/>
      <c r="G816" s="35" t="n">
        <v>1368</v>
      </c>
      <c r="H816" s="35" t="n">
        <v>0</v>
      </c>
      <c r="I816" s="35">
        <f>G816-H816</f>
        <v/>
      </c>
      <c r="J816" s="33" t="n">
        <v>2024</v>
      </c>
      <c r="K816" s="33" t="n">
        <v>7</v>
      </c>
      <c r="L816" s="34" t="inlineStr">
        <is>
          <t>Balans</t>
        </is>
      </c>
      <c r="M816" s="34" t="inlineStr">
        <is>
          <t>Liquide middelen</t>
        </is>
      </c>
      <c r="N816" s="34" t="inlineStr">
        <is>
          <t>Bank</t>
        </is>
      </c>
      <c r="O816" s="36">
        <f>IFERROR(INDEX('Mapping'!$F$2:$F$60,MATCH(B816,'Mapping'!$A$2:$A$60,0)),"")</f>
        <v/>
      </c>
    </row>
    <row r="817">
      <c r="A817" s="32" t="n">
        <v>45505</v>
      </c>
      <c r="B817" s="33" t="n">
        <v>1100</v>
      </c>
      <c r="C817" s="34" t="inlineStr">
        <is>
          <t>Bank</t>
        </is>
      </c>
      <c r="D817" s="34" t="inlineStr">
        <is>
          <t>Balans</t>
        </is>
      </c>
      <c r="E817" s="34" t="inlineStr">
        <is>
          <t>Balans</t>
        </is>
      </c>
      <c r="F817" s="34" t="inlineStr"/>
      <c r="G817" s="35" t="n">
        <v>1260</v>
      </c>
      <c r="H817" s="35" t="n">
        <v>0</v>
      </c>
      <c r="I817" s="35">
        <f>G817-H817</f>
        <v/>
      </c>
      <c r="J817" s="33" t="n">
        <v>2024</v>
      </c>
      <c r="K817" s="33" t="n">
        <v>8</v>
      </c>
      <c r="L817" s="34" t="inlineStr">
        <is>
          <t>Balans</t>
        </is>
      </c>
      <c r="M817" s="34" t="inlineStr">
        <is>
          <t>Liquide middelen</t>
        </is>
      </c>
      <c r="N817" s="34" t="inlineStr">
        <is>
          <t>Bank</t>
        </is>
      </c>
      <c r="O817" s="36">
        <f>IFERROR(INDEX('Mapping'!$F$2:$F$60,MATCH(B817,'Mapping'!$A$2:$A$60,0)),"")</f>
        <v/>
      </c>
    </row>
    <row r="818">
      <c r="A818" s="32" t="n">
        <v>45536</v>
      </c>
      <c r="B818" s="33" t="n">
        <v>1100</v>
      </c>
      <c r="C818" s="34" t="inlineStr">
        <is>
          <t>Bank</t>
        </is>
      </c>
      <c r="D818" s="34" t="inlineStr">
        <is>
          <t>Balans</t>
        </is>
      </c>
      <c r="E818" s="34" t="inlineStr">
        <is>
          <t>Balans</t>
        </is>
      </c>
      <c r="F818" s="34" t="inlineStr"/>
      <c r="G818" s="35" t="n">
        <v>1584</v>
      </c>
      <c r="H818" s="35" t="n">
        <v>0</v>
      </c>
      <c r="I818" s="35">
        <f>G818-H818</f>
        <v/>
      </c>
      <c r="J818" s="33" t="n">
        <v>2024</v>
      </c>
      <c r="K818" s="33" t="n">
        <v>9</v>
      </c>
      <c r="L818" s="34" t="inlineStr">
        <is>
          <t>Balans</t>
        </is>
      </c>
      <c r="M818" s="34" t="inlineStr">
        <is>
          <t>Liquide middelen</t>
        </is>
      </c>
      <c r="N818" s="34" t="inlineStr">
        <is>
          <t>Bank</t>
        </is>
      </c>
      <c r="O818" s="36">
        <f>IFERROR(INDEX('Mapping'!$F$2:$F$60,MATCH(B818,'Mapping'!$A$2:$A$60,0)),"")</f>
        <v/>
      </c>
    </row>
    <row r="819">
      <c r="A819" s="32" t="n">
        <v>45566</v>
      </c>
      <c r="B819" s="33" t="n">
        <v>1100</v>
      </c>
      <c r="C819" s="34" t="inlineStr">
        <is>
          <t>Bank</t>
        </is>
      </c>
      <c r="D819" s="34" t="inlineStr">
        <is>
          <t>Balans</t>
        </is>
      </c>
      <c r="E819" s="34" t="inlineStr">
        <is>
          <t>Balans</t>
        </is>
      </c>
      <c r="F819" s="34" t="inlineStr"/>
      <c r="G819" s="35" t="n">
        <v>1620</v>
      </c>
      <c r="H819" s="35" t="n">
        <v>0</v>
      </c>
      <c r="I819" s="35">
        <f>G819-H819</f>
        <v/>
      </c>
      <c r="J819" s="33" t="n">
        <v>2024</v>
      </c>
      <c r="K819" s="33" t="n">
        <v>10</v>
      </c>
      <c r="L819" s="34" t="inlineStr">
        <is>
          <t>Balans</t>
        </is>
      </c>
      <c r="M819" s="34" t="inlineStr">
        <is>
          <t>Liquide middelen</t>
        </is>
      </c>
      <c r="N819" s="34" t="inlineStr">
        <is>
          <t>Bank</t>
        </is>
      </c>
      <c r="O819" s="36">
        <f>IFERROR(INDEX('Mapping'!$F$2:$F$60,MATCH(B819,'Mapping'!$A$2:$A$60,0)),"")</f>
        <v/>
      </c>
    </row>
    <row r="820">
      <c r="A820" s="32" t="n">
        <v>45597</v>
      </c>
      <c r="B820" s="33" t="n">
        <v>1100</v>
      </c>
      <c r="C820" s="34" t="inlineStr">
        <is>
          <t>Bank</t>
        </is>
      </c>
      <c r="D820" s="34" t="inlineStr">
        <is>
          <t>Balans</t>
        </is>
      </c>
      <c r="E820" s="34" t="inlineStr">
        <is>
          <t>Balans</t>
        </is>
      </c>
      <c r="F820" s="34" t="inlineStr"/>
      <c r="G820" s="35" t="n">
        <v>1548</v>
      </c>
      <c r="H820" s="35" t="n">
        <v>0</v>
      </c>
      <c r="I820" s="35">
        <f>G820-H820</f>
        <v/>
      </c>
      <c r="J820" s="33" t="n">
        <v>2024</v>
      </c>
      <c r="K820" s="33" t="n">
        <v>11</v>
      </c>
      <c r="L820" s="34" t="inlineStr">
        <is>
          <t>Balans</t>
        </is>
      </c>
      <c r="M820" s="34" t="inlineStr">
        <is>
          <t>Liquide middelen</t>
        </is>
      </c>
      <c r="N820" s="34" t="inlineStr">
        <is>
          <t>Bank</t>
        </is>
      </c>
      <c r="O820" s="36">
        <f>IFERROR(INDEX('Mapping'!$F$2:$F$60,MATCH(B820,'Mapping'!$A$2:$A$60,0)),"")</f>
        <v/>
      </c>
    </row>
    <row r="821">
      <c r="A821" s="32" t="n">
        <v>45627</v>
      </c>
      <c r="B821" s="33" t="n">
        <v>1100</v>
      </c>
      <c r="C821" s="34" t="inlineStr">
        <is>
          <t>Bank</t>
        </is>
      </c>
      <c r="D821" s="34" t="inlineStr">
        <is>
          <t>Balans</t>
        </is>
      </c>
      <c r="E821" s="34" t="inlineStr">
        <is>
          <t>Balans</t>
        </is>
      </c>
      <c r="F821" s="34" t="inlineStr"/>
      <c r="G821" s="35" t="n">
        <v>1872</v>
      </c>
      <c r="H821" s="35" t="n">
        <v>0</v>
      </c>
      <c r="I821" s="35">
        <f>G821-H821</f>
        <v/>
      </c>
      <c r="J821" s="33" t="n">
        <v>2024</v>
      </c>
      <c r="K821" s="33" t="n">
        <v>12</v>
      </c>
      <c r="L821" s="34" t="inlineStr">
        <is>
          <t>Balans</t>
        </is>
      </c>
      <c r="M821" s="34" t="inlineStr">
        <is>
          <t>Liquide middelen</t>
        </is>
      </c>
      <c r="N821" s="34" t="inlineStr">
        <is>
          <t>Bank</t>
        </is>
      </c>
      <c r="O821" s="36">
        <f>IFERROR(INDEX('Mapping'!$F$2:$F$60,MATCH(B821,'Mapping'!$A$2:$A$60,0)),"")</f>
        <v/>
      </c>
    </row>
    <row r="822">
      <c r="A822" s="32" t="n">
        <v>45658</v>
      </c>
      <c r="B822" s="33" t="n">
        <v>1100</v>
      </c>
      <c r="C822" s="34" t="inlineStr">
        <is>
          <t>Bank (beginbalans)</t>
        </is>
      </c>
      <c r="D822" s="34" t="inlineStr">
        <is>
          <t>Balans</t>
        </is>
      </c>
      <c r="E822" s="34" t="inlineStr">
        <is>
          <t>Balans</t>
        </is>
      </c>
      <c r="F822" s="34" t="inlineStr"/>
      <c r="G822" s="35" t="n">
        <v>108000</v>
      </c>
      <c r="H822" s="35" t="n">
        <v>0</v>
      </c>
      <c r="I822" s="35">
        <f>G822-H822</f>
        <v/>
      </c>
      <c r="J822" s="33" t="n">
        <v>2025</v>
      </c>
      <c r="K822" s="33" t="n">
        <v>0</v>
      </c>
      <c r="L822" s="34" t="inlineStr">
        <is>
          <t>Balans</t>
        </is>
      </c>
      <c r="M822" s="34" t="inlineStr">
        <is>
          <t>Liquide middelen</t>
        </is>
      </c>
      <c r="N822" s="34" t="inlineStr">
        <is>
          <t>Bank</t>
        </is>
      </c>
      <c r="O822" s="36">
        <f>IFERROR(INDEX('Mapping'!$F$2:$F$60,MATCH(B822,'Mapping'!$A$2:$A$60,0)),"")</f>
        <v/>
      </c>
    </row>
    <row r="823">
      <c r="A823" s="32" t="n">
        <v>45658</v>
      </c>
      <c r="B823" s="33" t="n">
        <v>1100</v>
      </c>
      <c r="C823" s="34" t="inlineStr">
        <is>
          <t>Bank</t>
        </is>
      </c>
      <c r="D823" s="34" t="inlineStr">
        <is>
          <t>Balans</t>
        </is>
      </c>
      <c r="E823" s="34" t="inlineStr">
        <is>
          <t>Balans</t>
        </is>
      </c>
      <c r="F823" s="34" t="inlineStr"/>
      <c r="G823" s="35" t="n">
        <v>3990</v>
      </c>
      <c r="H823" s="35" t="n">
        <v>0</v>
      </c>
      <c r="I823" s="35">
        <f>G823-H823</f>
        <v/>
      </c>
      <c r="J823" s="33" t="n">
        <v>2025</v>
      </c>
      <c r="K823" s="33" t="n">
        <v>1</v>
      </c>
      <c r="L823" s="34" t="inlineStr">
        <is>
          <t>Balans</t>
        </is>
      </c>
      <c r="M823" s="34" t="inlineStr">
        <is>
          <t>Liquide middelen</t>
        </is>
      </c>
      <c r="N823" s="34" t="inlineStr">
        <is>
          <t>Bank</t>
        </is>
      </c>
      <c r="O823" s="36">
        <f>IFERROR(INDEX('Mapping'!$F$2:$F$60,MATCH(B823,'Mapping'!$A$2:$A$60,0)),"")</f>
        <v/>
      </c>
    </row>
    <row r="824">
      <c r="A824" s="32" t="n">
        <v>45689</v>
      </c>
      <c r="B824" s="33" t="n">
        <v>1100</v>
      </c>
      <c r="C824" s="34" t="inlineStr">
        <is>
          <t>Bank</t>
        </is>
      </c>
      <c r="D824" s="34" t="inlineStr">
        <is>
          <t>Balans</t>
        </is>
      </c>
      <c r="E824" s="34" t="inlineStr">
        <is>
          <t>Balans</t>
        </is>
      </c>
      <c r="F824" s="34" t="inlineStr"/>
      <c r="G824" s="35" t="n">
        <v>3990</v>
      </c>
      <c r="H824" s="35" t="n">
        <v>0</v>
      </c>
      <c r="I824" s="35">
        <f>G824-H824</f>
        <v/>
      </c>
      <c r="J824" s="33" t="n">
        <v>2025</v>
      </c>
      <c r="K824" s="33" t="n">
        <v>2</v>
      </c>
      <c r="L824" s="34" t="inlineStr">
        <is>
          <t>Balans</t>
        </is>
      </c>
      <c r="M824" s="34" t="inlineStr">
        <is>
          <t>Liquide middelen</t>
        </is>
      </c>
      <c r="N824" s="34" t="inlineStr">
        <is>
          <t>Bank</t>
        </is>
      </c>
      <c r="O824" s="36">
        <f>IFERROR(INDEX('Mapping'!$F$2:$F$60,MATCH(B824,'Mapping'!$A$2:$A$60,0)),"")</f>
        <v/>
      </c>
    </row>
    <row r="825">
      <c r="A825" s="32" t="n">
        <v>45717</v>
      </c>
      <c r="B825" s="33" t="n">
        <v>1100</v>
      </c>
      <c r="C825" s="34" t="inlineStr">
        <is>
          <t>Bank</t>
        </is>
      </c>
      <c r="D825" s="34" t="inlineStr">
        <is>
          <t>Balans</t>
        </is>
      </c>
      <c r="E825" s="34" t="inlineStr">
        <is>
          <t>Balans</t>
        </is>
      </c>
      <c r="F825" s="34" t="inlineStr"/>
      <c r="G825" s="35" t="n">
        <v>5016</v>
      </c>
      <c r="H825" s="35" t="n">
        <v>0</v>
      </c>
      <c r="I825" s="35">
        <f>G825-H825</f>
        <v/>
      </c>
      <c r="J825" s="33" t="n">
        <v>2025</v>
      </c>
      <c r="K825" s="33" t="n">
        <v>3</v>
      </c>
      <c r="L825" s="34" t="inlineStr">
        <is>
          <t>Balans</t>
        </is>
      </c>
      <c r="M825" s="34" t="inlineStr">
        <is>
          <t>Liquide middelen</t>
        </is>
      </c>
      <c r="N825" s="34" t="inlineStr">
        <is>
          <t>Bank</t>
        </is>
      </c>
      <c r="O825" s="36">
        <f>IFERROR(INDEX('Mapping'!$F$2:$F$60,MATCH(B825,'Mapping'!$A$2:$A$60,0)),"")</f>
        <v/>
      </c>
    </row>
    <row r="826">
      <c r="A826" s="32" t="n">
        <v>45748</v>
      </c>
      <c r="B826" s="33" t="n">
        <v>1100</v>
      </c>
      <c r="C826" s="34" t="inlineStr">
        <is>
          <t>Bank</t>
        </is>
      </c>
      <c r="D826" s="34" t="inlineStr">
        <is>
          <t>Balans</t>
        </is>
      </c>
      <c r="E826" s="34" t="inlineStr">
        <is>
          <t>Balans</t>
        </is>
      </c>
      <c r="F826" s="34" t="inlineStr"/>
      <c r="G826" s="35" t="n">
        <v>4674</v>
      </c>
      <c r="H826" s="35" t="n">
        <v>0</v>
      </c>
      <c r="I826" s="35">
        <f>G826-H826</f>
        <v/>
      </c>
      <c r="J826" s="33" t="n">
        <v>2025</v>
      </c>
      <c r="K826" s="33" t="n">
        <v>4</v>
      </c>
      <c r="L826" s="34" t="inlineStr">
        <is>
          <t>Balans</t>
        </is>
      </c>
      <c r="M826" s="34" t="inlineStr">
        <is>
          <t>Liquide middelen</t>
        </is>
      </c>
      <c r="N826" s="34" t="inlineStr">
        <is>
          <t>Bank</t>
        </is>
      </c>
      <c r="O826" s="36">
        <f>IFERROR(INDEX('Mapping'!$F$2:$F$60,MATCH(B826,'Mapping'!$A$2:$A$60,0)),"")</f>
        <v/>
      </c>
    </row>
    <row r="827">
      <c r="A827" s="32" t="n">
        <v>45778</v>
      </c>
      <c r="B827" s="33" t="n">
        <v>1100</v>
      </c>
      <c r="C827" s="34" t="inlineStr">
        <is>
          <t>Bank</t>
        </is>
      </c>
      <c r="D827" s="34" t="inlineStr">
        <is>
          <t>Balans</t>
        </is>
      </c>
      <c r="E827" s="34" t="inlineStr">
        <is>
          <t>Balans</t>
        </is>
      </c>
      <c r="F827" s="34" t="inlineStr"/>
      <c r="G827" s="35" t="n">
        <v>4902</v>
      </c>
      <c r="H827" s="35" t="n">
        <v>0</v>
      </c>
      <c r="I827" s="35">
        <f>G827-H827</f>
        <v/>
      </c>
      <c r="J827" s="33" t="n">
        <v>2025</v>
      </c>
      <c r="K827" s="33" t="n">
        <v>5</v>
      </c>
      <c r="L827" s="34" t="inlineStr">
        <is>
          <t>Balans</t>
        </is>
      </c>
      <c r="M827" s="34" t="inlineStr">
        <is>
          <t>Liquide middelen</t>
        </is>
      </c>
      <c r="N827" s="34" t="inlineStr">
        <is>
          <t>Bank</t>
        </is>
      </c>
      <c r="O827" s="36">
        <f>IFERROR(INDEX('Mapping'!$F$2:$F$60,MATCH(B827,'Mapping'!$A$2:$A$60,0)),"")</f>
        <v/>
      </c>
    </row>
    <row r="828">
      <c r="A828" s="32" t="n">
        <v>45809</v>
      </c>
      <c r="B828" s="33" t="n">
        <v>1100</v>
      </c>
      <c r="C828" s="34" t="inlineStr">
        <is>
          <t>Bank</t>
        </is>
      </c>
      <c r="D828" s="34" t="inlineStr">
        <is>
          <t>Balans</t>
        </is>
      </c>
      <c r="E828" s="34" t="inlineStr">
        <is>
          <t>Balans</t>
        </is>
      </c>
      <c r="F828" s="34" t="inlineStr"/>
      <c r="G828" s="35" t="n">
        <v>5130</v>
      </c>
      <c r="H828" s="35" t="n">
        <v>0</v>
      </c>
      <c r="I828" s="35">
        <f>G828-H828</f>
        <v/>
      </c>
      <c r="J828" s="33" t="n">
        <v>2025</v>
      </c>
      <c r="K828" s="33" t="n">
        <v>6</v>
      </c>
      <c r="L828" s="34" t="inlineStr">
        <is>
          <t>Balans</t>
        </is>
      </c>
      <c r="M828" s="34" t="inlineStr">
        <is>
          <t>Liquide middelen</t>
        </is>
      </c>
      <c r="N828" s="34" t="inlineStr">
        <is>
          <t>Bank</t>
        </is>
      </c>
      <c r="O828" s="36">
        <f>IFERROR(INDEX('Mapping'!$F$2:$F$60,MATCH(B828,'Mapping'!$A$2:$A$60,0)),"")</f>
        <v/>
      </c>
    </row>
    <row r="829">
      <c r="A829" s="32" t="n">
        <v>45839</v>
      </c>
      <c r="B829" s="33" t="n">
        <v>1100</v>
      </c>
      <c r="C829" s="34" t="inlineStr">
        <is>
          <t>Bank</t>
        </is>
      </c>
      <c r="D829" s="34" t="inlineStr">
        <is>
          <t>Balans</t>
        </is>
      </c>
      <c r="E829" s="34" t="inlineStr">
        <is>
          <t>Balans</t>
        </is>
      </c>
      <c r="F829" s="34" t="inlineStr"/>
      <c r="G829" s="35" t="n">
        <v>4332</v>
      </c>
      <c r="H829" s="35" t="n">
        <v>0</v>
      </c>
      <c r="I829" s="35">
        <f>G829-H829</f>
        <v/>
      </c>
      <c r="J829" s="33" t="n">
        <v>2025</v>
      </c>
      <c r="K829" s="33" t="n">
        <v>7</v>
      </c>
      <c r="L829" s="34" t="inlineStr">
        <is>
          <t>Balans</t>
        </is>
      </c>
      <c r="M829" s="34" t="inlineStr">
        <is>
          <t>Liquide middelen</t>
        </is>
      </c>
      <c r="N829" s="34" t="inlineStr">
        <is>
          <t>Bank</t>
        </is>
      </c>
      <c r="O829" s="36">
        <f>IFERROR(INDEX('Mapping'!$F$2:$F$60,MATCH(B829,'Mapping'!$A$2:$A$60,0)),"")</f>
        <v/>
      </c>
    </row>
    <row r="830">
      <c r="A830" s="32" t="n">
        <v>45870</v>
      </c>
      <c r="B830" s="33" t="n">
        <v>1100</v>
      </c>
      <c r="C830" s="34" t="inlineStr">
        <is>
          <t>Bank</t>
        </is>
      </c>
      <c r="D830" s="34" t="inlineStr">
        <is>
          <t>Balans</t>
        </is>
      </c>
      <c r="E830" s="34" t="inlineStr">
        <is>
          <t>Balans</t>
        </is>
      </c>
      <c r="F830" s="34" t="inlineStr"/>
      <c r="G830" s="35" t="n">
        <v>3990</v>
      </c>
      <c r="H830" s="35" t="n">
        <v>0</v>
      </c>
      <c r="I830" s="35">
        <f>G830-H830</f>
        <v/>
      </c>
      <c r="J830" s="33" t="n">
        <v>2025</v>
      </c>
      <c r="K830" s="33" t="n">
        <v>8</v>
      </c>
      <c r="L830" s="34" t="inlineStr">
        <is>
          <t>Balans</t>
        </is>
      </c>
      <c r="M830" s="34" t="inlineStr">
        <is>
          <t>Liquide middelen</t>
        </is>
      </c>
      <c r="N830" s="34" t="inlineStr">
        <is>
          <t>Bank</t>
        </is>
      </c>
      <c r="O830" s="36">
        <f>IFERROR(INDEX('Mapping'!$F$2:$F$60,MATCH(B830,'Mapping'!$A$2:$A$60,0)),"")</f>
        <v/>
      </c>
    </row>
    <row r="831">
      <c r="A831" s="32" t="n">
        <v>45901</v>
      </c>
      <c r="B831" s="33" t="n">
        <v>1100</v>
      </c>
      <c r="C831" s="34" t="inlineStr">
        <is>
          <t>Bank</t>
        </is>
      </c>
      <c r="D831" s="34" t="inlineStr">
        <is>
          <t>Balans</t>
        </is>
      </c>
      <c r="E831" s="34" t="inlineStr">
        <is>
          <t>Balans</t>
        </is>
      </c>
      <c r="F831" s="34" t="inlineStr"/>
      <c r="G831" s="35" t="n">
        <v>5016</v>
      </c>
      <c r="H831" s="35" t="n">
        <v>0</v>
      </c>
      <c r="I831" s="35">
        <f>G831-H831</f>
        <v/>
      </c>
      <c r="J831" s="33" t="n">
        <v>2025</v>
      </c>
      <c r="K831" s="33" t="n">
        <v>9</v>
      </c>
      <c r="L831" s="34" t="inlineStr">
        <is>
          <t>Balans</t>
        </is>
      </c>
      <c r="M831" s="34" t="inlineStr">
        <is>
          <t>Liquide middelen</t>
        </is>
      </c>
      <c r="N831" s="34" t="inlineStr">
        <is>
          <t>Bank</t>
        </is>
      </c>
      <c r="O831" s="36">
        <f>IFERROR(INDEX('Mapping'!$F$2:$F$60,MATCH(B831,'Mapping'!$A$2:$A$60,0)),"")</f>
        <v/>
      </c>
    </row>
    <row r="832">
      <c r="A832" s="32" t="n">
        <v>45931</v>
      </c>
      <c r="B832" s="33" t="n">
        <v>1100</v>
      </c>
      <c r="C832" s="34" t="inlineStr">
        <is>
          <t>Bank</t>
        </is>
      </c>
      <c r="D832" s="34" t="inlineStr">
        <is>
          <t>Balans</t>
        </is>
      </c>
      <c r="E832" s="34" t="inlineStr">
        <is>
          <t>Balans</t>
        </is>
      </c>
      <c r="F832" s="34" t="inlineStr"/>
      <c r="G832" s="35" t="n">
        <v>5130</v>
      </c>
      <c r="H832" s="35" t="n">
        <v>0</v>
      </c>
      <c r="I832" s="35">
        <f>G832-H832</f>
        <v/>
      </c>
      <c r="J832" s="33" t="n">
        <v>2025</v>
      </c>
      <c r="K832" s="33" t="n">
        <v>10</v>
      </c>
      <c r="L832" s="34" t="inlineStr">
        <is>
          <t>Balans</t>
        </is>
      </c>
      <c r="M832" s="34" t="inlineStr">
        <is>
          <t>Liquide middelen</t>
        </is>
      </c>
      <c r="N832" s="34" t="inlineStr">
        <is>
          <t>Bank</t>
        </is>
      </c>
      <c r="O832" s="36">
        <f>IFERROR(INDEX('Mapping'!$F$2:$F$60,MATCH(B832,'Mapping'!$A$2:$A$60,0)),"")</f>
        <v/>
      </c>
    </row>
    <row r="833">
      <c r="A833" s="32" t="n">
        <v>45962</v>
      </c>
      <c r="B833" s="33" t="n">
        <v>1100</v>
      </c>
      <c r="C833" s="34" t="inlineStr">
        <is>
          <t>Bank</t>
        </is>
      </c>
      <c r="D833" s="34" t="inlineStr">
        <is>
          <t>Balans</t>
        </is>
      </c>
      <c r="E833" s="34" t="inlineStr">
        <is>
          <t>Balans</t>
        </is>
      </c>
      <c r="F833" s="34" t="inlineStr"/>
      <c r="G833" s="35" t="n">
        <v>4902</v>
      </c>
      <c r="H833" s="35" t="n">
        <v>0</v>
      </c>
      <c r="I833" s="35">
        <f>G833-H833</f>
        <v/>
      </c>
      <c r="J833" s="33" t="n">
        <v>2025</v>
      </c>
      <c r="K833" s="33" t="n">
        <v>11</v>
      </c>
      <c r="L833" s="34" t="inlineStr">
        <is>
          <t>Balans</t>
        </is>
      </c>
      <c r="M833" s="34" t="inlineStr">
        <is>
          <t>Liquide middelen</t>
        </is>
      </c>
      <c r="N833" s="34" t="inlineStr">
        <is>
          <t>Bank</t>
        </is>
      </c>
      <c r="O833" s="36">
        <f>IFERROR(INDEX('Mapping'!$F$2:$F$60,MATCH(B833,'Mapping'!$A$2:$A$60,0)),"")</f>
        <v/>
      </c>
    </row>
    <row r="834">
      <c r="A834" s="32" t="n">
        <v>45992</v>
      </c>
      <c r="B834" s="33" t="n">
        <v>1100</v>
      </c>
      <c r="C834" s="34" t="inlineStr">
        <is>
          <t>Bank</t>
        </is>
      </c>
      <c r="D834" s="34" t="inlineStr">
        <is>
          <t>Balans</t>
        </is>
      </c>
      <c r="E834" s="34" t="inlineStr">
        <is>
          <t>Balans</t>
        </is>
      </c>
      <c r="F834" s="34" t="inlineStr"/>
      <c r="G834" s="35" t="n">
        <v>5928</v>
      </c>
      <c r="H834" s="35" t="n">
        <v>0</v>
      </c>
      <c r="I834" s="35">
        <f>G834-H834</f>
        <v/>
      </c>
      <c r="J834" s="33" t="n">
        <v>2025</v>
      </c>
      <c r="K834" s="33" t="n">
        <v>12</v>
      </c>
      <c r="L834" s="34" t="inlineStr">
        <is>
          <t>Balans</t>
        </is>
      </c>
      <c r="M834" s="34" t="inlineStr">
        <is>
          <t>Liquide middelen</t>
        </is>
      </c>
      <c r="N834" s="34" t="inlineStr">
        <is>
          <t>Bank</t>
        </is>
      </c>
      <c r="O834" s="36">
        <f>IFERROR(INDEX('Mapping'!$F$2:$F$60,MATCH(B834,'Mapping'!$A$2:$A$60,0)),"")</f>
        <v/>
      </c>
    </row>
    <row r="835">
      <c r="A835" s="32" t="n">
        <v>45292</v>
      </c>
      <c r="B835" s="33" t="n">
        <v>1000</v>
      </c>
      <c r="C835" s="34" t="inlineStr">
        <is>
          <t>Kas (beginbalans)</t>
        </is>
      </c>
      <c r="D835" s="34" t="inlineStr">
        <is>
          <t>Balans</t>
        </is>
      </c>
      <c r="E835" s="34" t="inlineStr">
        <is>
          <t>Balans</t>
        </is>
      </c>
      <c r="F835" s="34" t="inlineStr"/>
      <c r="G835" s="35" t="n">
        <v>10000</v>
      </c>
      <c r="H835" s="35" t="n">
        <v>0</v>
      </c>
      <c r="I835" s="35">
        <f>G835-H835</f>
        <v/>
      </c>
      <c r="J835" s="33" t="n">
        <v>2024</v>
      </c>
      <c r="K835" s="33" t="n">
        <v>0</v>
      </c>
      <c r="L835" s="34" t="inlineStr">
        <is>
          <t>Balans</t>
        </is>
      </c>
      <c r="M835" s="34" t="inlineStr">
        <is>
          <t>Liquide middelen</t>
        </is>
      </c>
      <c r="N835" s="34" t="inlineStr">
        <is>
          <t>Kas</t>
        </is>
      </c>
      <c r="O835" s="36">
        <f>IFERROR(INDEX('Mapping'!$F$2:$F$60,MATCH(B835,'Mapping'!$A$2:$A$60,0)),"")</f>
        <v/>
      </c>
    </row>
    <row r="836">
      <c r="A836" s="32" t="n">
        <v>45292</v>
      </c>
      <c r="B836" s="33" t="n">
        <v>1000</v>
      </c>
      <c r="C836" s="34" t="inlineStr">
        <is>
          <t>Kas</t>
        </is>
      </c>
      <c r="D836" s="34" t="inlineStr">
        <is>
          <t>Balans</t>
        </is>
      </c>
      <c r="E836" s="34" t="inlineStr">
        <is>
          <t>Balans</t>
        </is>
      </c>
      <c r="F836" s="34" t="inlineStr"/>
      <c r="G836" s="35" t="n">
        <v>140</v>
      </c>
      <c r="H836" s="35" t="n">
        <v>0</v>
      </c>
      <c r="I836" s="35">
        <f>G836-H836</f>
        <v/>
      </c>
      <c r="J836" s="33" t="n">
        <v>2024</v>
      </c>
      <c r="K836" s="33" t="n">
        <v>1</v>
      </c>
      <c r="L836" s="34" t="inlineStr">
        <is>
          <t>Balans</t>
        </is>
      </c>
      <c r="M836" s="34" t="inlineStr">
        <is>
          <t>Liquide middelen</t>
        </is>
      </c>
      <c r="N836" s="34" t="inlineStr">
        <is>
          <t>Kas</t>
        </is>
      </c>
      <c r="O836" s="36">
        <f>IFERROR(INDEX('Mapping'!$F$2:$F$60,MATCH(B836,'Mapping'!$A$2:$A$60,0)),"")</f>
        <v/>
      </c>
    </row>
    <row r="837">
      <c r="A837" s="32" t="n">
        <v>45323</v>
      </c>
      <c r="B837" s="33" t="n">
        <v>1000</v>
      </c>
      <c r="C837" s="34" t="inlineStr">
        <is>
          <t>Kas</t>
        </is>
      </c>
      <c r="D837" s="34" t="inlineStr">
        <is>
          <t>Balans</t>
        </is>
      </c>
      <c r="E837" s="34" t="inlineStr">
        <is>
          <t>Balans</t>
        </is>
      </c>
      <c r="F837" s="34" t="inlineStr"/>
      <c r="G837" s="35" t="n">
        <v>140</v>
      </c>
      <c r="H837" s="35" t="n">
        <v>0</v>
      </c>
      <c r="I837" s="35">
        <f>G837-H837</f>
        <v/>
      </c>
      <c r="J837" s="33" t="n">
        <v>2024</v>
      </c>
      <c r="K837" s="33" t="n">
        <v>2</v>
      </c>
      <c r="L837" s="34" t="inlineStr">
        <is>
          <t>Balans</t>
        </is>
      </c>
      <c r="M837" s="34" t="inlineStr">
        <is>
          <t>Liquide middelen</t>
        </is>
      </c>
      <c r="N837" s="34" t="inlineStr">
        <is>
          <t>Kas</t>
        </is>
      </c>
      <c r="O837" s="36">
        <f>IFERROR(INDEX('Mapping'!$F$2:$F$60,MATCH(B837,'Mapping'!$A$2:$A$60,0)),"")</f>
        <v/>
      </c>
    </row>
    <row r="838">
      <c r="A838" s="32" t="n">
        <v>45352</v>
      </c>
      <c r="B838" s="33" t="n">
        <v>1000</v>
      </c>
      <c r="C838" s="34" t="inlineStr">
        <is>
          <t>Kas</t>
        </is>
      </c>
      <c r="D838" s="34" t="inlineStr">
        <is>
          <t>Balans</t>
        </is>
      </c>
      <c r="E838" s="34" t="inlineStr">
        <is>
          <t>Balans</t>
        </is>
      </c>
      <c r="F838" s="34" t="inlineStr"/>
      <c r="G838" s="35" t="n">
        <v>176</v>
      </c>
      <c r="H838" s="35" t="n">
        <v>0</v>
      </c>
      <c r="I838" s="35">
        <f>G838-H838</f>
        <v/>
      </c>
      <c r="J838" s="33" t="n">
        <v>2024</v>
      </c>
      <c r="K838" s="33" t="n">
        <v>3</v>
      </c>
      <c r="L838" s="34" t="inlineStr">
        <is>
          <t>Balans</t>
        </is>
      </c>
      <c r="M838" s="34" t="inlineStr">
        <is>
          <t>Liquide middelen</t>
        </is>
      </c>
      <c r="N838" s="34" t="inlineStr">
        <is>
          <t>Kas</t>
        </is>
      </c>
      <c r="O838" s="36">
        <f>IFERROR(INDEX('Mapping'!$F$2:$F$60,MATCH(B838,'Mapping'!$A$2:$A$60,0)),"")</f>
        <v/>
      </c>
    </row>
    <row r="839">
      <c r="A839" s="32" t="n">
        <v>45383</v>
      </c>
      <c r="B839" s="33" t="n">
        <v>1000</v>
      </c>
      <c r="C839" s="34" t="inlineStr">
        <is>
          <t>Kas</t>
        </is>
      </c>
      <c r="D839" s="34" t="inlineStr">
        <is>
          <t>Balans</t>
        </is>
      </c>
      <c r="E839" s="34" t="inlineStr">
        <is>
          <t>Balans</t>
        </is>
      </c>
      <c r="F839" s="34" t="inlineStr"/>
      <c r="G839" s="35" t="n">
        <v>164</v>
      </c>
      <c r="H839" s="35" t="n">
        <v>0</v>
      </c>
      <c r="I839" s="35">
        <f>G839-H839</f>
        <v/>
      </c>
      <c r="J839" s="33" t="n">
        <v>2024</v>
      </c>
      <c r="K839" s="33" t="n">
        <v>4</v>
      </c>
      <c r="L839" s="34" t="inlineStr">
        <is>
          <t>Balans</t>
        </is>
      </c>
      <c r="M839" s="34" t="inlineStr">
        <is>
          <t>Liquide middelen</t>
        </is>
      </c>
      <c r="N839" s="34" t="inlineStr">
        <is>
          <t>Kas</t>
        </is>
      </c>
      <c r="O839" s="36">
        <f>IFERROR(INDEX('Mapping'!$F$2:$F$60,MATCH(B839,'Mapping'!$A$2:$A$60,0)),"")</f>
        <v/>
      </c>
    </row>
    <row r="840">
      <c r="A840" s="32" t="n">
        <v>45413</v>
      </c>
      <c r="B840" s="33" t="n">
        <v>1000</v>
      </c>
      <c r="C840" s="34" t="inlineStr">
        <is>
          <t>Kas</t>
        </is>
      </c>
      <c r="D840" s="34" t="inlineStr">
        <is>
          <t>Balans</t>
        </is>
      </c>
      <c r="E840" s="34" t="inlineStr">
        <is>
          <t>Balans</t>
        </is>
      </c>
      <c r="F840" s="34" t="inlineStr"/>
      <c r="G840" s="35" t="n">
        <v>172</v>
      </c>
      <c r="H840" s="35" t="n">
        <v>0</v>
      </c>
      <c r="I840" s="35">
        <f>G840-H840</f>
        <v/>
      </c>
      <c r="J840" s="33" t="n">
        <v>2024</v>
      </c>
      <c r="K840" s="33" t="n">
        <v>5</v>
      </c>
      <c r="L840" s="34" t="inlineStr">
        <is>
          <t>Balans</t>
        </is>
      </c>
      <c r="M840" s="34" t="inlineStr">
        <is>
          <t>Liquide middelen</t>
        </is>
      </c>
      <c r="N840" s="34" t="inlineStr">
        <is>
          <t>Kas</t>
        </is>
      </c>
      <c r="O840" s="36">
        <f>IFERROR(INDEX('Mapping'!$F$2:$F$60,MATCH(B840,'Mapping'!$A$2:$A$60,0)),"")</f>
        <v/>
      </c>
    </row>
    <row r="841">
      <c r="A841" s="32" t="n">
        <v>45444</v>
      </c>
      <c r="B841" s="33" t="n">
        <v>1000</v>
      </c>
      <c r="C841" s="34" t="inlineStr">
        <is>
          <t>Kas</t>
        </is>
      </c>
      <c r="D841" s="34" t="inlineStr">
        <is>
          <t>Balans</t>
        </is>
      </c>
      <c r="E841" s="34" t="inlineStr">
        <is>
          <t>Balans</t>
        </is>
      </c>
      <c r="F841" s="34" t="inlineStr"/>
      <c r="G841" s="35" t="n">
        <v>180</v>
      </c>
      <c r="H841" s="35" t="n">
        <v>0</v>
      </c>
      <c r="I841" s="35">
        <f>G841-H841</f>
        <v/>
      </c>
      <c r="J841" s="33" t="n">
        <v>2024</v>
      </c>
      <c r="K841" s="33" t="n">
        <v>6</v>
      </c>
      <c r="L841" s="34" t="inlineStr">
        <is>
          <t>Balans</t>
        </is>
      </c>
      <c r="M841" s="34" t="inlineStr">
        <is>
          <t>Liquide middelen</t>
        </is>
      </c>
      <c r="N841" s="34" t="inlineStr">
        <is>
          <t>Kas</t>
        </is>
      </c>
      <c r="O841" s="36">
        <f>IFERROR(INDEX('Mapping'!$F$2:$F$60,MATCH(B841,'Mapping'!$A$2:$A$60,0)),"")</f>
        <v/>
      </c>
    </row>
    <row r="842">
      <c r="A842" s="32" t="n">
        <v>45474</v>
      </c>
      <c r="B842" s="33" t="n">
        <v>1000</v>
      </c>
      <c r="C842" s="34" t="inlineStr">
        <is>
          <t>Kas</t>
        </is>
      </c>
      <c r="D842" s="34" t="inlineStr">
        <is>
          <t>Balans</t>
        </is>
      </c>
      <c r="E842" s="34" t="inlineStr">
        <is>
          <t>Balans</t>
        </is>
      </c>
      <c r="F842" s="34" t="inlineStr"/>
      <c r="G842" s="35" t="n">
        <v>152</v>
      </c>
      <c r="H842" s="35" t="n">
        <v>0</v>
      </c>
      <c r="I842" s="35">
        <f>G842-H842</f>
        <v/>
      </c>
      <c r="J842" s="33" t="n">
        <v>2024</v>
      </c>
      <c r="K842" s="33" t="n">
        <v>7</v>
      </c>
      <c r="L842" s="34" t="inlineStr">
        <is>
          <t>Balans</t>
        </is>
      </c>
      <c r="M842" s="34" t="inlineStr">
        <is>
          <t>Liquide middelen</t>
        </is>
      </c>
      <c r="N842" s="34" t="inlineStr">
        <is>
          <t>Kas</t>
        </is>
      </c>
      <c r="O842" s="36">
        <f>IFERROR(INDEX('Mapping'!$F$2:$F$60,MATCH(B842,'Mapping'!$A$2:$A$60,0)),"")</f>
        <v/>
      </c>
    </row>
    <row r="843">
      <c r="A843" s="32" t="n">
        <v>45505</v>
      </c>
      <c r="B843" s="33" t="n">
        <v>1000</v>
      </c>
      <c r="C843" s="34" t="inlineStr">
        <is>
          <t>Kas</t>
        </is>
      </c>
      <c r="D843" s="34" t="inlineStr">
        <is>
          <t>Balans</t>
        </is>
      </c>
      <c r="E843" s="34" t="inlineStr">
        <is>
          <t>Balans</t>
        </is>
      </c>
      <c r="F843" s="34" t="inlineStr"/>
      <c r="G843" s="35" t="n">
        <v>140</v>
      </c>
      <c r="H843" s="35" t="n">
        <v>0</v>
      </c>
      <c r="I843" s="35">
        <f>G843-H843</f>
        <v/>
      </c>
      <c r="J843" s="33" t="n">
        <v>2024</v>
      </c>
      <c r="K843" s="33" t="n">
        <v>8</v>
      </c>
      <c r="L843" s="34" t="inlineStr">
        <is>
          <t>Balans</t>
        </is>
      </c>
      <c r="M843" s="34" t="inlineStr">
        <is>
          <t>Liquide middelen</t>
        </is>
      </c>
      <c r="N843" s="34" t="inlineStr">
        <is>
          <t>Kas</t>
        </is>
      </c>
      <c r="O843" s="36">
        <f>IFERROR(INDEX('Mapping'!$F$2:$F$60,MATCH(B843,'Mapping'!$A$2:$A$60,0)),"")</f>
        <v/>
      </c>
    </row>
    <row r="844">
      <c r="A844" s="32" t="n">
        <v>45536</v>
      </c>
      <c r="B844" s="33" t="n">
        <v>1000</v>
      </c>
      <c r="C844" s="34" t="inlineStr">
        <is>
          <t>Kas</t>
        </is>
      </c>
      <c r="D844" s="34" t="inlineStr">
        <is>
          <t>Balans</t>
        </is>
      </c>
      <c r="E844" s="34" t="inlineStr">
        <is>
          <t>Balans</t>
        </is>
      </c>
      <c r="F844" s="34" t="inlineStr"/>
      <c r="G844" s="35" t="n">
        <v>176</v>
      </c>
      <c r="H844" s="35" t="n">
        <v>0</v>
      </c>
      <c r="I844" s="35">
        <f>G844-H844</f>
        <v/>
      </c>
      <c r="J844" s="33" t="n">
        <v>2024</v>
      </c>
      <c r="K844" s="33" t="n">
        <v>9</v>
      </c>
      <c r="L844" s="34" t="inlineStr">
        <is>
          <t>Balans</t>
        </is>
      </c>
      <c r="M844" s="34" t="inlineStr">
        <is>
          <t>Liquide middelen</t>
        </is>
      </c>
      <c r="N844" s="34" t="inlineStr">
        <is>
          <t>Kas</t>
        </is>
      </c>
      <c r="O844" s="36">
        <f>IFERROR(INDEX('Mapping'!$F$2:$F$60,MATCH(B844,'Mapping'!$A$2:$A$60,0)),"")</f>
        <v/>
      </c>
    </row>
    <row r="845">
      <c r="A845" s="32" t="n">
        <v>45566</v>
      </c>
      <c r="B845" s="33" t="n">
        <v>1000</v>
      </c>
      <c r="C845" s="34" t="inlineStr">
        <is>
          <t>Kas</t>
        </is>
      </c>
      <c r="D845" s="34" t="inlineStr">
        <is>
          <t>Balans</t>
        </is>
      </c>
      <c r="E845" s="34" t="inlineStr">
        <is>
          <t>Balans</t>
        </is>
      </c>
      <c r="F845" s="34" t="inlineStr"/>
      <c r="G845" s="35" t="n">
        <v>180</v>
      </c>
      <c r="H845" s="35" t="n">
        <v>0</v>
      </c>
      <c r="I845" s="35">
        <f>G845-H845</f>
        <v/>
      </c>
      <c r="J845" s="33" t="n">
        <v>2024</v>
      </c>
      <c r="K845" s="33" t="n">
        <v>10</v>
      </c>
      <c r="L845" s="34" t="inlineStr">
        <is>
          <t>Balans</t>
        </is>
      </c>
      <c r="M845" s="34" t="inlineStr">
        <is>
          <t>Liquide middelen</t>
        </is>
      </c>
      <c r="N845" s="34" t="inlineStr">
        <is>
          <t>Kas</t>
        </is>
      </c>
      <c r="O845" s="36">
        <f>IFERROR(INDEX('Mapping'!$F$2:$F$60,MATCH(B845,'Mapping'!$A$2:$A$60,0)),"")</f>
        <v/>
      </c>
    </row>
    <row r="846">
      <c r="A846" s="32" t="n">
        <v>45597</v>
      </c>
      <c r="B846" s="33" t="n">
        <v>1000</v>
      </c>
      <c r="C846" s="34" t="inlineStr">
        <is>
          <t>Kas</t>
        </is>
      </c>
      <c r="D846" s="34" t="inlineStr">
        <is>
          <t>Balans</t>
        </is>
      </c>
      <c r="E846" s="34" t="inlineStr">
        <is>
          <t>Balans</t>
        </is>
      </c>
      <c r="F846" s="34" t="inlineStr"/>
      <c r="G846" s="35" t="n">
        <v>172</v>
      </c>
      <c r="H846" s="35" t="n">
        <v>0</v>
      </c>
      <c r="I846" s="35">
        <f>G846-H846</f>
        <v/>
      </c>
      <c r="J846" s="33" t="n">
        <v>2024</v>
      </c>
      <c r="K846" s="33" t="n">
        <v>11</v>
      </c>
      <c r="L846" s="34" t="inlineStr">
        <is>
          <t>Balans</t>
        </is>
      </c>
      <c r="M846" s="34" t="inlineStr">
        <is>
          <t>Liquide middelen</t>
        </is>
      </c>
      <c r="N846" s="34" t="inlineStr">
        <is>
          <t>Kas</t>
        </is>
      </c>
      <c r="O846" s="36">
        <f>IFERROR(INDEX('Mapping'!$F$2:$F$60,MATCH(B846,'Mapping'!$A$2:$A$60,0)),"")</f>
        <v/>
      </c>
    </row>
    <row r="847">
      <c r="A847" s="32" t="n">
        <v>45627</v>
      </c>
      <c r="B847" s="33" t="n">
        <v>1000</v>
      </c>
      <c r="C847" s="34" t="inlineStr">
        <is>
          <t>Kas</t>
        </is>
      </c>
      <c r="D847" s="34" t="inlineStr">
        <is>
          <t>Balans</t>
        </is>
      </c>
      <c r="E847" s="34" t="inlineStr">
        <is>
          <t>Balans</t>
        </is>
      </c>
      <c r="F847" s="34" t="inlineStr"/>
      <c r="G847" s="35" t="n">
        <v>208</v>
      </c>
      <c r="H847" s="35" t="n">
        <v>0</v>
      </c>
      <c r="I847" s="35">
        <f>G847-H847</f>
        <v/>
      </c>
      <c r="J847" s="33" t="n">
        <v>2024</v>
      </c>
      <c r="K847" s="33" t="n">
        <v>12</v>
      </c>
      <c r="L847" s="34" t="inlineStr">
        <is>
          <t>Balans</t>
        </is>
      </c>
      <c r="M847" s="34" t="inlineStr">
        <is>
          <t>Liquide middelen</t>
        </is>
      </c>
      <c r="N847" s="34" t="inlineStr">
        <is>
          <t>Kas</t>
        </is>
      </c>
      <c r="O847" s="36">
        <f>IFERROR(INDEX('Mapping'!$F$2:$F$60,MATCH(B847,'Mapping'!$A$2:$A$60,0)),"")</f>
        <v/>
      </c>
    </row>
    <row r="848">
      <c r="A848" s="32" t="n">
        <v>45658</v>
      </c>
      <c r="B848" s="33" t="n">
        <v>1000</v>
      </c>
      <c r="C848" s="34" t="inlineStr">
        <is>
          <t>Kas (beginbalans)</t>
        </is>
      </c>
      <c r="D848" s="34" t="inlineStr">
        <is>
          <t>Balans</t>
        </is>
      </c>
      <c r="E848" s="34" t="inlineStr">
        <is>
          <t>Balans</t>
        </is>
      </c>
      <c r="F848" s="34" t="inlineStr"/>
      <c r="G848" s="35" t="n">
        <v>12000</v>
      </c>
      <c r="H848" s="35" t="n">
        <v>0</v>
      </c>
      <c r="I848" s="35">
        <f>G848-H848</f>
        <v/>
      </c>
      <c r="J848" s="33" t="n">
        <v>2025</v>
      </c>
      <c r="K848" s="33" t="n">
        <v>0</v>
      </c>
      <c r="L848" s="34" t="inlineStr">
        <is>
          <t>Balans</t>
        </is>
      </c>
      <c r="M848" s="34" t="inlineStr">
        <is>
          <t>Liquide middelen</t>
        </is>
      </c>
      <c r="N848" s="34" t="inlineStr">
        <is>
          <t>Kas</t>
        </is>
      </c>
      <c r="O848" s="36">
        <f>IFERROR(INDEX('Mapping'!$F$2:$F$60,MATCH(B848,'Mapping'!$A$2:$A$60,0)),"")</f>
        <v/>
      </c>
    </row>
    <row r="849">
      <c r="A849" s="32" t="n">
        <v>45658</v>
      </c>
      <c r="B849" s="33" t="n">
        <v>1000</v>
      </c>
      <c r="C849" s="34" t="inlineStr">
        <is>
          <t>Kas</t>
        </is>
      </c>
      <c r="D849" s="34" t="inlineStr">
        <is>
          <t>Balans</t>
        </is>
      </c>
      <c r="E849" s="34" t="inlineStr">
        <is>
          <t>Balans</t>
        </is>
      </c>
      <c r="F849" s="34" t="inlineStr"/>
      <c r="G849" s="35" t="n">
        <v>210</v>
      </c>
      <c r="H849" s="35" t="n">
        <v>0</v>
      </c>
      <c r="I849" s="35">
        <f>G849-H849</f>
        <v/>
      </c>
      <c r="J849" s="33" t="n">
        <v>2025</v>
      </c>
      <c r="K849" s="33" t="n">
        <v>1</v>
      </c>
      <c r="L849" s="34" t="inlineStr">
        <is>
          <t>Balans</t>
        </is>
      </c>
      <c r="M849" s="34" t="inlineStr">
        <is>
          <t>Liquide middelen</t>
        </is>
      </c>
      <c r="N849" s="34" t="inlineStr">
        <is>
          <t>Kas</t>
        </is>
      </c>
      <c r="O849" s="36">
        <f>IFERROR(INDEX('Mapping'!$F$2:$F$60,MATCH(B849,'Mapping'!$A$2:$A$60,0)),"")</f>
        <v/>
      </c>
    </row>
    <row r="850">
      <c r="A850" s="32" t="n">
        <v>45689</v>
      </c>
      <c r="B850" s="33" t="n">
        <v>1000</v>
      </c>
      <c r="C850" s="34" t="inlineStr">
        <is>
          <t>Kas</t>
        </is>
      </c>
      <c r="D850" s="34" t="inlineStr">
        <is>
          <t>Balans</t>
        </is>
      </c>
      <c r="E850" s="34" t="inlineStr">
        <is>
          <t>Balans</t>
        </is>
      </c>
      <c r="F850" s="34" t="inlineStr"/>
      <c r="G850" s="35" t="n">
        <v>210</v>
      </c>
      <c r="H850" s="35" t="n">
        <v>0</v>
      </c>
      <c r="I850" s="35">
        <f>G850-H850</f>
        <v/>
      </c>
      <c r="J850" s="33" t="n">
        <v>2025</v>
      </c>
      <c r="K850" s="33" t="n">
        <v>2</v>
      </c>
      <c r="L850" s="34" t="inlineStr">
        <is>
          <t>Balans</t>
        </is>
      </c>
      <c r="M850" s="34" t="inlineStr">
        <is>
          <t>Liquide middelen</t>
        </is>
      </c>
      <c r="N850" s="34" t="inlineStr">
        <is>
          <t>Kas</t>
        </is>
      </c>
      <c r="O850" s="36">
        <f>IFERROR(INDEX('Mapping'!$F$2:$F$60,MATCH(B850,'Mapping'!$A$2:$A$60,0)),"")</f>
        <v/>
      </c>
    </row>
    <row r="851">
      <c r="A851" s="32" t="n">
        <v>45717</v>
      </c>
      <c r="B851" s="33" t="n">
        <v>1000</v>
      </c>
      <c r="C851" s="34" t="inlineStr">
        <is>
          <t>Kas</t>
        </is>
      </c>
      <c r="D851" s="34" t="inlineStr">
        <is>
          <t>Balans</t>
        </is>
      </c>
      <c r="E851" s="34" t="inlineStr">
        <is>
          <t>Balans</t>
        </is>
      </c>
      <c r="F851" s="34" t="inlineStr"/>
      <c r="G851" s="35" t="n">
        <v>264</v>
      </c>
      <c r="H851" s="35" t="n">
        <v>0</v>
      </c>
      <c r="I851" s="35">
        <f>G851-H851</f>
        <v/>
      </c>
      <c r="J851" s="33" t="n">
        <v>2025</v>
      </c>
      <c r="K851" s="33" t="n">
        <v>3</v>
      </c>
      <c r="L851" s="34" t="inlineStr">
        <is>
          <t>Balans</t>
        </is>
      </c>
      <c r="M851" s="34" t="inlineStr">
        <is>
          <t>Liquide middelen</t>
        </is>
      </c>
      <c r="N851" s="34" t="inlineStr">
        <is>
          <t>Kas</t>
        </is>
      </c>
      <c r="O851" s="36">
        <f>IFERROR(INDEX('Mapping'!$F$2:$F$60,MATCH(B851,'Mapping'!$A$2:$A$60,0)),"")</f>
        <v/>
      </c>
    </row>
    <row r="852">
      <c r="A852" s="32" t="n">
        <v>45748</v>
      </c>
      <c r="B852" s="33" t="n">
        <v>1000</v>
      </c>
      <c r="C852" s="34" t="inlineStr">
        <is>
          <t>Kas</t>
        </is>
      </c>
      <c r="D852" s="34" t="inlineStr">
        <is>
          <t>Balans</t>
        </is>
      </c>
      <c r="E852" s="34" t="inlineStr">
        <is>
          <t>Balans</t>
        </is>
      </c>
      <c r="F852" s="34" t="inlineStr"/>
      <c r="G852" s="35" t="n">
        <v>246</v>
      </c>
      <c r="H852" s="35" t="n">
        <v>0</v>
      </c>
      <c r="I852" s="35">
        <f>G852-H852</f>
        <v/>
      </c>
      <c r="J852" s="33" t="n">
        <v>2025</v>
      </c>
      <c r="K852" s="33" t="n">
        <v>4</v>
      </c>
      <c r="L852" s="34" t="inlineStr">
        <is>
          <t>Balans</t>
        </is>
      </c>
      <c r="M852" s="34" t="inlineStr">
        <is>
          <t>Liquide middelen</t>
        </is>
      </c>
      <c r="N852" s="34" t="inlineStr">
        <is>
          <t>Kas</t>
        </is>
      </c>
      <c r="O852" s="36">
        <f>IFERROR(INDEX('Mapping'!$F$2:$F$60,MATCH(B852,'Mapping'!$A$2:$A$60,0)),"")</f>
        <v/>
      </c>
    </row>
    <row r="853">
      <c r="A853" s="32" t="n">
        <v>45778</v>
      </c>
      <c r="B853" s="33" t="n">
        <v>1000</v>
      </c>
      <c r="C853" s="34" t="inlineStr">
        <is>
          <t>Kas</t>
        </is>
      </c>
      <c r="D853" s="34" t="inlineStr">
        <is>
          <t>Balans</t>
        </is>
      </c>
      <c r="E853" s="34" t="inlineStr">
        <is>
          <t>Balans</t>
        </is>
      </c>
      <c r="F853" s="34" t="inlineStr"/>
      <c r="G853" s="35" t="n">
        <v>258</v>
      </c>
      <c r="H853" s="35" t="n">
        <v>0</v>
      </c>
      <c r="I853" s="35">
        <f>G853-H853</f>
        <v/>
      </c>
      <c r="J853" s="33" t="n">
        <v>2025</v>
      </c>
      <c r="K853" s="33" t="n">
        <v>5</v>
      </c>
      <c r="L853" s="34" t="inlineStr">
        <is>
          <t>Balans</t>
        </is>
      </c>
      <c r="M853" s="34" t="inlineStr">
        <is>
          <t>Liquide middelen</t>
        </is>
      </c>
      <c r="N853" s="34" t="inlineStr">
        <is>
          <t>Kas</t>
        </is>
      </c>
      <c r="O853" s="36">
        <f>IFERROR(INDEX('Mapping'!$F$2:$F$60,MATCH(B853,'Mapping'!$A$2:$A$60,0)),"")</f>
        <v/>
      </c>
    </row>
    <row r="854">
      <c r="A854" s="32" t="n">
        <v>45809</v>
      </c>
      <c r="B854" s="33" t="n">
        <v>1000</v>
      </c>
      <c r="C854" s="34" t="inlineStr">
        <is>
          <t>Kas</t>
        </is>
      </c>
      <c r="D854" s="34" t="inlineStr">
        <is>
          <t>Balans</t>
        </is>
      </c>
      <c r="E854" s="34" t="inlineStr">
        <is>
          <t>Balans</t>
        </is>
      </c>
      <c r="F854" s="34" t="inlineStr"/>
      <c r="G854" s="35" t="n">
        <v>270</v>
      </c>
      <c r="H854" s="35" t="n">
        <v>0</v>
      </c>
      <c r="I854" s="35">
        <f>G854-H854</f>
        <v/>
      </c>
      <c r="J854" s="33" t="n">
        <v>2025</v>
      </c>
      <c r="K854" s="33" t="n">
        <v>6</v>
      </c>
      <c r="L854" s="34" t="inlineStr">
        <is>
          <t>Balans</t>
        </is>
      </c>
      <c r="M854" s="34" t="inlineStr">
        <is>
          <t>Liquide middelen</t>
        </is>
      </c>
      <c r="N854" s="34" t="inlineStr">
        <is>
          <t>Kas</t>
        </is>
      </c>
      <c r="O854" s="36">
        <f>IFERROR(INDEX('Mapping'!$F$2:$F$60,MATCH(B854,'Mapping'!$A$2:$A$60,0)),"")</f>
        <v/>
      </c>
    </row>
    <row r="855">
      <c r="A855" s="32" t="n">
        <v>45839</v>
      </c>
      <c r="B855" s="33" t="n">
        <v>1000</v>
      </c>
      <c r="C855" s="34" t="inlineStr">
        <is>
          <t>Kas</t>
        </is>
      </c>
      <c r="D855" s="34" t="inlineStr">
        <is>
          <t>Balans</t>
        </is>
      </c>
      <c r="E855" s="34" t="inlineStr">
        <is>
          <t>Balans</t>
        </is>
      </c>
      <c r="F855" s="34" t="inlineStr"/>
      <c r="G855" s="35" t="n">
        <v>228</v>
      </c>
      <c r="H855" s="35" t="n">
        <v>0</v>
      </c>
      <c r="I855" s="35">
        <f>G855-H855</f>
        <v/>
      </c>
      <c r="J855" s="33" t="n">
        <v>2025</v>
      </c>
      <c r="K855" s="33" t="n">
        <v>7</v>
      </c>
      <c r="L855" s="34" t="inlineStr">
        <is>
          <t>Balans</t>
        </is>
      </c>
      <c r="M855" s="34" t="inlineStr">
        <is>
          <t>Liquide middelen</t>
        </is>
      </c>
      <c r="N855" s="34" t="inlineStr">
        <is>
          <t>Kas</t>
        </is>
      </c>
      <c r="O855" s="36">
        <f>IFERROR(INDEX('Mapping'!$F$2:$F$60,MATCH(B855,'Mapping'!$A$2:$A$60,0)),"")</f>
        <v/>
      </c>
    </row>
    <row r="856">
      <c r="A856" s="32" t="n">
        <v>45870</v>
      </c>
      <c r="B856" s="33" t="n">
        <v>1000</v>
      </c>
      <c r="C856" s="34" t="inlineStr">
        <is>
          <t>Kas</t>
        </is>
      </c>
      <c r="D856" s="34" t="inlineStr">
        <is>
          <t>Balans</t>
        </is>
      </c>
      <c r="E856" s="34" t="inlineStr">
        <is>
          <t>Balans</t>
        </is>
      </c>
      <c r="F856" s="34" t="inlineStr"/>
      <c r="G856" s="35" t="n">
        <v>210</v>
      </c>
      <c r="H856" s="35" t="n">
        <v>0</v>
      </c>
      <c r="I856" s="35">
        <f>G856-H856</f>
        <v/>
      </c>
      <c r="J856" s="33" t="n">
        <v>2025</v>
      </c>
      <c r="K856" s="33" t="n">
        <v>8</v>
      </c>
      <c r="L856" s="34" t="inlineStr">
        <is>
          <t>Balans</t>
        </is>
      </c>
      <c r="M856" s="34" t="inlineStr">
        <is>
          <t>Liquide middelen</t>
        </is>
      </c>
      <c r="N856" s="34" t="inlineStr">
        <is>
          <t>Kas</t>
        </is>
      </c>
      <c r="O856" s="36">
        <f>IFERROR(INDEX('Mapping'!$F$2:$F$60,MATCH(B856,'Mapping'!$A$2:$A$60,0)),"")</f>
        <v/>
      </c>
    </row>
    <row r="857">
      <c r="A857" s="32" t="n">
        <v>45901</v>
      </c>
      <c r="B857" s="33" t="n">
        <v>1000</v>
      </c>
      <c r="C857" s="34" t="inlineStr">
        <is>
          <t>Kas</t>
        </is>
      </c>
      <c r="D857" s="34" t="inlineStr">
        <is>
          <t>Balans</t>
        </is>
      </c>
      <c r="E857" s="34" t="inlineStr">
        <is>
          <t>Balans</t>
        </is>
      </c>
      <c r="F857" s="34" t="inlineStr"/>
      <c r="G857" s="35" t="n">
        <v>264</v>
      </c>
      <c r="H857" s="35" t="n">
        <v>0</v>
      </c>
      <c r="I857" s="35">
        <f>G857-H857</f>
        <v/>
      </c>
      <c r="J857" s="33" t="n">
        <v>2025</v>
      </c>
      <c r="K857" s="33" t="n">
        <v>9</v>
      </c>
      <c r="L857" s="34" t="inlineStr">
        <is>
          <t>Balans</t>
        </is>
      </c>
      <c r="M857" s="34" t="inlineStr">
        <is>
          <t>Liquide middelen</t>
        </is>
      </c>
      <c r="N857" s="34" t="inlineStr">
        <is>
          <t>Kas</t>
        </is>
      </c>
      <c r="O857" s="36">
        <f>IFERROR(INDEX('Mapping'!$F$2:$F$60,MATCH(B857,'Mapping'!$A$2:$A$60,0)),"")</f>
        <v/>
      </c>
    </row>
    <row r="858">
      <c r="A858" s="32" t="n">
        <v>45931</v>
      </c>
      <c r="B858" s="33" t="n">
        <v>1000</v>
      </c>
      <c r="C858" s="34" t="inlineStr">
        <is>
          <t>Kas</t>
        </is>
      </c>
      <c r="D858" s="34" t="inlineStr">
        <is>
          <t>Balans</t>
        </is>
      </c>
      <c r="E858" s="34" t="inlineStr">
        <is>
          <t>Balans</t>
        </is>
      </c>
      <c r="F858" s="34" t="inlineStr"/>
      <c r="G858" s="35" t="n">
        <v>270</v>
      </c>
      <c r="H858" s="35" t="n">
        <v>0</v>
      </c>
      <c r="I858" s="35">
        <f>G858-H858</f>
        <v/>
      </c>
      <c r="J858" s="33" t="n">
        <v>2025</v>
      </c>
      <c r="K858" s="33" t="n">
        <v>10</v>
      </c>
      <c r="L858" s="34" t="inlineStr">
        <is>
          <t>Balans</t>
        </is>
      </c>
      <c r="M858" s="34" t="inlineStr">
        <is>
          <t>Liquide middelen</t>
        </is>
      </c>
      <c r="N858" s="34" t="inlineStr">
        <is>
          <t>Kas</t>
        </is>
      </c>
      <c r="O858" s="36">
        <f>IFERROR(INDEX('Mapping'!$F$2:$F$60,MATCH(B858,'Mapping'!$A$2:$A$60,0)),"")</f>
        <v/>
      </c>
    </row>
    <row r="859">
      <c r="A859" s="32" t="n">
        <v>45962</v>
      </c>
      <c r="B859" s="33" t="n">
        <v>1000</v>
      </c>
      <c r="C859" s="34" t="inlineStr">
        <is>
          <t>Kas</t>
        </is>
      </c>
      <c r="D859" s="34" t="inlineStr">
        <is>
          <t>Balans</t>
        </is>
      </c>
      <c r="E859" s="34" t="inlineStr">
        <is>
          <t>Balans</t>
        </is>
      </c>
      <c r="F859" s="34" t="inlineStr"/>
      <c r="G859" s="35" t="n">
        <v>258</v>
      </c>
      <c r="H859" s="35" t="n">
        <v>0</v>
      </c>
      <c r="I859" s="35">
        <f>G859-H859</f>
        <v/>
      </c>
      <c r="J859" s="33" t="n">
        <v>2025</v>
      </c>
      <c r="K859" s="33" t="n">
        <v>11</v>
      </c>
      <c r="L859" s="34" t="inlineStr">
        <is>
          <t>Balans</t>
        </is>
      </c>
      <c r="M859" s="34" t="inlineStr">
        <is>
          <t>Liquide middelen</t>
        </is>
      </c>
      <c r="N859" s="34" t="inlineStr">
        <is>
          <t>Kas</t>
        </is>
      </c>
      <c r="O859" s="36">
        <f>IFERROR(INDEX('Mapping'!$F$2:$F$60,MATCH(B859,'Mapping'!$A$2:$A$60,0)),"")</f>
        <v/>
      </c>
    </row>
    <row r="860">
      <c r="A860" s="32" t="n">
        <v>45992</v>
      </c>
      <c r="B860" s="33" t="n">
        <v>1000</v>
      </c>
      <c r="C860" s="34" t="inlineStr">
        <is>
          <t>Kas</t>
        </is>
      </c>
      <c r="D860" s="34" t="inlineStr">
        <is>
          <t>Balans</t>
        </is>
      </c>
      <c r="E860" s="34" t="inlineStr">
        <is>
          <t>Balans</t>
        </is>
      </c>
      <c r="F860" s="34" t="inlineStr"/>
      <c r="G860" s="35" t="n">
        <v>312</v>
      </c>
      <c r="H860" s="35" t="n">
        <v>0</v>
      </c>
      <c r="I860" s="35">
        <f>G860-H860</f>
        <v/>
      </c>
      <c r="J860" s="33" t="n">
        <v>2025</v>
      </c>
      <c r="K860" s="33" t="n">
        <v>12</v>
      </c>
      <c r="L860" s="34" t="inlineStr">
        <is>
          <t>Balans</t>
        </is>
      </c>
      <c r="M860" s="34" t="inlineStr">
        <is>
          <t>Liquide middelen</t>
        </is>
      </c>
      <c r="N860" s="34" t="inlineStr">
        <is>
          <t>Kas</t>
        </is>
      </c>
      <c r="O860" s="36">
        <f>IFERROR(INDEX('Mapping'!$F$2:$F$60,MATCH(B860,'Mapping'!$A$2:$A$60,0)),"")</f>
        <v/>
      </c>
    </row>
    <row r="861">
      <c r="A861" s="32" t="n">
        <v>45292</v>
      </c>
      <c r="B861" s="33" t="n">
        <v>500</v>
      </c>
      <c r="C861" s="34" t="inlineStr">
        <is>
          <t>Eigen vermogen (beginbalans)</t>
        </is>
      </c>
      <c r="D861" s="34" t="inlineStr">
        <is>
          <t>Balans</t>
        </is>
      </c>
      <c r="E861" s="34" t="inlineStr">
        <is>
          <t>Balans</t>
        </is>
      </c>
      <c r="F861" s="34" t="inlineStr"/>
      <c r="G861" s="35" t="n">
        <v>0</v>
      </c>
      <c r="H861" s="35" t="n">
        <v>458000</v>
      </c>
      <c r="I861" s="35">
        <f>G861-H861</f>
        <v/>
      </c>
      <c r="J861" s="33" t="n">
        <v>2024</v>
      </c>
      <c r="K861" s="33" t="n">
        <v>0</v>
      </c>
      <c r="L861" s="34" t="inlineStr">
        <is>
          <t>Balans</t>
        </is>
      </c>
      <c r="M861" s="34" t="inlineStr">
        <is>
          <t>Eigen vermogen</t>
        </is>
      </c>
      <c r="N861" s="34" t="inlineStr">
        <is>
          <t>Kapitaal</t>
        </is>
      </c>
      <c r="O861" s="36">
        <f>IFERROR(INDEX('Mapping'!$F$2:$F$60,MATCH(B861,'Mapping'!$A$2:$A$60,0)),"")</f>
        <v/>
      </c>
    </row>
    <row r="862">
      <c r="A862" s="32" t="n">
        <v>45292</v>
      </c>
      <c r="B862" s="33" t="n">
        <v>500</v>
      </c>
      <c r="C862" s="34" t="inlineStr">
        <is>
          <t>Eigen vermogen</t>
        </is>
      </c>
      <c r="D862" s="34" t="inlineStr">
        <is>
          <t>Balans</t>
        </is>
      </c>
      <c r="E862" s="34" t="inlineStr">
        <is>
          <t>Balans</t>
        </is>
      </c>
      <c r="F862" s="34" t="inlineStr"/>
      <c r="G862" s="35" t="n">
        <v>0</v>
      </c>
      <c r="H862" s="35" t="n">
        <v>8890</v>
      </c>
      <c r="I862" s="35">
        <f>G862-H862</f>
        <v/>
      </c>
      <c r="J862" s="33" t="n">
        <v>2024</v>
      </c>
      <c r="K862" s="33" t="n">
        <v>1</v>
      </c>
      <c r="L862" s="34" t="inlineStr">
        <is>
          <t>Balans</t>
        </is>
      </c>
      <c r="M862" s="34" t="inlineStr">
        <is>
          <t>Eigen vermogen</t>
        </is>
      </c>
      <c r="N862" s="34" t="inlineStr">
        <is>
          <t>Kapitaal</t>
        </is>
      </c>
      <c r="O862" s="36">
        <f>IFERROR(INDEX('Mapping'!$F$2:$F$60,MATCH(B862,'Mapping'!$A$2:$A$60,0)),"")</f>
        <v/>
      </c>
    </row>
    <row r="863">
      <c r="A863" s="32" t="n">
        <v>45323</v>
      </c>
      <c r="B863" s="33" t="n">
        <v>500</v>
      </c>
      <c r="C863" s="34" t="inlineStr">
        <is>
          <t>Eigen vermogen</t>
        </is>
      </c>
      <c r="D863" s="34" t="inlineStr">
        <is>
          <t>Balans</t>
        </is>
      </c>
      <c r="E863" s="34" t="inlineStr">
        <is>
          <t>Balans</t>
        </is>
      </c>
      <c r="F863" s="34" t="inlineStr"/>
      <c r="G863" s="35" t="n">
        <v>0</v>
      </c>
      <c r="H863" s="35" t="n">
        <v>8890</v>
      </c>
      <c r="I863" s="35">
        <f>G863-H863</f>
        <v/>
      </c>
      <c r="J863" s="33" t="n">
        <v>2024</v>
      </c>
      <c r="K863" s="33" t="n">
        <v>2</v>
      </c>
      <c r="L863" s="34" t="inlineStr">
        <is>
          <t>Balans</t>
        </is>
      </c>
      <c r="M863" s="34" t="inlineStr">
        <is>
          <t>Eigen vermogen</t>
        </is>
      </c>
      <c r="N863" s="34" t="inlineStr">
        <is>
          <t>Kapitaal</t>
        </is>
      </c>
      <c r="O863" s="36">
        <f>IFERROR(INDEX('Mapping'!$F$2:$F$60,MATCH(B863,'Mapping'!$A$2:$A$60,0)),"")</f>
        <v/>
      </c>
    </row>
    <row r="864">
      <c r="A864" s="32" t="n">
        <v>45352</v>
      </c>
      <c r="B864" s="33" t="n">
        <v>500</v>
      </c>
      <c r="C864" s="34" t="inlineStr">
        <is>
          <t>Eigen vermogen</t>
        </is>
      </c>
      <c r="D864" s="34" t="inlineStr">
        <is>
          <t>Balans</t>
        </is>
      </c>
      <c r="E864" s="34" t="inlineStr">
        <is>
          <t>Balans</t>
        </is>
      </c>
      <c r="F864" s="34" t="inlineStr"/>
      <c r="G864" s="35" t="n">
        <v>0</v>
      </c>
      <c r="H864" s="35" t="n">
        <v>11176</v>
      </c>
      <c r="I864" s="35">
        <f>G864-H864</f>
        <v/>
      </c>
      <c r="J864" s="33" t="n">
        <v>2024</v>
      </c>
      <c r="K864" s="33" t="n">
        <v>3</v>
      </c>
      <c r="L864" s="34" t="inlineStr">
        <is>
          <t>Balans</t>
        </is>
      </c>
      <c r="M864" s="34" t="inlineStr">
        <is>
          <t>Eigen vermogen</t>
        </is>
      </c>
      <c r="N864" s="34" t="inlineStr">
        <is>
          <t>Kapitaal</t>
        </is>
      </c>
      <c r="O864" s="36">
        <f>IFERROR(INDEX('Mapping'!$F$2:$F$60,MATCH(B864,'Mapping'!$A$2:$A$60,0)),"")</f>
        <v/>
      </c>
    </row>
    <row r="865">
      <c r="A865" s="32" t="n">
        <v>45383</v>
      </c>
      <c r="B865" s="33" t="n">
        <v>500</v>
      </c>
      <c r="C865" s="34" t="inlineStr">
        <is>
          <t>Eigen vermogen</t>
        </is>
      </c>
      <c r="D865" s="34" t="inlineStr">
        <is>
          <t>Balans</t>
        </is>
      </c>
      <c r="E865" s="34" t="inlineStr">
        <is>
          <t>Balans</t>
        </is>
      </c>
      <c r="F865" s="34" t="inlineStr"/>
      <c r="G865" s="35" t="n">
        <v>0</v>
      </c>
      <c r="H865" s="35" t="n">
        <v>10414</v>
      </c>
      <c r="I865" s="35">
        <f>G865-H865</f>
        <v/>
      </c>
      <c r="J865" s="33" t="n">
        <v>2024</v>
      </c>
      <c r="K865" s="33" t="n">
        <v>4</v>
      </c>
      <c r="L865" s="34" t="inlineStr">
        <is>
          <t>Balans</t>
        </is>
      </c>
      <c r="M865" s="34" t="inlineStr">
        <is>
          <t>Eigen vermogen</t>
        </is>
      </c>
      <c r="N865" s="34" t="inlineStr">
        <is>
          <t>Kapitaal</t>
        </is>
      </c>
      <c r="O865" s="36">
        <f>IFERROR(INDEX('Mapping'!$F$2:$F$60,MATCH(B865,'Mapping'!$A$2:$A$60,0)),"")</f>
        <v/>
      </c>
    </row>
    <row r="866">
      <c r="A866" s="32" t="n">
        <v>45413</v>
      </c>
      <c r="B866" s="33" t="n">
        <v>500</v>
      </c>
      <c r="C866" s="34" t="inlineStr">
        <is>
          <t>Eigen vermogen</t>
        </is>
      </c>
      <c r="D866" s="34" t="inlineStr">
        <is>
          <t>Balans</t>
        </is>
      </c>
      <c r="E866" s="34" t="inlineStr">
        <is>
          <t>Balans</t>
        </is>
      </c>
      <c r="F866" s="34" t="inlineStr"/>
      <c r="G866" s="35" t="n">
        <v>0</v>
      </c>
      <c r="H866" s="35" t="n">
        <v>10922</v>
      </c>
      <c r="I866" s="35">
        <f>G866-H866</f>
        <v/>
      </c>
      <c r="J866" s="33" t="n">
        <v>2024</v>
      </c>
      <c r="K866" s="33" t="n">
        <v>5</v>
      </c>
      <c r="L866" s="34" t="inlineStr">
        <is>
          <t>Balans</t>
        </is>
      </c>
      <c r="M866" s="34" t="inlineStr">
        <is>
          <t>Eigen vermogen</t>
        </is>
      </c>
      <c r="N866" s="34" t="inlineStr">
        <is>
          <t>Kapitaal</t>
        </is>
      </c>
      <c r="O866" s="36">
        <f>IFERROR(INDEX('Mapping'!$F$2:$F$60,MATCH(B866,'Mapping'!$A$2:$A$60,0)),"")</f>
        <v/>
      </c>
    </row>
    <row r="867">
      <c r="A867" s="32" t="n">
        <v>45444</v>
      </c>
      <c r="B867" s="33" t="n">
        <v>500</v>
      </c>
      <c r="C867" s="34" t="inlineStr">
        <is>
          <t>Eigen vermogen</t>
        </is>
      </c>
      <c r="D867" s="34" t="inlineStr">
        <is>
          <t>Balans</t>
        </is>
      </c>
      <c r="E867" s="34" t="inlineStr">
        <is>
          <t>Balans</t>
        </is>
      </c>
      <c r="F867" s="34" t="inlineStr"/>
      <c r="G867" s="35" t="n">
        <v>0</v>
      </c>
      <c r="H867" s="35" t="n">
        <v>11430</v>
      </c>
      <c r="I867" s="35">
        <f>G867-H867</f>
        <v/>
      </c>
      <c r="J867" s="33" t="n">
        <v>2024</v>
      </c>
      <c r="K867" s="33" t="n">
        <v>6</v>
      </c>
      <c r="L867" s="34" t="inlineStr">
        <is>
          <t>Balans</t>
        </is>
      </c>
      <c r="M867" s="34" t="inlineStr">
        <is>
          <t>Eigen vermogen</t>
        </is>
      </c>
      <c r="N867" s="34" t="inlineStr">
        <is>
          <t>Kapitaal</t>
        </is>
      </c>
      <c r="O867" s="36">
        <f>IFERROR(INDEX('Mapping'!$F$2:$F$60,MATCH(B867,'Mapping'!$A$2:$A$60,0)),"")</f>
        <v/>
      </c>
    </row>
    <row r="868">
      <c r="A868" s="32" t="n">
        <v>45474</v>
      </c>
      <c r="B868" s="33" t="n">
        <v>500</v>
      </c>
      <c r="C868" s="34" t="inlineStr">
        <is>
          <t>Eigen vermogen</t>
        </is>
      </c>
      <c r="D868" s="34" t="inlineStr">
        <is>
          <t>Balans</t>
        </is>
      </c>
      <c r="E868" s="34" t="inlineStr">
        <is>
          <t>Balans</t>
        </is>
      </c>
      <c r="F868" s="34" t="inlineStr"/>
      <c r="G868" s="35" t="n">
        <v>0</v>
      </c>
      <c r="H868" s="35" t="n">
        <v>9652</v>
      </c>
      <c r="I868" s="35">
        <f>G868-H868</f>
        <v/>
      </c>
      <c r="J868" s="33" t="n">
        <v>2024</v>
      </c>
      <c r="K868" s="33" t="n">
        <v>7</v>
      </c>
      <c r="L868" s="34" t="inlineStr">
        <is>
          <t>Balans</t>
        </is>
      </c>
      <c r="M868" s="34" t="inlineStr">
        <is>
          <t>Eigen vermogen</t>
        </is>
      </c>
      <c r="N868" s="34" t="inlineStr">
        <is>
          <t>Kapitaal</t>
        </is>
      </c>
      <c r="O868" s="36">
        <f>IFERROR(INDEX('Mapping'!$F$2:$F$60,MATCH(B868,'Mapping'!$A$2:$A$60,0)),"")</f>
        <v/>
      </c>
    </row>
    <row r="869">
      <c r="A869" s="32" t="n">
        <v>45505</v>
      </c>
      <c r="B869" s="33" t="n">
        <v>500</v>
      </c>
      <c r="C869" s="34" t="inlineStr">
        <is>
          <t>Eigen vermogen</t>
        </is>
      </c>
      <c r="D869" s="34" t="inlineStr">
        <is>
          <t>Balans</t>
        </is>
      </c>
      <c r="E869" s="34" t="inlineStr">
        <is>
          <t>Balans</t>
        </is>
      </c>
      <c r="F869" s="34" t="inlineStr"/>
      <c r="G869" s="35" t="n">
        <v>0</v>
      </c>
      <c r="H869" s="35" t="n">
        <v>8890</v>
      </c>
      <c r="I869" s="35">
        <f>G869-H869</f>
        <v/>
      </c>
      <c r="J869" s="33" t="n">
        <v>2024</v>
      </c>
      <c r="K869" s="33" t="n">
        <v>8</v>
      </c>
      <c r="L869" s="34" t="inlineStr">
        <is>
          <t>Balans</t>
        </is>
      </c>
      <c r="M869" s="34" t="inlineStr">
        <is>
          <t>Eigen vermogen</t>
        </is>
      </c>
      <c r="N869" s="34" t="inlineStr">
        <is>
          <t>Kapitaal</t>
        </is>
      </c>
      <c r="O869" s="36">
        <f>IFERROR(INDEX('Mapping'!$F$2:$F$60,MATCH(B869,'Mapping'!$A$2:$A$60,0)),"")</f>
        <v/>
      </c>
    </row>
    <row r="870">
      <c r="A870" s="32" t="n">
        <v>45536</v>
      </c>
      <c r="B870" s="33" t="n">
        <v>500</v>
      </c>
      <c r="C870" s="34" t="inlineStr">
        <is>
          <t>Eigen vermogen</t>
        </is>
      </c>
      <c r="D870" s="34" t="inlineStr">
        <is>
          <t>Balans</t>
        </is>
      </c>
      <c r="E870" s="34" t="inlineStr">
        <is>
          <t>Balans</t>
        </is>
      </c>
      <c r="F870" s="34" t="inlineStr"/>
      <c r="G870" s="35" t="n">
        <v>0</v>
      </c>
      <c r="H870" s="35" t="n">
        <v>11176</v>
      </c>
      <c r="I870" s="35">
        <f>G870-H870</f>
        <v/>
      </c>
      <c r="J870" s="33" t="n">
        <v>2024</v>
      </c>
      <c r="K870" s="33" t="n">
        <v>9</v>
      </c>
      <c r="L870" s="34" t="inlineStr">
        <is>
          <t>Balans</t>
        </is>
      </c>
      <c r="M870" s="34" t="inlineStr">
        <is>
          <t>Eigen vermogen</t>
        </is>
      </c>
      <c r="N870" s="34" t="inlineStr">
        <is>
          <t>Kapitaal</t>
        </is>
      </c>
      <c r="O870" s="36">
        <f>IFERROR(INDEX('Mapping'!$F$2:$F$60,MATCH(B870,'Mapping'!$A$2:$A$60,0)),"")</f>
        <v/>
      </c>
    </row>
    <row r="871">
      <c r="A871" s="32" t="n">
        <v>45566</v>
      </c>
      <c r="B871" s="33" t="n">
        <v>500</v>
      </c>
      <c r="C871" s="34" t="inlineStr">
        <is>
          <t>Eigen vermogen</t>
        </is>
      </c>
      <c r="D871" s="34" t="inlineStr">
        <is>
          <t>Balans</t>
        </is>
      </c>
      <c r="E871" s="34" t="inlineStr">
        <is>
          <t>Balans</t>
        </is>
      </c>
      <c r="F871" s="34" t="inlineStr"/>
      <c r="G871" s="35" t="n">
        <v>0</v>
      </c>
      <c r="H871" s="35" t="n">
        <v>11430</v>
      </c>
      <c r="I871" s="35">
        <f>G871-H871</f>
        <v/>
      </c>
      <c r="J871" s="33" t="n">
        <v>2024</v>
      </c>
      <c r="K871" s="33" t="n">
        <v>10</v>
      </c>
      <c r="L871" s="34" t="inlineStr">
        <is>
          <t>Balans</t>
        </is>
      </c>
      <c r="M871" s="34" t="inlineStr">
        <is>
          <t>Eigen vermogen</t>
        </is>
      </c>
      <c r="N871" s="34" t="inlineStr">
        <is>
          <t>Kapitaal</t>
        </is>
      </c>
      <c r="O871" s="36">
        <f>IFERROR(INDEX('Mapping'!$F$2:$F$60,MATCH(B871,'Mapping'!$A$2:$A$60,0)),"")</f>
        <v/>
      </c>
    </row>
    <row r="872">
      <c r="A872" s="32" t="n">
        <v>45597</v>
      </c>
      <c r="B872" s="33" t="n">
        <v>500</v>
      </c>
      <c r="C872" s="34" t="inlineStr">
        <is>
          <t>Eigen vermogen</t>
        </is>
      </c>
      <c r="D872" s="34" t="inlineStr">
        <is>
          <t>Balans</t>
        </is>
      </c>
      <c r="E872" s="34" t="inlineStr">
        <is>
          <t>Balans</t>
        </is>
      </c>
      <c r="F872" s="34" t="inlineStr"/>
      <c r="G872" s="35" t="n">
        <v>0</v>
      </c>
      <c r="H872" s="35" t="n">
        <v>10922</v>
      </c>
      <c r="I872" s="35">
        <f>G872-H872</f>
        <v/>
      </c>
      <c r="J872" s="33" t="n">
        <v>2024</v>
      </c>
      <c r="K872" s="33" t="n">
        <v>11</v>
      </c>
      <c r="L872" s="34" t="inlineStr">
        <is>
          <t>Balans</t>
        </is>
      </c>
      <c r="M872" s="34" t="inlineStr">
        <is>
          <t>Eigen vermogen</t>
        </is>
      </c>
      <c r="N872" s="34" t="inlineStr">
        <is>
          <t>Kapitaal</t>
        </is>
      </c>
      <c r="O872" s="36">
        <f>IFERROR(INDEX('Mapping'!$F$2:$F$60,MATCH(B872,'Mapping'!$A$2:$A$60,0)),"")</f>
        <v/>
      </c>
    </row>
    <row r="873">
      <c r="A873" s="32" t="n">
        <v>45627</v>
      </c>
      <c r="B873" s="33" t="n">
        <v>500</v>
      </c>
      <c r="C873" s="34" t="inlineStr">
        <is>
          <t>Eigen vermogen</t>
        </is>
      </c>
      <c r="D873" s="34" t="inlineStr">
        <is>
          <t>Balans</t>
        </is>
      </c>
      <c r="E873" s="34" t="inlineStr">
        <is>
          <t>Balans</t>
        </is>
      </c>
      <c r="F873" s="34" t="inlineStr"/>
      <c r="G873" s="35" t="n">
        <v>0</v>
      </c>
      <c r="H873" s="35" t="n">
        <v>13208</v>
      </c>
      <c r="I873" s="35">
        <f>G873-H873</f>
        <v/>
      </c>
      <c r="J873" s="33" t="n">
        <v>2024</v>
      </c>
      <c r="K873" s="33" t="n">
        <v>12</v>
      </c>
      <c r="L873" s="34" t="inlineStr">
        <is>
          <t>Balans</t>
        </is>
      </c>
      <c r="M873" s="34" t="inlineStr">
        <is>
          <t>Eigen vermogen</t>
        </is>
      </c>
      <c r="N873" s="34" t="inlineStr">
        <is>
          <t>Kapitaal</t>
        </is>
      </c>
      <c r="O873" s="36">
        <f>IFERROR(INDEX('Mapping'!$F$2:$F$60,MATCH(B873,'Mapping'!$A$2:$A$60,0)),"")</f>
        <v/>
      </c>
    </row>
    <row r="874">
      <c r="A874" s="32" t="n">
        <v>45658</v>
      </c>
      <c r="B874" s="33" t="n">
        <v>500</v>
      </c>
      <c r="C874" s="34" t="inlineStr">
        <is>
          <t>Eigen vermogen (beginbalans)</t>
        </is>
      </c>
      <c r="D874" s="34" t="inlineStr">
        <is>
          <t>Balans</t>
        </is>
      </c>
      <c r="E874" s="34" t="inlineStr">
        <is>
          <t>Balans</t>
        </is>
      </c>
      <c r="F874" s="34" t="inlineStr"/>
      <c r="G874" s="35" t="n">
        <v>0</v>
      </c>
      <c r="H874" s="35" t="n">
        <v>585000</v>
      </c>
      <c r="I874" s="35">
        <f>G874-H874</f>
        <v/>
      </c>
      <c r="J874" s="33" t="n">
        <v>2025</v>
      </c>
      <c r="K874" s="33" t="n">
        <v>0</v>
      </c>
      <c r="L874" s="34" t="inlineStr">
        <is>
          <t>Balans</t>
        </is>
      </c>
      <c r="M874" s="34" t="inlineStr">
        <is>
          <t>Eigen vermogen</t>
        </is>
      </c>
      <c r="N874" s="34" t="inlineStr">
        <is>
          <t>Kapitaal</t>
        </is>
      </c>
      <c r="O874" s="36">
        <f>IFERROR(INDEX('Mapping'!$F$2:$F$60,MATCH(B874,'Mapping'!$A$2:$A$60,0)),"")</f>
        <v/>
      </c>
    </row>
    <row r="875">
      <c r="A875" s="32" t="n">
        <v>45658</v>
      </c>
      <c r="B875" s="33" t="n">
        <v>500</v>
      </c>
      <c r="C875" s="34" t="inlineStr">
        <is>
          <t>Eigen vermogen</t>
        </is>
      </c>
      <c r="D875" s="34" t="inlineStr">
        <is>
          <t>Balans</t>
        </is>
      </c>
      <c r="E875" s="34" t="inlineStr">
        <is>
          <t>Balans</t>
        </is>
      </c>
      <c r="F875" s="34" t="inlineStr"/>
      <c r="G875" s="35" t="n">
        <v>0</v>
      </c>
      <c r="H875" s="35" t="n">
        <v>8050</v>
      </c>
      <c r="I875" s="35">
        <f>G875-H875</f>
        <v/>
      </c>
      <c r="J875" s="33" t="n">
        <v>2025</v>
      </c>
      <c r="K875" s="33" t="n">
        <v>1</v>
      </c>
      <c r="L875" s="34" t="inlineStr">
        <is>
          <t>Balans</t>
        </is>
      </c>
      <c r="M875" s="34" t="inlineStr">
        <is>
          <t>Eigen vermogen</t>
        </is>
      </c>
      <c r="N875" s="34" t="inlineStr">
        <is>
          <t>Kapitaal</t>
        </is>
      </c>
      <c r="O875" s="36">
        <f>IFERROR(INDEX('Mapping'!$F$2:$F$60,MATCH(B875,'Mapping'!$A$2:$A$60,0)),"")</f>
        <v/>
      </c>
    </row>
    <row r="876">
      <c r="A876" s="32" t="n">
        <v>45689</v>
      </c>
      <c r="B876" s="33" t="n">
        <v>500</v>
      </c>
      <c r="C876" s="34" t="inlineStr">
        <is>
          <t>Eigen vermogen</t>
        </is>
      </c>
      <c r="D876" s="34" t="inlineStr">
        <is>
          <t>Balans</t>
        </is>
      </c>
      <c r="E876" s="34" t="inlineStr">
        <is>
          <t>Balans</t>
        </is>
      </c>
      <c r="F876" s="34" t="inlineStr"/>
      <c r="G876" s="35" t="n">
        <v>0</v>
      </c>
      <c r="H876" s="35" t="n">
        <v>8050</v>
      </c>
      <c r="I876" s="35">
        <f>G876-H876</f>
        <v/>
      </c>
      <c r="J876" s="33" t="n">
        <v>2025</v>
      </c>
      <c r="K876" s="33" t="n">
        <v>2</v>
      </c>
      <c r="L876" s="34" t="inlineStr">
        <is>
          <t>Balans</t>
        </is>
      </c>
      <c r="M876" s="34" t="inlineStr">
        <is>
          <t>Eigen vermogen</t>
        </is>
      </c>
      <c r="N876" s="34" t="inlineStr">
        <is>
          <t>Kapitaal</t>
        </is>
      </c>
      <c r="O876" s="36">
        <f>IFERROR(INDEX('Mapping'!$F$2:$F$60,MATCH(B876,'Mapping'!$A$2:$A$60,0)),"")</f>
        <v/>
      </c>
    </row>
    <row r="877">
      <c r="A877" s="32" t="n">
        <v>45717</v>
      </c>
      <c r="B877" s="33" t="n">
        <v>500</v>
      </c>
      <c r="C877" s="34" t="inlineStr">
        <is>
          <t>Eigen vermogen</t>
        </is>
      </c>
      <c r="D877" s="34" t="inlineStr">
        <is>
          <t>Balans</t>
        </is>
      </c>
      <c r="E877" s="34" t="inlineStr">
        <is>
          <t>Balans</t>
        </is>
      </c>
      <c r="F877" s="34" t="inlineStr"/>
      <c r="G877" s="35" t="n">
        <v>0</v>
      </c>
      <c r="H877" s="35" t="n">
        <v>10120</v>
      </c>
      <c r="I877" s="35">
        <f>G877-H877</f>
        <v/>
      </c>
      <c r="J877" s="33" t="n">
        <v>2025</v>
      </c>
      <c r="K877" s="33" t="n">
        <v>3</v>
      </c>
      <c r="L877" s="34" t="inlineStr">
        <is>
          <t>Balans</t>
        </is>
      </c>
      <c r="M877" s="34" t="inlineStr">
        <is>
          <t>Eigen vermogen</t>
        </is>
      </c>
      <c r="N877" s="34" t="inlineStr">
        <is>
          <t>Kapitaal</t>
        </is>
      </c>
      <c r="O877" s="36">
        <f>IFERROR(INDEX('Mapping'!$F$2:$F$60,MATCH(B877,'Mapping'!$A$2:$A$60,0)),"")</f>
        <v/>
      </c>
    </row>
    <row r="878">
      <c r="A878" s="32" t="n">
        <v>45748</v>
      </c>
      <c r="B878" s="33" t="n">
        <v>500</v>
      </c>
      <c r="C878" s="34" t="inlineStr">
        <is>
          <t>Eigen vermogen</t>
        </is>
      </c>
      <c r="D878" s="34" t="inlineStr">
        <is>
          <t>Balans</t>
        </is>
      </c>
      <c r="E878" s="34" t="inlineStr">
        <is>
          <t>Balans</t>
        </is>
      </c>
      <c r="F878" s="34" t="inlineStr"/>
      <c r="G878" s="35" t="n">
        <v>0</v>
      </c>
      <c r="H878" s="35" t="n">
        <v>9430</v>
      </c>
      <c r="I878" s="35">
        <f>G878-H878</f>
        <v/>
      </c>
      <c r="J878" s="33" t="n">
        <v>2025</v>
      </c>
      <c r="K878" s="33" t="n">
        <v>4</v>
      </c>
      <c r="L878" s="34" t="inlineStr">
        <is>
          <t>Balans</t>
        </is>
      </c>
      <c r="M878" s="34" t="inlineStr">
        <is>
          <t>Eigen vermogen</t>
        </is>
      </c>
      <c r="N878" s="34" t="inlineStr">
        <is>
          <t>Kapitaal</t>
        </is>
      </c>
      <c r="O878" s="36">
        <f>IFERROR(INDEX('Mapping'!$F$2:$F$60,MATCH(B878,'Mapping'!$A$2:$A$60,0)),"")</f>
        <v/>
      </c>
    </row>
    <row r="879">
      <c r="A879" s="32" t="n">
        <v>45778</v>
      </c>
      <c r="B879" s="33" t="n">
        <v>500</v>
      </c>
      <c r="C879" s="34" t="inlineStr">
        <is>
          <t>Eigen vermogen</t>
        </is>
      </c>
      <c r="D879" s="34" t="inlineStr">
        <is>
          <t>Balans</t>
        </is>
      </c>
      <c r="E879" s="34" t="inlineStr">
        <is>
          <t>Balans</t>
        </is>
      </c>
      <c r="F879" s="34" t="inlineStr"/>
      <c r="G879" s="35" t="n">
        <v>0</v>
      </c>
      <c r="H879" s="35" t="n">
        <v>9890</v>
      </c>
      <c r="I879" s="35">
        <f>G879-H879</f>
        <v/>
      </c>
      <c r="J879" s="33" t="n">
        <v>2025</v>
      </c>
      <c r="K879" s="33" t="n">
        <v>5</v>
      </c>
      <c r="L879" s="34" t="inlineStr">
        <is>
          <t>Balans</t>
        </is>
      </c>
      <c r="M879" s="34" t="inlineStr">
        <is>
          <t>Eigen vermogen</t>
        </is>
      </c>
      <c r="N879" s="34" t="inlineStr">
        <is>
          <t>Kapitaal</t>
        </is>
      </c>
      <c r="O879" s="36">
        <f>IFERROR(INDEX('Mapping'!$F$2:$F$60,MATCH(B879,'Mapping'!$A$2:$A$60,0)),"")</f>
        <v/>
      </c>
    </row>
    <row r="880">
      <c r="A880" s="32" t="n">
        <v>45809</v>
      </c>
      <c r="B880" s="33" t="n">
        <v>500</v>
      </c>
      <c r="C880" s="34" t="inlineStr">
        <is>
          <t>Eigen vermogen</t>
        </is>
      </c>
      <c r="D880" s="34" t="inlineStr">
        <is>
          <t>Balans</t>
        </is>
      </c>
      <c r="E880" s="34" t="inlineStr">
        <is>
          <t>Balans</t>
        </is>
      </c>
      <c r="F880" s="34" t="inlineStr"/>
      <c r="G880" s="35" t="n">
        <v>0</v>
      </c>
      <c r="H880" s="35" t="n">
        <v>10350</v>
      </c>
      <c r="I880" s="35">
        <f>G880-H880</f>
        <v/>
      </c>
      <c r="J880" s="33" t="n">
        <v>2025</v>
      </c>
      <c r="K880" s="33" t="n">
        <v>6</v>
      </c>
      <c r="L880" s="34" t="inlineStr">
        <is>
          <t>Balans</t>
        </is>
      </c>
      <c r="M880" s="34" t="inlineStr">
        <is>
          <t>Eigen vermogen</t>
        </is>
      </c>
      <c r="N880" s="34" t="inlineStr">
        <is>
          <t>Kapitaal</t>
        </is>
      </c>
      <c r="O880" s="36">
        <f>IFERROR(INDEX('Mapping'!$F$2:$F$60,MATCH(B880,'Mapping'!$A$2:$A$60,0)),"")</f>
        <v/>
      </c>
    </row>
    <row r="881">
      <c r="A881" s="32" t="n">
        <v>45839</v>
      </c>
      <c r="B881" s="33" t="n">
        <v>500</v>
      </c>
      <c r="C881" s="34" t="inlineStr">
        <is>
          <t>Eigen vermogen</t>
        </is>
      </c>
      <c r="D881" s="34" t="inlineStr">
        <is>
          <t>Balans</t>
        </is>
      </c>
      <c r="E881" s="34" t="inlineStr">
        <is>
          <t>Balans</t>
        </is>
      </c>
      <c r="F881" s="34" t="inlineStr"/>
      <c r="G881" s="35" t="n">
        <v>0</v>
      </c>
      <c r="H881" s="35" t="n">
        <v>8740</v>
      </c>
      <c r="I881" s="35">
        <f>G881-H881</f>
        <v/>
      </c>
      <c r="J881" s="33" t="n">
        <v>2025</v>
      </c>
      <c r="K881" s="33" t="n">
        <v>7</v>
      </c>
      <c r="L881" s="34" t="inlineStr">
        <is>
          <t>Balans</t>
        </is>
      </c>
      <c r="M881" s="34" t="inlineStr">
        <is>
          <t>Eigen vermogen</t>
        </is>
      </c>
      <c r="N881" s="34" t="inlineStr">
        <is>
          <t>Kapitaal</t>
        </is>
      </c>
      <c r="O881" s="36">
        <f>IFERROR(INDEX('Mapping'!$F$2:$F$60,MATCH(B881,'Mapping'!$A$2:$A$60,0)),"")</f>
        <v/>
      </c>
    </row>
    <row r="882">
      <c r="A882" s="32" t="n">
        <v>45870</v>
      </c>
      <c r="B882" s="33" t="n">
        <v>500</v>
      </c>
      <c r="C882" s="34" t="inlineStr">
        <is>
          <t>Eigen vermogen</t>
        </is>
      </c>
      <c r="D882" s="34" t="inlineStr">
        <is>
          <t>Balans</t>
        </is>
      </c>
      <c r="E882" s="34" t="inlineStr">
        <is>
          <t>Balans</t>
        </is>
      </c>
      <c r="F882" s="34" t="inlineStr"/>
      <c r="G882" s="35" t="n">
        <v>0</v>
      </c>
      <c r="H882" s="35" t="n">
        <v>8050</v>
      </c>
      <c r="I882" s="35">
        <f>G882-H882</f>
        <v/>
      </c>
      <c r="J882" s="33" t="n">
        <v>2025</v>
      </c>
      <c r="K882" s="33" t="n">
        <v>8</v>
      </c>
      <c r="L882" s="34" t="inlineStr">
        <is>
          <t>Balans</t>
        </is>
      </c>
      <c r="M882" s="34" t="inlineStr">
        <is>
          <t>Eigen vermogen</t>
        </is>
      </c>
      <c r="N882" s="34" t="inlineStr">
        <is>
          <t>Kapitaal</t>
        </is>
      </c>
      <c r="O882" s="36">
        <f>IFERROR(INDEX('Mapping'!$F$2:$F$60,MATCH(B882,'Mapping'!$A$2:$A$60,0)),"")</f>
        <v/>
      </c>
    </row>
    <row r="883">
      <c r="A883" s="32" t="n">
        <v>45901</v>
      </c>
      <c r="B883" s="33" t="n">
        <v>500</v>
      </c>
      <c r="C883" s="34" t="inlineStr">
        <is>
          <t>Eigen vermogen</t>
        </is>
      </c>
      <c r="D883" s="34" t="inlineStr">
        <is>
          <t>Balans</t>
        </is>
      </c>
      <c r="E883" s="34" t="inlineStr">
        <is>
          <t>Balans</t>
        </is>
      </c>
      <c r="F883" s="34" t="inlineStr"/>
      <c r="G883" s="35" t="n">
        <v>0</v>
      </c>
      <c r="H883" s="35" t="n">
        <v>10120</v>
      </c>
      <c r="I883" s="35">
        <f>G883-H883</f>
        <v/>
      </c>
      <c r="J883" s="33" t="n">
        <v>2025</v>
      </c>
      <c r="K883" s="33" t="n">
        <v>9</v>
      </c>
      <c r="L883" s="34" t="inlineStr">
        <is>
          <t>Balans</t>
        </is>
      </c>
      <c r="M883" s="34" t="inlineStr">
        <is>
          <t>Eigen vermogen</t>
        </is>
      </c>
      <c r="N883" s="34" t="inlineStr">
        <is>
          <t>Kapitaal</t>
        </is>
      </c>
      <c r="O883" s="36">
        <f>IFERROR(INDEX('Mapping'!$F$2:$F$60,MATCH(B883,'Mapping'!$A$2:$A$60,0)),"")</f>
        <v/>
      </c>
    </row>
    <row r="884">
      <c r="A884" s="32" t="n">
        <v>45931</v>
      </c>
      <c r="B884" s="33" t="n">
        <v>500</v>
      </c>
      <c r="C884" s="34" t="inlineStr">
        <is>
          <t>Eigen vermogen</t>
        </is>
      </c>
      <c r="D884" s="34" t="inlineStr">
        <is>
          <t>Balans</t>
        </is>
      </c>
      <c r="E884" s="34" t="inlineStr">
        <is>
          <t>Balans</t>
        </is>
      </c>
      <c r="F884" s="34" t="inlineStr"/>
      <c r="G884" s="35" t="n">
        <v>0</v>
      </c>
      <c r="H884" s="35" t="n">
        <v>10350</v>
      </c>
      <c r="I884" s="35">
        <f>G884-H884</f>
        <v/>
      </c>
      <c r="J884" s="33" t="n">
        <v>2025</v>
      </c>
      <c r="K884" s="33" t="n">
        <v>10</v>
      </c>
      <c r="L884" s="34" t="inlineStr">
        <is>
          <t>Balans</t>
        </is>
      </c>
      <c r="M884" s="34" t="inlineStr">
        <is>
          <t>Eigen vermogen</t>
        </is>
      </c>
      <c r="N884" s="34" t="inlineStr">
        <is>
          <t>Kapitaal</t>
        </is>
      </c>
      <c r="O884" s="36">
        <f>IFERROR(INDEX('Mapping'!$F$2:$F$60,MATCH(B884,'Mapping'!$A$2:$A$60,0)),"")</f>
        <v/>
      </c>
    </row>
    <row r="885">
      <c r="A885" s="32" t="n">
        <v>45962</v>
      </c>
      <c r="B885" s="33" t="n">
        <v>500</v>
      </c>
      <c r="C885" s="34" t="inlineStr">
        <is>
          <t>Eigen vermogen</t>
        </is>
      </c>
      <c r="D885" s="34" t="inlineStr">
        <is>
          <t>Balans</t>
        </is>
      </c>
      <c r="E885" s="34" t="inlineStr">
        <is>
          <t>Balans</t>
        </is>
      </c>
      <c r="F885" s="34" t="inlineStr"/>
      <c r="G885" s="35" t="n">
        <v>0</v>
      </c>
      <c r="H885" s="35" t="n">
        <v>9890</v>
      </c>
      <c r="I885" s="35">
        <f>G885-H885</f>
        <v/>
      </c>
      <c r="J885" s="33" t="n">
        <v>2025</v>
      </c>
      <c r="K885" s="33" t="n">
        <v>11</v>
      </c>
      <c r="L885" s="34" t="inlineStr">
        <is>
          <t>Balans</t>
        </is>
      </c>
      <c r="M885" s="34" t="inlineStr">
        <is>
          <t>Eigen vermogen</t>
        </is>
      </c>
      <c r="N885" s="34" t="inlineStr">
        <is>
          <t>Kapitaal</t>
        </is>
      </c>
      <c r="O885" s="36">
        <f>IFERROR(INDEX('Mapping'!$F$2:$F$60,MATCH(B885,'Mapping'!$A$2:$A$60,0)),"")</f>
        <v/>
      </c>
    </row>
    <row r="886">
      <c r="A886" s="32" t="n">
        <v>45992</v>
      </c>
      <c r="B886" s="33" t="n">
        <v>500</v>
      </c>
      <c r="C886" s="34" t="inlineStr">
        <is>
          <t>Eigen vermogen</t>
        </is>
      </c>
      <c r="D886" s="34" t="inlineStr">
        <is>
          <t>Balans</t>
        </is>
      </c>
      <c r="E886" s="34" t="inlineStr">
        <is>
          <t>Balans</t>
        </is>
      </c>
      <c r="F886" s="34" t="inlineStr"/>
      <c r="G886" s="35" t="n">
        <v>0</v>
      </c>
      <c r="H886" s="35" t="n">
        <v>11960</v>
      </c>
      <c r="I886" s="35">
        <f>G886-H886</f>
        <v/>
      </c>
      <c r="J886" s="33" t="n">
        <v>2025</v>
      </c>
      <c r="K886" s="33" t="n">
        <v>12</v>
      </c>
      <c r="L886" s="34" t="inlineStr">
        <is>
          <t>Balans</t>
        </is>
      </c>
      <c r="M886" s="34" t="inlineStr">
        <is>
          <t>Eigen vermogen</t>
        </is>
      </c>
      <c r="N886" s="34" t="inlineStr">
        <is>
          <t>Kapitaal</t>
        </is>
      </c>
      <c r="O886" s="36">
        <f>IFERROR(INDEX('Mapping'!$F$2:$F$60,MATCH(B886,'Mapping'!$A$2:$A$60,0)),"")</f>
        <v/>
      </c>
    </row>
    <row r="887">
      <c r="A887" s="32" t="n">
        <v>45292</v>
      </c>
      <c r="B887" s="33" t="n">
        <v>700</v>
      </c>
      <c r="C887" s="34" t="inlineStr">
        <is>
          <t>Langlopende leningen (beginbalans)</t>
        </is>
      </c>
      <c r="D887" s="34" t="inlineStr">
        <is>
          <t>Balans</t>
        </is>
      </c>
      <c r="E887" s="34" t="inlineStr">
        <is>
          <t>Balans</t>
        </is>
      </c>
      <c r="F887" s="34" t="inlineStr"/>
      <c r="G887" s="35" t="n">
        <v>0</v>
      </c>
      <c r="H887" s="35" t="n">
        <v>470000</v>
      </c>
      <c r="I887" s="35">
        <f>G887-H887</f>
        <v/>
      </c>
      <c r="J887" s="33" t="n">
        <v>2024</v>
      </c>
      <c r="K887" s="33" t="n">
        <v>0</v>
      </c>
      <c r="L887" s="34" t="inlineStr">
        <is>
          <t>Balans</t>
        </is>
      </c>
      <c r="M887" s="34" t="inlineStr">
        <is>
          <t>Langlopende schulden</t>
        </is>
      </c>
      <c r="N887" s="34" t="inlineStr">
        <is>
          <t>Bankleningen</t>
        </is>
      </c>
      <c r="O887" s="36">
        <f>IFERROR(INDEX('Mapping'!$F$2:$F$60,MATCH(B887,'Mapping'!$A$2:$A$60,0)),"")</f>
        <v/>
      </c>
    </row>
    <row r="888">
      <c r="A888" s="32" t="n">
        <v>45292</v>
      </c>
      <c r="B888" s="33" t="n">
        <v>700</v>
      </c>
      <c r="C888" s="34" t="inlineStr">
        <is>
          <t>Langlopende leningen</t>
        </is>
      </c>
      <c r="D888" s="34" t="inlineStr">
        <is>
          <t>Balans</t>
        </is>
      </c>
      <c r="E888" s="34" t="inlineStr">
        <is>
          <t>Balans</t>
        </is>
      </c>
      <c r="F888" s="34" t="inlineStr"/>
      <c r="G888" s="35" t="n">
        <v>2800</v>
      </c>
      <c r="H888" s="35" t="n">
        <v>0</v>
      </c>
      <c r="I888" s="35">
        <f>G888-H888</f>
        <v/>
      </c>
      <c r="J888" s="33" t="n">
        <v>2024</v>
      </c>
      <c r="K888" s="33" t="n">
        <v>1</v>
      </c>
      <c r="L888" s="34" t="inlineStr">
        <is>
          <t>Balans</t>
        </is>
      </c>
      <c r="M888" s="34" t="inlineStr">
        <is>
          <t>Langlopende schulden</t>
        </is>
      </c>
      <c r="N888" s="34" t="inlineStr">
        <is>
          <t>Bankleningen</t>
        </is>
      </c>
      <c r="O888" s="36">
        <f>IFERROR(INDEX('Mapping'!$F$2:$F$60,MATCH(B888,'Mapping'!$A$2:$A$60,0)),"")</f>
        <v/>
      </c>
    </row>
    <row r="889">
      <c r="A889" s="32" t="n">
        <v>45323</v>
      </c>
      <c r="B889" s="33" t="n">
        <v>700</v>
      </c>
      <c r="C889" s="34" t="inlineStr">
        <is>
          <t>Langlopende leningen</t>
        </is>
      </c>
      <c r="D889" s="34" t="inlineStr">
        <is>
          <t>Balans</t>
        </is>
      </c>
      <c r="E889" s="34" t="inlineStr">
        <is>
          <t>Balans</t>
        </is>
      </c>
      <c r="F889" s="34" t="inlineStr"/>
      <c r="G889" s="35" t="n">
        <v>2800</v>
      </c>
      <c r="H889" s="35" t="n">
        <v>0</v>
      </c>
      <c r="I889" s="35">
        <f>G889-H889</f>
        <v/>
      </c>
      <c r="J889" s="33" t="n">
        <v>2024</v>
      </c>
      <c r="K889" s="33" t="n">
        <v>2</v>
      </c>
      <c r="L889" s="34" t="inlineStr">
        <is>
          <t>Balans</t>
        </is>
      </c>
      <c r="M889" s="34" t="inlineStr">
        <is>
          <t>Langlopende schulden</t>
        </is>
      </c>
      <c r="N889" s="34" t="inlineStr">
        <is>
          <t>Bankleningen</t>
        </is>
      </c>
      <c r="O889" s="36">
        <f>IFERROR(INDEX('Mapping'!$F$2:$F$60,MATCH(B889,'Mapping'!$A$2:$A$60,0)),"")</f>
        <v/>
      </c>
    </row>
    <row r="890">
      <c r="A890" s="32" t="n">
        <v>45352</v>
      </c>
      <c r="B890" s="33" t="n">
        <v>700</v>
      </c>
      <c r="C890" s="34" t="inlineStr">
        <is>
          <t>Langlopende leningen</t>
        </is>
      </c>
      <c r="D890" s="34" t="inlineStr">
        <is>
          <t>Balans</t>
        </is>
      </c>
      <c r="E890" s="34" t="inlineStr">
        <is>
          <t>Balans</t>
        </is>
      </c>
      <c r="F890" s="34" t="inlineStr"/>
      <c r="G890" s="35" t="n">
        <v>3520</v>
      </c>
      <c r="H890" s="35" t="n">
        <v>0</v>
      </c>
      <c r="I890" s="35">
        <f>G890-H890</f>
        <v/>
      </c>
      <c r="J890" s="33" t="n">
        <v>2024</v>
      </c>
      <c r="K890" s="33" t="n">
        <v>3</v>
      </c>
      <c r="L890" s="34" t="inlineStr">
        <is>
          <t>Balans</t>
        </is>
      </c>
      <c r="M890" s="34" t="inlineStr">
        <is>
          <t>Langlopende schulden</t>
        </is>
      </c>
      <c r="N890" s="34" t="inlineStr">
        <is>
          <t>Bankleningen</t>
        </is>
      </c>
      <c r="O890" s="36">
        <f>IFERROR(INDEX('Mapping'!$F$2:$F$60,MATCH(B890,'Mapping'!$A$2:$A$60,0)),"")</f>
        <v/>
      </c>
    </row>
    <row r="891">
      <c r="A891" s="32" t="n">
        <v>45383</v>
      </c>
      <c r="B891" s="33" t="n">
        <v>700</v>
      </c>
      <c r="C891" s="34" t="inlineStr">
        <is>
          <t>Langlopende leningen</t>
        </is>
      </c>
      <c r="D891" s="34" t="inlineStr">
        <is>
          <t>Balans</t>
        </is>
      </c>
      <c r="E891" s="34" t="inlineStr">
        <is>
          <t>Balans</t>
        </is>
      </c>
      <c r="F891" s="34" t="inlineStr"/>
      <c r="G891" s="35" t="n">
        <v>3280</v>
      </c>
      <c r="H891" s="35" t="n">
        <v>0</v>
      </c>
      <c r="I891" s="35">
        <f>G891-H891</f>
        <v/>
      </c>
      <c r="J891" s="33" t="n">
        <v>2024</v>
      </c>
      <c r="K891" s="33" t="n">
        <v>4</v>
      </c>
      <c r="L891" s="34" t="inlineStr">
        <is>
          <t>Balans</t>
        </is>
      </c>
      <c r="M891" s="34" t="inlineStr">
        <is>
          <t>Langlopende schulden</t>
        </is>
      </c>
      <c r="N891" s="34" t="inlineStr">
        <is>
          <t>Bankleningen</t>
        </is>
      </c>
      <c r="O891" s="36">
        <f>IFERROR(INDEX('Mapping'!$F$2:$F$60,MATCH(B891,'Mapping'!$A$2:$A$60,0)),"")</f>
        <v/>
      </c>
    </row>
    <row r="892">
      <c r="A892" s="32" t="n">
        <v>45413</v>
      </c>
      <c r="B892" s="33" t="n">
        <v>700</v>
      </c>
      <c r="C892" s="34" t="inlineStr">
        <is>
          <t>Langlopende leningen</t>
        </is>
      </c>
      <c r="D892" s="34" t="inlineStr">
        <is>
          <t>Balans</t>
        </is>
      </c>
      <c r="E892" s="34" t="inlineStr">
        <is>
          <t>Balans</t>
        </is>
      </c>
      <c r="F892" s="34" t="inlineStr"/>
      <c r="G892" s="35" t="n">
        <v>3440</v>
      </c>
      <c r="H892" s="35" t="n">
        <v>0</v>
      </c>
      <c r="I892" s="35">
        <f>G892-H892</f>
        <v/>
      </c>
      <c r="J892" s="33" t="n">
        <v>2024</v>
      </c>
      <c r="K892" s="33" t="n">
        <v>5</v>
      </c>
      <c r="L892" s="34" t="inlineStr">
        <is>
          <t>Balans</t>
        </is>
      </c>
      <c r="M892" s="34" t="inlineStr">
        <is>
          <t>Langlopende schulden</t>
        </is>
      </c>
      <c r="N892" s="34" t="inlineStr">
        <is>
          <t>Bankleningen</t>
        </is>
      </c>
      <c r="O892" s="36">
        <f>IFERROR(INDEX('Mapping'!$F$2:$F$60,MATCH(B892,'Mapping'!$A$2:$A$60,0)),"")</f>
        <v/>
      </c>
    </row>
    <row r="893">
      <c r="A893" s="32" t="n">
        <v>45444</v>
      </c>
      <c r="B893" s="33" t="n">
        <v>700</v>
      </c>
      <c r="C893" s="34" t="inlineStr">
        <is>
          <t>Langlopende leningen</t>
        </is>
      </c>
      <c r="D893" s="34" t="inlineStr">
        <is>
          <t>Balans</t>
        </is>
      </c>
      <c r="E893" s="34" t="inlineStr">
        <is>
          <t>Balans</t>
        </is>
      </c>
      <c r="F893" s="34" t="inlineStr"/>
      <c r="G893" s="35" t="n">
        <v>3600</v>
      </c>
      <c r="H893" s="35" t="n">
        <v>0</v>
      </c>
      <c r="I893" s="35">
        <f>G893-H893</f>
        <v/>
      </c>
      <c r="J893" s="33" t="n">
        <v>2024</v>
      </c>
      <c r="K893" s="33" t="n">
        <v>6</v>
      </c>
      <c r="L893" s="34" t="inlineStr">
        <is>
          <t>Balans</t>
        </is>
      </c>
      <c r="M893" s="34" t="inlineStr">
        <is>
          <t>Langlopende schulden</t>
        </is>
      </c>
      <c r="N893" s="34" t="inlineStr">
        <is>
          <t>Bankleningen</t>
        </is>
      </c>
      <c r="O893" s="36">
        <f>IFERROR(INDEX('Mapping'!$F$2:$F$60,MATCH(B893,'Mapping'!$A$2:$A$60,0)),"")</f>
        <v/>
      </c>
    </row>
    <row r="894">
      <c r="A894" s="32" t="n">
        <v>45474</v>
      </c>
      <c r="B894" s="33" t="n">
        <v>700</v>
      </c>
      <c r="C894" s="34" t="inlineStr">
        <is>
          <t>Langlopende leningen</t>
        </is>
      </c>
      <c r="D894" s="34" t="inlineStr">
        <is>
          <t>Balans</t>
        </is>
      </c>
      <c r="E894" s="34" t="inlineStr">
        <is>
          <t>Balans</t>
        </is>
      </c>
      <c r="F894" s="34" t="inlineStr"/>
      <c r="G894" s="35" t="n">
        <v>3040</v>
      </c>
      <c r="H894" s="35" t="n">
        <v>0</v>
      </c>
      <c r="I894" s="35">
        <f>G894-H894</f>
        <v/>
      </c>
      <c r="J894" s="33" t="n">
        <v>2024</v>
      </c>
      <c r="K894" s="33" t="n">
        <v>7</v>
      </c>
      <c r="L894" s="34" t="inlineStr">
        <is>
          <t>Balans</t>
        </is>
      </c>
      <c r="M894" s="34" t="inlineStr">
        <is>
          <t>Langlopende schulden</t>
        </is>
      </c>
      <c r="N894" s="34" t="inlineStr">
        <is>
          <t>Bankleningen</t>
        </is>
      </c>
      <c r="O894" s="36">
        <f>IFERROR(INDEX('Mapping'!$F$2:$F$60,MATCH(B894,'Mapping'!$A$2:$A$60,0)),"")</f>
        <v/>
      </c>
    </row>
    <row r="895">
      <c r="A895" s="32" t="n">
        <v>45505</v>
      </c>
      <c r="B895" s="33" t="n">
        <v>700</v>
      </c>
      <c r="C895" s="34" t="inlineStr">
        <is>
          <t>Langlopende leningen</t>
        </is>
      </c>
      <c r="D895" s="34" t="inlineStr">
        <is>
          <t>Balans</t>
        </is>
      </c>
      <c r="E895" s="34" t="inlineStr">
        <is>
          <t>Balans</t>
        </is>
      </c>
      <c r="F895" s="34" t="inlineStr"/>
      <c r="G895" s="35" t="n">
        <v>2800</v>
      </c>
      <c r="H895" s="35" t="n">
        <v>0</v>
      </c>
      <c r="I895" s="35">
        <f>G895-H895</f>
        <v/>
      </c>
      <c r="J895" s="33" t="n">
        <v>2024</v>
      </c>
      <c r="K895" s="33" t="n">
        <v>8</v>
      </c>
      <c r="L895" s="34" t="inlineStr">
        <is>
          <t>Balans</t>
        </is>
      </c>
      <c r="M895" s="34" t="inlineStr">
        <is>
          <t>Langlopende schulden</t>
        </is>
      </c>
      <c r="N895" s="34" t="inlineStr">
        <is>
          <t>Bankleningen</t>
        </is>
      </c>
      <c r="O895" s="36">
        <f>IFERROR(INDEX('Mapping'!$F$2:$F$60,MATCH(B895,'Mapping'!$A$2:$A$60,0)),"")</f>
        <v/>
      </c>
    </row>
    <row r="896">
      <c r="A896" s="32" t="n">
        <v>45536</v>
      </c>
      <c r="B896" s="33" t="n">
        <v>700</v>
      </c>
      <c r="C896" s="34" t="inlineStr">
        <is>
          <t>Langlopende leningen</t>
        </is>
      </c>
      <c r="D896" s="34" t="inlineStr">
        <is>
          <t>Balans</t>
        </is>
      </c>
      <c r="E896" s="34" t="inlineStr">
        <is>
          <t>Balans</t>
        </is>
      </c>
      <c r="F896" s="34" t="inlineStr"/>
      <c r="G896" s="35" t="n">
        <v>3520</v>
      </c>
      <c r="H896" s="35" t="n">
        <v>0</v>
      </c>
      <c r="I896" s="35">
        <f>G896-H896</f>
        <v/>
      </c>
      <c r="J896" s="33" t="n">
        <v>2024</v>
      </c>
      <c r="K896" s="33" t="n">
        <v>9</v>
      </c>
      <c r="L896" s="34" t="inlineStr">
        <is>
          <t>Balans</t>
        </is>
      </c>
      <c r="M896" s="34" t="inlineStr">
        <is>
          <t>Langlopende schulden</t>
        </is>
      </c>
      <c r="N896" s="34" t="inlineStr">
        <is>
          <t>Bankleningen</t>
        </is>
      </c>
      <c r="O896" s="36">
        <f>IFERROR(INDEX('Mapping'!$F$2:$F$60,MATCH(B896,'Mapping'!$A$2:$A$60,0)),"")</f>
        <v/>
      </c>
    </row>
    <row r="897">
      <c r="A897" s="32" t="n">
        <v>45566</v>
      </c>
      <c r="B897" s="33" t="n">
        <v>700</v>
      </c>
      <c r="C897" s="34" t="inlineStr">
        <is>
          <t>Langlopende leningen</t>
        </is>
      </c>
      <c r="D897" s="34" t="inlineStr">
        <is>
          <t>Balans</t>
        </is>
      </c>
      <c r="E897" s="34" t="inlineStr">
        <is>
          <t>Balans</t>
        </is>
      </c>
      <c r="F897" s="34" t="inlineStr"/>
      <c r="G897" s="35" t="n">
        <v>3600</v>
      </c>
      <c r="H897" s="35" t="n">
        <v>0</v>
      </c>
      <c r="I897" s="35">
        <f>G897-H897</f>
        <v/>
      </c>
      <c r="J897" s="33" t="n">
        <v>2024</v>
      </c>
      <c r="K897" s="33" t="n">
        <v>10</v>
      </c>
      <c r="L897" s="34" t="inlineStr">
        <is>
          <t>Balans</t>
        </is>
      </c>
      <c r="M897" s="34" t="inlineStr">
        <is>
          <t>Langlopende schulden</t>
        </is>
      </c>
      <c r="N897" s="34" t="inlineStr">
        <is>
          <t>Bankleningen</t>
        </is>
      </c>
      <c r="O897" s="36">
        <f>IFERROR(INDEX('Mapping'!$F$2:$F$60,MATCH(B897,'Mapping'!$A$2:$A$60,0)),"")</f>
        <v/>
      </c>
    </row>
    <row r="898">
      <c r="A898" s="32" t="n">
        <v>45597</v>
      </c>
      <c r="B898" s="33" t="n">
        <v>700</v>
      </c>
      <c r="C898" s="34" t="inlineStr">
        <is>
          <t>Langlopende leningen</t>
        </is>
      </c>
      <c r="D898" s="34" t="inlineStr">
        <is>
          <t>Balans</t>
        </is>
      </c>
      <c r="E898" s="34" t="inlineStr">
        <is>
          <t>Balans</t>
        </is>
      </c>
      <c r="F898" s="34" t="inlineStr"/>
      <c r="G898" s="35" t="n">
        <v>3440</v>
      </c>
      <c r="H898" s="35" t="n">
        <v>0</v>
      </c>
      <c r="I898" s="35">
        <f>G898-H898</f>
        <v/>
      </c>
      <c r="J898" s="33" t="n">
        <v>2024</v>
      </c>
      <c r="K898" s="33" t="n">
        <v>11</v>
      </c>
      <c r="L898" s="34" t="inlineStr">
        <is>
          <t>Balans</t>
        </is>
      </c>
      <c r="M898" s="34" t="inlineStr">
        <is>
          <t>Langlopende schulden</t>
        </is>
      </c>
      <c r="N898" s="34" t="inlineStr">
        <is>
          <t>Bankleningen</t>
        </is>
      </c>
      <c r="O898" s="36">
        <f>IFERROR(INDEX('Mapping'!$F$2:$F$60,MATCH(B898,'Mapping'!$A$2:$A$60,0)),"")</f>
        <v/>
      </c>
    </row>
    <row r="899">
      <c r="A899" s="32" t="n">
        <v>45627</v>
      </c>
      <c r="B899" s="33" t="n">
        <v>700</v>
      </c>
      <c r="C899" s="34" t="inlineStr">
        <is>
          <t>Langlopende leningen</t>
        </is>
      </c>
      <c r="D899" s="34" t="inlineStr">
        <is>
          <t>Balans</t>
        </is>
      </c>
      <c r="E899" s="34" t="inlineStr">
        <is>
          <t>Balans</t>
        </is>
      </c>
      <c r="F899" s="34" t="inlineStr"/>
      <c r="G899" s="35" t="n">
        <v>4160</v>
      </c>
      <c r="H899" s="35" t="n">
        <v>0</v>
      </c>
      <c r="I899" s="35">
        <f>G899-H899</f>
        <v/>
      </c>
      <c r="J899" s="33" t="n">
        <v>2024</v>
      </c>
      <c r="K899" s="33" t="n">
        <v>12</v>
      </c>
      <c r="L899" s="34" t="inlineStr">
        <is>
          <t>Balans</t>
        </is>
      </c>
      <c r="M899" s="34" t="inlineStr">
        <is>
          <t>Langlopende schulden</t>
        </is>
      </c>
      <c r="N899" s="34" t="inlineStr">
        <is>
          <t>Bankleningen</t>
        </is>
      </c>
      <c r="O899" s="36">
        <f>IFERROR(INDEX('Mapping'!$F$2:$F$60,MATCH(B899,'Mapping'!$A$2:$A$60,0)),"")</f>
        <v/>
      </c>
    </row>
    <row r="900">
      <c r="A900" s="32" t="n">
        <v>45658</v>
      </c>
      <c r="B900" s="33" t="n">
        <v>700</v>
      </c>
      <c r="C900" s="34" t="inlineStr">
        <is>
          <t>Langlopende leningen (beginbalans)</t>
        </is>
      </c>
      <c r="D900" s="34" t="inlineStr">
        <is>
          <t>Balans</t>
        </is>
      </c>
      <c r="E900" s="34" t="inlineStr">
        <is>
          <t>Balans</t>
        </is>
      </c>
      <c r="F900" s="34" t="inlineStr"/>
      <c r="G900" s="35" t="n">
        <v>0</v>
      </c>
      <c r="H900" s="35" t="n">
        <v>430000</v>
      </c>
      <c r="I900" s="35">
        <f>G900-H900</f>
        <v/>
      </c>
      <c r="J900" s="33" t="n">
        <v>2025</v>
      </c>
      <c r="K900" s="33" t="n">
        <v>0</v>
      </c>
      <c r="L900" s="34" t="inlineStr">
        <is>
          <t>Balans</t>
        </is>
      </c>
      <c r="M900" s="34" t="inlineStr">
        <is>
          <t>Langlopende schulden</t>
        </is>
      </c>
      <c r="N900" s="34" t="inlineStr">
        <is>
          <t>Bankleningen</t>
        </is>
      </c>
      <c r="O900" s="36">
        <f>IFERROR(INDEX('Mapping'!$F$2:$F$60,MATCH(B900,'Mapping'!$A$2:$A$60,0)),"")</f>
        <v/>
      </c>
    </row>
    <row r="901">
      <c r="A901" s="32" t="n">
        <v>45658</v>
      </c>
      <c r="B901" s="33" t="n">
        <v>700</v>
      </c>
      <c r="C901" s="34" t="inlineStr">
        <is>
          <t>Langlopende leningen</t>
        </is>
      </c>
      <c r="D901" s="34" t="inlineStr">
        <is>
          <t>Balans</t>
        </is>
      </c>
      <c r="E901" s="34" t="inlineStr">
        <is>
          <t>Balans</t>
        </is>
      </c>
      <c r="F901" s="34" t="inlineStr"/>
      <c r="G901" s="35" t="n">
        <v>3500</v>
      </c>
      <c r="H901" s="35" t="n">
        <v>0</v>
      </c>
      <c r="I901" s="35">
        <f>G901-H901</f>
        <v/>
      </c>
      <c r="J901" s="33" t="n">
        <v>2025</v>
      </c>
      <c r="K901" s="33" t="n">
        <v>1</v>
      </c>
      <c r="L901" s="34" t="inlineStr">
        <is>
          <t>Balans</t>
        </is>
      </c>
      <c r="M901" s="34" t="inlineStr">
        <is>
          <t>Langlopende schulden</t>
        </is>
      </c>
      <c r="N901" s="34" t="inlineStr">
        <is>
          <t>Bankleningen</t>
        </is>
      </c>
      <c r="O901" s="36">
        <f>IFERROR(INDEX('Mapping'!$F$2:$F$60,MATCH(B901,'Mapping'!$A$2:$A$60,0)),"")</f>
        <v/>
      </c>
    </row>
    <row r="902">
      <c r="A902" s="32" t="n">
        <v>45689</v>
      </c>
      <c r="B902" s="33" t="n">
        <v>700</v>
      </c>
      <c r="C902" s="34" t="inlineStr">
        <is>
          <t>Langlopende leningen</t>
        </is>
      </c>
      <c r="D902" s="34" t="inlineStr">
        <is>
          <t>Balans</t>
        </is>
      </c>
      <c r="E902" s="34" t="inlineStr">
        <is>
          <t>Balans</t>
        </is>
      </c>
      <c r="F902" s="34" t="inlineStr"/>
      <c r="G902" s="35" t="n">
        <v>3500</v>
      </c>
      <c r="H902" s="35" t="n">
        <v>0</v>
      </c>
      <c r="I902" s="35">
        <f>G902-H902</f>
        <v/>
      </c>
      <c r="J902" s="33" t="n">
        <v>2025</v>
      </c>
      <c r="K902" s="33" t="n">
        <v>2</v>
      </c>
      <c r="L902" s="34" t="inlineStr">
        <is>
          <t>Balans</t>
        </is>
      </c>
      <c r="M902" s="34" t="inlineStr">
        <is>
          <t>Langlopende schulden</t>
        </is>
      </c>
      <c r="N902" s="34" t="inlineStr">
        <is>
          <t>Bankleningen</t>
        </is>
      </c>
      <c r="O902" s="36">
        <f>IFERROR(INDEX('Mapping'!$F$2:$F$60,MATCH(B902,'Mapping'!$A$2:$A$60,0)),"")</f>
        <v/>
      </c>
    </row>
    <row r="903">
      <c r="A903" s="32" t="n">
        <v>45717</v>
      </c>
      <c r="B903" s="33" t="n">
        <v>700</v>
      </c>
      <c r="C903" s="34" t="inlineStr">
        <is>
          <t>Langlopende leningen</t>
        </is>
      </c>
      <c r="D903" s="34" t="inlineStr">
        <is>
          <t>Balans</t>
        </is>
      </c>
      <c r="E903" s="34" t="inlineStr">
        <is>
          <t>Balans</t>
        </is>
      </c>
      <c r="F903" s="34" t="inlineStr"/>
      <c r="G903" s="35" t="n">
        <v>4400</v>
      </c>
      <c r="H903" s="35" t="n">
        <v>0</v>
      </c>
      <c r="I903" s="35">
        <f>G903-H903</f>
        <v/>
      </c>
      <c r="J903" s="33" t="n">
        <v>2025</v>
      </c>
      <c r="K903" s="33" t="n">
        <v>3</v>
      </c>
      <c r="L903" s="34" t="inlineStr">
        <is>
          <t>Balans</t>
        </is>
      </c>
      <c r="M903" s="34" t="inlineStr">
        <is>
          <t>Langlopende schulden</t>
        </is>
      </c>
      <c r="N903" s="34" t="inlineStr">
        <is>
          <t>Bankleningen</t>
        </is>
      </c>
      <c r="O903" s="36">
        <f>IFERROR(INDEX('Mapping'!$F$2:$F$60,MATCH(B903,'Mapping'!$A$2:$A$60,0)),"")</f>
        <v/>
      </c>
    </row>
    <row r="904">
      <c r="A904" s="32" t="n">
        <v>45748</v>
      </c>
      <c r="B904" s="33" t="n">
        <v>700</v>
      </c>
      <c r="C904" s="34" t="inlineStr">
        <is>
          <t>Langlopende leningen</t>
        </is>
      </c>
      <c r="D904" s="34" t="inlineStr">
        <is>
          <t>Balans</t>
        </is>
      </c>
      <c r="E904" s="34" t="inlineStr">
        <is>
          <t>Balans</t>
        </is>
      </c>
      <c r="F904" s="34" t="inlineStr"/>
      <c r="G904" s="35" t="n">
        <v>4100</v>
      </c>
      <c r="H904" s="35" t="n">
        <v>0</v>
      </c>
      <c r="I904" s="35">
        <f>G904-H904</f>
        <v/>
      </c>
      <c r="J904" s="33" t="n">
        <v>2025</v>
      </c>
      <c r="K904" s="33" t="n">
        <v>4</v>
      </c>
      <c r="L904" s="34" t="inlineStr">
        <is>
          <t>Balans</t>
        </is>
      </c>
      <c r="M904" s="34" t="inlineStr">
        <is>
          <t>Langlopende schulden</t>
        </is>
      </c>
      <c r="N904" s="34" t="inlineStr">
        <is>
          <t>Bankleningen</t>
        </is>
      </c>
      <c r="O904" s="36">
        <f>IFERROR(INDEX('Mapping'!$F$2:$F$60,MATCH(B904,'Mapping'!$A$2:$A$60,0)),"")</f>
        <v/>
      </c>
    </row>
    <row r="905">
      <c r="A905" s="32" t="n">
        <v>45778</v>
      </c>
      <c r="B905" s="33" t="n">
        <v>700</v>
      </c>
      <c r="C905" s="34" t="inlineStr">
        <is>
          <t>Langlopende leningen</t>
        </is>
      </c>
      <c r="D905" s="34" t="inlineStr">
        <is>
          <t>Balans</t>
        </is>
      </c>
      <c r="E905" s="34" t="inlineStr">
        <is>
          <t>Balans</t>
        </is>
      </c>
      <c r="F905" s="34" t="inlineStr"/>
      <c r="G905" s="35" t="n">
        <v>4300</v>
      </c>
      <c r="H905" s="35" t="n">
        <v>0</v>
      </c>
      <c r="I905" s="35">
        <f>G905-H905</f>
        <v/>
      </c>
      <c r="J905" s="33" t="n">
        <v>2025</v>
      </c>
      <c r="K905" s="33" t="n">
        <v>5</v>
      </c>
      <c r="L905" s="34" t="inlineStr">
        <is>
          <t>Balans</t>
        </is>
      </c>
      <c r="M905" s="34" t="inlineStr">
        <is>
          <t>Langlopende schulden</t>
        </is>
      </c>
      <c r="N905" s="34" t="inlineStr">
        <is>
          <t>Bankleningen</t>
        </is>
      </c>
      <c r="O905" s="36">
        <f>IFERROR(INDEX('Mapping'!$F$2:$F$60,MATCH(B905,'Mapping'!$A$2:$A$60,0)),"")</f>
        <v/>
      </c>
    </row>
    <row r="906">
      <c r="A906" s="32" t="n">
        <v>45809</v>
      </c>
      <c r="B906" s="33" t="n">
        <v>700</v>
      </c>
      <c r="C906" s="34" t="inlineStr">
        <is>
          <t>Langlopende leningen</t>
        </is>
      </c>
      <c r="D906" s="34" t="inlineStr">
        <is>
          <t>Balans</t>
        </is>
      </c>
      <c r="E906" s="34" t="inlineStr">
        <is>
          <t>Balans</t>
        </is>
      </c>
      <c r="F906" s="34" t="inlineStr"/>
      <c r="G906" s="35" t="n">
        <v>4500</v>
      </c>
      <c r="H906" s="35" t="n">
        <v>0</v>
      </c>
      <c r="I906" s="35">
        <f>G906-H906</f>
        <v/>
      </c>
      <c r="J906" s="33" t="n">
        <v>2025</v>
      </c>
      <c r="K906" s="33" t="n">
        <v>6</v>
      </c>
      <c r="L906" s="34" t="inlineStr">
        <is>
          <t>Balans</t>
        </is>
      </c>
      <c r="M906" s="34" t="inlineStr">
        <is>
          <t>Langlopende schulden</t>
        </is>
      </c>
      <c r="N906" s="34" t="inlineStr">
        <is>
          <t>Bankleningen</t>
        </is>
      </c>
      <c r="O906" s="36">
        <f>IFERROR(INDEX('Mapping'!$F$2:$F$60,MATCH(B906,'Mapping'!$A$2:$A$60,0)),"")</f>
        <v/>
      </c>
    </row>
    <row r="907">
      <c r="A907" s="32" t="n">
        <v>45839</v>
      </c>
      <c r="B907" s="33" t="n">
        <v>700</v>
      </c>
      <c r="C907" s="34" t="inlineStr">
        <is>
          <t>Langlopende leningen</t>
        </is>
      </c>
      <c r="D907" s="34" t="inlineStr">
        <is>
          <t>Balans</t>
        </is>
      </c>
      <c r="E907" s="34" t="inlineStr">
        <is>
          <t>Balans</t>
        </is>
      </c>
      <c r="F907" s="34" t="inlineStr"/>
      <c r="G907" s="35" t="n">
        <v>3800</v>
      </c>
      <c r="H907" s="35" t="n">
        <v>0</v>
      </c>
      <c r="I907" s="35">
        <f>G907-H907</f>
        <v/>
      </c>
      <c r="J907" s="33" t="n">
        <v>2025</v>
      </c>
      <c r="K907" s="33" t="n">
        <v>7</v>
      </c>
      <c r="L907" s="34" t="inlineStr">
        <is>
          <t>Balans</t>
        </is>
      </c>
      <c r="M907" s="34" t="inlineStr">
        <is>
          <t>Langlopende schulden</t>
        </is>
      </c>
      <c r="N907" s="34" t="inlineStr">
        <is>
          <t>Bankleningen</t>
        </is>
      </c>
      <c r="O907" s="36">
        <f>IFERROR(INDEX('Mapping'!$F$2:$F$60,MATCH(B907,'Mapping'!$A$2:$A$60,0)),"")</f>
        <v/>
      </c>
    </row>
    <row r="908">
      <c r="A908" s="32" t="n">
        <v>45870</v>
      </c>
      <c r="B908" s="33" t="n">
        <v>700</v>
      </c>
      <c r="C908" s="34" t="inlineStr">
        <is>
          <t>Langlopende leningen</t>
        </is>
      </c>
      <c r="D908" s="34" t="inlineStr">
        <is>
          <t>Balans</t>
        </is>
      </c>
      <c r="E908" s="34" t="inlineStr">
        <is>
          <t>Balans</t>
        </is>
      </c>
      <c r="F908" s="34" t="inlineStr"/>
      <c r="G908" s="35" t="n">
        <v>3500</v>
      </c>
      <c r="H908" s="35" t="n">
        <v>0</v>
      </c>
      <c r="I908" s="35">
        <f>G908-H908</f>
        <v/>
      </c>
      <c r="J908" s="33" t="n">
        <v>2025</v>
      </c>
      <c r="K908" s="33" t="n">
        <v>8</v>
      </c>
      <c r="L908" s="34" t="inlineStr">
        <is>
          <t>Balans</t>
        </is>
      </c>
      <c r="M908" s="34" t="inlineStr">
        <is>
          <t>Langlopende schulden</t>
        </is>
      </c>
      <c r="N908" s="34" t="inlineStr">
        <is>
          <t>Bankleningen</t>
        </is>
      </c>
      <c r="O908" s="36">
        <f>IFERROR(INDEX('Mapping'!$F$2:$F$60,MATCH(B908,'Mapping'!$A$2:$A$60,0)),"")</f>
        <v/>
      </c>
    </row>
    <row r="909">
      <c r="A909" s="32" t="n">
        <v>45901</v>
      </c>
      <c r="B909" s="33" t="n">
        <v>700</v>
      </c>
      <c r="C909" s="34" t="inlineStr">
        <is>
          <t>Langlopende leningen</t>
        </is>
      </c>
      <c r="D909" s="34" t="inlineStr">
        <is>
          <t>Balans</t>
        </is>
      </c>
      <c r="E909" s="34" t="inlineStr">
        <is>
          <t>Balans</t>
        </is>
      </c>
      <c r="F909" s="34" t="inlineStr"/>
      <c r="G909" s="35" t="n">
        <v>4400</v>
      </c>
      <c r="H909" s="35" t="n">
        <v>0</v>
      </c>
      <c r="I909" s="35">
        <f>G909-H909</f>
        <v/>
      </c>
      <c r="J909" s="33" t="n">
        <v>2025</v>
      </c>
      <c r="K909" s="33" t="n">
        <v>9</v>
      </c>
      <c r="L909" s="34" t="inlineStr">
        <is>
          <t>Balans</t>
        </is>
      </c>
      <c r="M909" s="34" t="inlineStr">
        <is>
          <t>Langlopende schulden</t>
        </is>
      </c>
      <c r="N909" s="34" t="inlineStr">
        <is>
          <t>Bankleningen</t>
        </is>
      </c>
      <c r="O909" s="36">
        <f>IFERROR(INDEX('Mapping'!$F$2:$F$60,MATCH(B909,'Mapping'!$A$2:$A$60,0)),"")</f>
        <v/>
      </c>
    </row>
    <row r="910">
      <c r="A910" s="32" t="n">
        <v>45931</v>
      </c>
      <c r="B910" s="33" t="n">
        <v>700</v>
      </c>
      <c r="C910" s="34" t="inlineStr">
        <is>
          <t>Langlopende leningen</t>
        </is>
      </c>
      <c r="D910" s="34" t="inlineStr">
        <is>
          <t>Balans</t>
        </is>
      </c>
      <c r="E910" s="34" t="inlineStr">
        <is>
          <t>Balans</t>
        </is>
      </c>
      <c r="F910" s="34" t="inlineStr"/>
      <c r="G910" s="35" t="n">
        <v>4500</v>
      </c>
      <c r="H910" s="35" t="n">
        <v>0</v>
      </c>
      <c r="I910" s="35">
        <f>G910-H910</f>
        <v/>
      </c>
      <c r="J910" s="33" t="n">
        <v>2025</v>
      </c>
      <c r="K910" s="33" t="n">
        <v>10</v>
      </c>
      <c r="L910" s="34" t="inlineStr">
        <is>
          <t>Balans</t>
        </is>
      </c>
      <c r="M910" s="34" t="inlineStr">
        <is>
          <t>Langlopende schulden</t>
        </is>
      </c>
      <c r="N910" s="34" t="inlineStr">
        <is>
          <t>Bankleningen</t>
        </is>
      </c>
      <c r="O910" s="36">
        <f>IFERROR(INDEX('Mapping'!$F$2:$F$60,MATCH(B910,'Mapping'!$A$2:$A$60,0)),"")</f>
        <v/>
      </c>
    </row>
    <row r="911">
      <c r="A911" s="32" t="n">
        <v>45962</v>
      </c>
      <c r="B911" s="33" t="n">
        <v>700</v>
      </c>
      <c r="C911" s="34" t="inlineStr">
        <is>
          <t>Langlopende leningen</t>
        </is>
      </c>
      <c r="D911" s="34" t="inlineStr">
        <is>
          <t>Balans</t>
        </is>
      </c>
      <c r="E911" s="34" t="inlineStr">
        <is>
          <t>Balans</t>
        </is>
      </c>
      <c r="F911" s="34" t="inlineStr"/>
      <c r="G911" s="35" t="n">
        <v>4300</v>
      </c>
      <c r="H911" s="35" t="n">
        <v>0</v>
      </c>
      <c r="I911" s="35">
        <f>G911-H911</f>
        <v/>
      </c>
      <c r="J911" s="33" t="n">
        <v>2025</v>
      </c>
      <c r="K911" s="33" t="n">
        <v>11</v>
      </c>
      <c r="L911" s="34" t="inlineStr">
        <is>
          <t>Balans</t>
        </is>
      </c>
      <c r="M911" s="34" t="inlineStr">
        <is>
          <t>Langlopende schulden</t>
        </is>
      </c>
      <c r="N911" s="34" t="inlineStr">
        <is>
          <t>Bankleningen</t>
        </is>
      </c>
      <c r="O911" s="36">
        <f>IFERROR(INDEX('Mapping'!$F$2:$F$60,MATCH(B911,'Mapping'!$A$2:$A$60,0)),"")</f>
        <v/>
      </c>
    </row>
    <row r="912">
      <c r="A912" s="32" t="n">
        <v>45992</v>
      </c>
      <c r="B912" s="33" t="n">
        <v>700</v>
      </c>
      <c r="C912" s="34" t="inlineStr">
        <is>
          <t>Langlopende leningen</t>
        </is>
      </c>
      <c r="D912" s="34" t="inlineStr">
        <is>
          <t>Balans</t>
        </is>
      </c>
      <c r="E912" s="34" t="inlineStr">
        <is>
          <t>Balans</t>
        </is>
      </c>
      <c r="F912" s="34" t="inlineStr"/>
      <c r="G912" s="35" t="n">
        <v>5200</v>
      </c>
      <c r="H912" s="35" t="n">
        <v>0</v>
      </c>
      <c r="I912" s="35">
        <f>G912-H912</f>
        <v/>
      </c>
      <c r="J912" s="33" t="n">
        <v>2025</v>
      </c>
      <c r="K912" s="33" t="n">
        <v>12</v>
      </c>
      <c r="L912" s="34" t="inlineStr">
        <is>
          <t>Balans</t>
        </is>
      </c>
      <c r="M912" s="34" t="inlineStr">
        <is>
          <t>Langlopende schulden</t>
        </is>
      </c>
      <c r="N912" s="34" t="inlineStr">
        <is>
          <t>Bankleningen</t>
        </is>
      </c>
      <c r="O912" s="36">
        <f>IFERROR(INDEX('Mapping'!$F$2:$F$60,MATCH(B912,'Mapping'!$A$2:$A$60,0)),"")</f>
        <v/>
      </c>
    </row>
    <row r="913">
      <c r="A913" s="32" t="n">
        <v>45292</v>
      </c>
      <c r="B913" s="33" t="n">
        <v>1600</v>
      </c>
      <c r="C913" s="34" t="inlineStr">
        <is>
          <t>Crediteuren (beginbalans)</t>
        </is>
      </c>
      <c r="D913" s="34" t="inlineStr">
        <is>
          <t>Balans</t>
        </is>
      </c>
      <c r="E913" s="34" t="inlineStr">
        <is>
          <t>Balans</t>
        </is>
      </c>
      <c r="F913" s="34" t="inlineStr"/>
      <c r="G913" s="35" t="n">
        <v>0</v>
      </c>
      <c r="H913" s="35" t="n">
        <v>440000</v>
      </c>
      <c r="I913" s="35">
        <f>G913-H913</f>
        <v/>
      </c>
      <c r="J913" s="33" t="n">
        <v>2024</v>
      </c>
      <c r="K913" s="33" t="n">
        <v>0</v>
      </c>
      <c r="L913" s="34" t="inlineStr">
        <is>
          <t>Balans</t>
        </is>
      </c>
      <c r="M913" s="34" t="inlineStr">
        <is>
          <t>Kortlopende schulden</t>
        </is>
      </c>
      <c r="N913" s="34" t="inlineStr">
        <is>
          <t>Handelscrediteuren</t>
        </is>
      </c>
      <c r="O913" s="36">
        <f>IFERROR(INDEX('Mapping'!$F$2:$F$60,MATCH(B913,'Mapping'!$A$2:$A$60,0)),"")</f>
        <v/>
      </c>
    </row>
    <row r="914">
      <c r="A914" s="32" t="n">
        <v>45292</v>
      </c>
      <c r="B914" s="33" t="n">
        <v>1600</v>
      </c>
      <c r="C914" s="34" t="inlineStr">
        <is>
          <t>Crediteuren</t>
        </is>
      </c>
      <c r="D914" s="34" t="inlineStr">
        <is>
          <t>Balans</t>
        </is>
      </c>
      <c r="E914" s="34" t="inlineStr">
        <is>
          <t>Balans</t>
        </is>
      </c>
      <c r="F914" s="34" t="inlineStr"/>
      <c r="G914" s="35" t="n">
        <v>0</v>
      </c>
      <c r="H914" s="35" t="n">
        <v>1400</v>
      </c>
      <c r="I914" s="35">
        <f>G914-H914</f>
        <v/>
      </c>
      <c r="J914" s="33" t="n">
        <v>2024</v>
      </c>
      <c r="K914" s="33" t="n">
        <v>1</v>
      </c>
      <c r="L914" s="34" t="inlineStr">
        <is>
          <t>Balans</t>
        </is>
      </c>
      <c r="M914" s="34" t="inlineStr">
        <is>
          <t>Kortlopende schulden</t>
        </is>
      </c>
      <c r="N914" s="34" t="inlineStr">
        <is>
          <t>Handelscrediteuren</t>
        </is>
      </c>
      <c r="O914" s="36">
        <f>IFERROR(INDEX('Mapping'!$F$2:$F$60,MATCH(B914,'Mapping'!$A$2:$A$60,0)),"")</f>
        <v/>
      </c>
    </row>
    <row r="915">
      <c r="A915" s="32" t="n">
        <v>45323</v>
      </c>
      <c r="B915" s="33" t="n">
        <v>1600</v>
      </c>
      <c r="C915" s="34" t="inlineStr">
        <is>
          <t>Crediteuren</t>
        </is>
      </c>
      <c r="D915" s="34" t="inlineStr">
        <is>
          <t>Balans</t>
        </is>
      </c>
      <c r="E915" s="34" t="inlineStr">
        <is>
          <t>Balans</t>
        </is>
      </c>
      <c r="F915" s="34" t="inlineStr"/>
      <c r="G915" s="35" t="n">
        <v>0</v>
      </c>
      <c r="H915" s="35" t="n">
        <v>1400</v>
      </c>
      <c r="I915" s="35">
        <f>G915-H915</f>
        <v/>
      </c>
      <c r="J915" s="33" t="n">
        <v>2024</v>
      </c>
      <c r="K915" s="33" t="n">
        <v>2</v>
      </c>
      <c r="L915" s="34" t="inlineStr">
        <is>
          <t>Balans</t>
        </is>
      </c>
      <c r="M915" s="34" t="inlineStr">
        <is>
          <t>Kortlopende schulden</t>
        </is>
      </c>
      <c r="N915" s="34" t="inlineStr">
        <is>
          <t>Handelscrediteuren</t>
        </is>
      </c>
      <c r="O915" s="36">
        <f>IFERROR(INDEX('Mapping'!$F$2:$F$60,MATCH(B915,'Mapping'!$A$2:$A$60,0)),"")</f>
        <v/>
      </c>
    </row>
    <row r="916">
      <c r="A916" s="32" t="n">
        <v>45352</v>
      </c>
      <c r="B916" s="33" t="n">
        <v>1600</v>
      </c>
      <c r="C916" s="34" t="inlineStr">
        <is>
          <t>Crediteuren</t>
        </is>
      </c>
      <c r="D916" s="34" t="inlineStr">
        <is>
          <t>Balans</t>
        </is>
      </c>
      <c r="E916" s="34" t="inlineStr">
        <is>
          <t>Balans</t>
        </is>
      </c>
      <c r="F916" s="34" t="inlineStr"/>
      <c r="G916" s="35" t="n">
        <v>0</v>
      </c>
      <c r="H916" s="35" t="n">
        <v>1760</v>
      </c>
      <c r="I916" s="35">
        <f>G916-H916</f>
        <v/>
      </c>
      <c r="J916" s="33" t="n">
        <v>2024</v>
      </c>
      <c r="K916" s="33" t="n">
        <v>3</v>
      </c>
      <c r="L916" s="34" t="inlineStr">
        <is>
          <t>Balans</t>
        </is>
      </c>
      <c r="M916" s="34" t="inlineStr">
        <is>
          <t>Kortlopende schulden</t>
        </is>
      </c>
      <c r="N916" s="34" t="inlineStr">
        <is>
          <t>Handelscrediteuren</t>
        </is>
      </c>
      <c r="O916" s="36">
        <f>IFERROR(INDEX('Mapping'!$F$2:$F$60,MATCH(B916,'Mapping'!$A$2:$A$60,0)),"")</f>
        <v/>
      </c>
    </row>
    <row r="917">
      <c r="A917" s="32" t="n">
        <v>45383</v>
      </c>
      <c r="B917" s="33" t="n">
        <v>1600</v>
      </c>
      <c r="C917" s="34" t="inlineStr">
        <is>
          <t>Crediteuren</t>
        </is>
      </c>
      <c r="D917" s="34" t="inlineStr">
        <is>
          <t>Balans</t>
        </is>
      </c>
      <c r="E917" s="34" t="inlineStr">
        <is>
          <t>Balans</t>
        </is>
      </c>
      <c r="F917" s="34" t="inlineStr"/>
      <c r="G917" s="35" t="n">
        <v>0</v>
      </c>
      <c r="H917" s="35" t="n">
        <v>1640</v>
      </c>
      <c r="I917" s="35">
        <f>G917-H917</f>
        <v/>
      </c>
      <c r="J917" s="33" t="n">
        <v>2024</v>
      </c>
      <c r="K917" s="33" t="n">
        <v>4</v>
      </c>
      <c r="L917" s="34" t="inlineStr">
        <is>
          <t>Balans</t>
        </is>
      </c>
      <c r="M917" s="34" t="inlineStr">
        <is>
          <t>Kortlopende schulden</t>
        </is>
      </c>
      <c r="N917" s="34" t="inlineStr">
        <is>
          <t>Handelscrediteuren</t>
        </is>
      </c>
      <c r="O917" s="36">
        <f>IFERROR(INDEX('Mapping'!$F$2:$F$60,MATCH(B917,'Mapping'!$A$2:$A$60,0)),"")</f>
        <v/>
      </c>
    </row>
    <row r="918">
      <c r="A918" s="32" t="n">
        <v>45413</v>
      </c>
      <c r="B918" s="33" t="n">
        <v>1600</v>
      </c>
      <c r="C918" s="34" t="inlineStr">
        <is>
          <t>Crediteuren</t>
        </is>
      </c>
      <c r="D918" s="34" t="inlineStr">
        <is>
          <t>Balans</t>
        </is>
      </c>
      <c r="E918" s="34" t="inlineStr">
        <is>
          <t>Balans</t>
        </is>
      </c>
      <c r="F918" s="34" t="inlineStr"/>
      <c r="G918" s="35" t="n">
        <v>0</v>
      </c>
      <c r="H918" s="35" t="n">
        <v>1720</v>
      </c>
      <c r="I918" s="35">
        <f>G918-H918</f>
        <v/>
      </c>
      <c r="J918" s="33" t="n">
        <v>2024</v>
      </c>
      <c r="K918" s="33" t="n">
        <v>5</v>
      </c>
      <c r="L918" s="34" t="inlineStr">
        <is>
          <t>Balans</t>
        </is>
      </c>
      <c r="M918" s="34" t="inlineStr">
        <is>
          <t>Kortlopende schulden</t>
        </is>
      </c>
      <c r="N918" s="34" t="inlineStr">
        <is>
          <t>Handelscrediteuren</t>
        </is>
      </c>
      <c r="O918" s="36">
        <f>IFERROR(INDEX('Mapping'!$F$2:$F$60,MATCH(B918,'Mapping'!$A$2:$A$60,0)),"")</f>
        <v/>
      </c>
    </row>
    <row r="919">
      <c r="A919" s="32" t="n">
        <v>45444</v>
      </c>
      <c r="B919" s="33" t="n">
        <v>1600</v>
      </c>
      <c r="C919" s="34" t="inlineStr">
        <is>
          <t>Crediteuren</t>
        </is>
      </c>
      <c r="D919" s="34" t="inlineStr">
        <is>
          <t>Balans</t>
        </is>
      </c>
      <c r="E919" s="34" t="inlineStr">
        <is>
          <t>Balans</t>
        </is>
      </c>
      <c r="F919" s="34" t="inlineStr"/>
      <c r="G919" s="35" t="n">
        <v>0</v>
      </c>
      <c r="H919" s="35" t="n">
        <v>1800</v>
      </c>
      <c r="I919" s="35">
        <f>G919-H919</f>
        <v/>
      </c>
      <c r="J919" s="33" t="n">
        <v>2024</v>
      </c>
      <c r="K919" s="33" t="n">
        <v>6</v>
      </c>
      <c r="L919" s="34" t="inlineStr">
        <is>
          <t>Balans</t>
        </is>
      </c>
      <c r="M919" s="34" t="inlineStr">
        <is>
          <t>Kortlopende schulden</t>
        </is>
      </c>
      <c r="N919" s="34" t="inlineStr">
        <is>
          <t>Handelscrediteuren</t>
        </is>
      </c>
      <c r="O919" s="36">
        <f>IFERROR(INDEX('Mapping'!$F$2:$F$60,MATCH(B919,'Mapping'!$A$2:$A$60,0)),"")</f>
        <v/>
      </c>
    </row>
    <row r="920">
      <c r="A920" s="32" t="n">
        <v>45474</v>
      </c>
      <c r="B920" s="33" t="n">
        <v>1600</v>
      </c>
      <c r="C920" s="34" t="inlineStr">
        <is>
          <t>Crediteuren</t>
        </is>
      </c>
      <c r="D920" s="34" t="inlineStr">
        <is>
          <t>Balans</t>
        </is>
      </c>
      <c r="E920" s="34" t="inlineStr">
        <is>
          <t>Balans</t>
        </is>
      </c>
      <c r="F920" s="34" t="inlineStr"/>
      <c r="G920" s="35" t="n">
        <v>0</v>
      </c>
      <c r="H920" s="35" t="n">
        <v>1520</v>
      </c>
      <c r="I920" s="35">
        <f>G920-H920</f>
        <v/>
      </c>
      <c r="J920" s="33" t="n">
        <v>2024</v>
      </c>
      <c r="K920" s="33" t="n">
        <v>7</v>
      </c>
      <c r="L920" s="34" t="inlineStr">
        <is>
          <t>Balans</t>
        </is>
      </c>
      <c r="M920" s="34" t="inlineStr">
        <is>
          <t>Kortlopende schulden</t>
        </is>
      </c>
      <c r="N920" s="34" t="inlineStr">
        <is>
          <t>Handelscrediteuren</t>
        </is>
      </c>
      <c r="O920" s="36">
        <f>IFERROR(INDEX('Mapping'!$F$2:$F$60,MATCH(B920,'Mapping'!$A$2:$A$60,0)),"")</f>
        <v/>
      </c>
    </row>
    <row r="921">
      <c r="A921" s="32" t="n">
        <v>45505</v>
      </c>
      <c r="B921" s="33" t="n">
        <v>1600</v>
      </c>
      <c r="C921" s="34" t="inlineStr">
        <is>
          <t>Crediteuren</t>
        </is>
      </c>
      <c r="D921" s="34" t="inlineStr">
        <is>
          <t>Balans</t>
        </is>
      </c>
      <c r="E921" s="34" t="inlineStr">
        <is>
          <t>Balans</t>
        </is>
      </c>
      <c r="F921" s="34" t="inlineStr"/>
      <c r="G921" s="35" t="n">
        <v>0</v>
      </c>
      <c r="H921" s="35" t="n">
        <v>1400</v>
      </c>
      <c r="I921" s="35">
        <f>G921-H921</f>
        <v/>
      </c>
      <c r="J921" s="33" t="n">
        <v>2024</v>
      </c>
      <c r="K921" s="33" t="n">
        <v>8</v>
      </c>
      <c r="L921" s="34" t="inlineStr">
        <is>
          <t>Balans</t>
        </is>
      </c>
      <c r="M921" s="34" t="inlineStr">
        <is>
          <t>Kortlopende schulden</t>
        </is>
      </c>
      <c r="N921" s="34" t="inlineStr">
        <is>
          <t>Handelscrediteuren</t>
        </is>
      </c>
      <c r="O921" s="36">
        <f>IFERROR(INDEX('Mapping'!$F$2:$F$60,MATCH(B921,'Mapping'!$A$2:$A$60,0)),"")</f>
        <v/>
      </c>
    </row>
    <row r="922">
      <c r="A922" s="32" t="n">
        <v>45536</v>
      </c>
      <c r="B922" s="33" t="n">
        <v>1600</v>
      </c>
      <c r="C922" s="34" t="inlineStr">
        <is>
          <t>Crediteuren</t>
        </is>
      </c>
      <c r="D922" s="34" t="inlineStr">
        <is>
          <t>Balans</t>
        </is>
      </c>
      <c r="E922" s="34" t="inlineStr">
        <is>
          <t>Balans</t>
        </is>
      </c>
      <c r="F922" s="34" t="inlineStr"/>
      <c r="G922" s="35" t="n">
        <v>0</v>
      </c>
      <c r="H922" s="35" t="n">
        <v>1760</v>
      </c>
      <c r="I922" s="35">
        <f>G922-H922</f>
        <v/>
      </c>
      <c r="J922" s="33" t="n">
        <v>2024</v>
      </c>
      <c r="K922" s="33" t="n">
        <v>9</v>
      </c>
      <c r="L922" s="34" t="inlineStr">
        <is>
          <t>Balans</t>
        </is>
      </c>
      <c r="M922" s="34" t="inlineStr">
        <is>
          <t>Kortlopende schulden</t>
        </is>
      </c>
      <c r="N922" s="34" t="inlineStr">
        <is>
          <t>Handelscrediteuren</t>
        </is>
      </c>
      <c r="O922" s="36">
        <f>IFERROR(INDEX('Mapping'!$F$2:$F$60,MATCH(B922,'Mapping'!$A$2:$A$60,0)),"")</f>
        <v/>
      </c>
    </row>
    <row r="923">
      <c r="A923" s="32" t="n">
        <v>45566</v>
      </c>
      <c r="B923" s="33" t="n">
        <v>1600</v>
      </c>
      <c r="C923" s="34" t="inlineStr">
        <is>
          <t>Crediteuren</t>
        </is>
      </c>
      <c r="D923" s="34" t="inlineStr">
        <is>
          <t>Balans</t>
        </is>
      </c>
      <c r="E923" s="34" t="inlineStr">
        <is>
          <t>Balans</t>
        </is>
      </c>
      <c r="F923" s="34" t="inlineStr"/>
      <c r="G923" s="35" t="n">
        <v>0</v>
      </c>
      <c r="H923" s="35" t="n">
        <v>1800</v>
      </c>
      <c r="I923" s="35">
        <f>G923-H923</f>
        <v/>
      </c>
      <c r="J923" s="33" t="n">
        <v>2024</v>
      </c>
      <c r="K923" s="33" t="n">
        <v>10</v>
      </c>
      <c r="L923" s="34" t="inlineStr">
        <is>
          <t>Balans</t>
        </is>
      </c>
      <c r="M923" s="34" t="inlineStr">
        <is>
          <t>Kortlopende schulden</t>
        </is>
      </c>
      <c r="N923" s="34" t="inlineStr">
        <is>
          <t>Handelscrediteuren</t>
        </is>
      </c>
      <c r="O923" s="36">
        <f>IFERROR(INDEX('Mapping'!$F$2:$F$60,MATCH(B923,'Mapping'!$A$2:$A$60,0)),"")</f>
        <v/>
      </c>
    </row>
    <row r="924">
      <c r="A924" s="32" t="n">
        <v>45597</v>
      </c>
      <c r="B924" s="33" t="n">
        <v>1600</v>
      </c>
      <c r="C924" s="34" t="inlineStr">
        <is>
          <t>Crediteuren</t>
        </is>
      </c>
      <c r="D924" s="34" t="inlineStr">
        <is>
          <t>Balans</t>
        </is>
      </c>
      <c r="E924" s="34" t="inlineStr">
        <is>
          <t>Balans</t>
        </is>
      </c>
      <c r="F924" s="34" t="inlineStr"/>
      <c r="G924" s="35" t="n">
        <v>0</v>
      </c>
      <c r="H924" s="35" t="n">
        <v>1720</v>
      </c>
      <c r="I924" s="35">
        <f>G924-H924</f>
        <v/>
      </c>
      <c r="J924" s="33" t="n">
        <v>2024</v>
      </c>
      <c r="K924" s="33" t="n">
        <v>11</v>
      </c>
      <c r="L924" s="34" t="inlineStr">
        <is>
          <t>Balans</t>
        </is>
      </c>
      <c r="M924" s="34" t="inlineStr">
        <is>
          <t>Kortlopende schulden</t>
        </is>
      </c>
      <c r="N924" s="34" t="inlineStr">
        <is>
          <t>Handelscrediteuren</t>
        </is>
      </c>
      <c r="O924" s="36">
        <f>IFERROR(INDEX('Mapping'!$F$2:$F$60,MATCH(B924,'Mapping'!$A$2:$A$60,0)),"")</f>
        <v/>
      </c>
    </row>
    <row r="925">
      <c r="A925" s="32" t="n">
        <v>45627</v>
      </c>
      <c r="B925" s="33" t="n">
        <v>1600</v>
      </c>
      <c r="C925" s="34" t="inlineStr">
        <is>
          <t>Crediteuren</t>
        </is>
      </c>
      <c r="D925" s="34" t="inlineStr">
        <is>
          <t>Balans</t>
        </is>
      </c>
      <c r="E925" s="34" t="inlineStr">
        <is>
          <t>Balans</t>
        </is>
      </c>
      <c r="F925" s="34" t="inlineStr"/>
      <c r="G925" s="35" t="n">
        <v>0</v>
      </c>
      <c r="H925" s="35" t="n">
        <v>2080</v>
      </c>
      <c r="I925" s="35">
        <f>G925-H925</f>
        <v/>
      </c>
      <c r="J925" s="33" t="n">
        <v>2024</v>
      </c>
      <c r="K925" s="33" t="n">
        <v>12</v>
      </c>
      <c r="L925" s="34" t="inlineStr">
        <is>
          <t>Balans</t>
        </is>
      </c>
      <c r="M925" s="34" t="inlineStr">
        <is>
          <t>Kortlopende schulden</t>
        </is>
      </c>
      <c r="N925" s="34" t="inlineStr">
        <is>
          <t>Handelscrediteuren</t>
        </is>
      </c>
      <c r="O925" s="36">
        <f>IFERROR(INDEX('Mapping'!$F$2:$F$60,MATCH(B925,'Mapping'!$A$2:$A$60,0)),"")</f>
        <v/>
      </c>
    </row>
    <row r="926">
      <c r="A926" s="32" t="n">
        <v>45658</v>
      </c>
      <c r="B926" s="33" t="n">
        <v>1600</v>
      </c>
      <c r="C926" s="34" t="inlineStr">
        <is>
          <t>Crediteuren (beginbalans)</t>
        </is>
      </c>
      <c r="D926" s="34" t="inlineStr">
        <is>
          <t>Balans</t>
        </is>
      </c>
      <c r="E926" s="34" t="inlineStr">
        <is>
          <t>Balans</t>
        </is>
      </c>
      <c r="F926" s="34" t="inlineStr"/>
      <c r="G926" s="35" t="n">
        <v>0</v>
      </c>
      <c r="H926" s="35" t="n">
        <v>460000</v>
      </c>
      <c r="I926" s="35">
        <f>G926-H926</f>
        <v/>
      </c>
      <c r="J926" s="33" t="n">
        <v>2025</v>
      </c>
      <c r="K926" s="33" t="n">
        <v>0</v>
      </c>
      <c r="L926" s="34" t="inlineStr">
        <is>
          <t>Balans</t>
        </is>
      </c>
      <c r="M926" s="34" t="inlineStr">
        <is>
          <t>Kortlopende schulden</t>
        </is>
      </c>
      <c r="N926" s="34" t="inlineStr">
        <is>
          <t>Handelscrediteuren</t>
        </is>
      </c>
      <c r="O926" s="36">
        <f>IFERROR(INDEX('Mapping'!$F$2:$F$60,MATCH(B926,'Mapping'!$A$2:$A$60,0)),"")</f>
        <v/>
      </c>
    </row>
    <row r="927">
      <c r="A927" s="32" t="n">
        <v>45658</v>
      </c>
      <c r="B927" s="33" t="n">
        <v>1600</v>
      </c>
      <c r="C927" s="34" t="inlineStr">
        <is>
          <t>Crediteuren</t>
        </is>
      </c>
      <c r="D927" s="34" t="inlineStr">
        <is>
          <t>Balans</t>
        </is>
      </c>
      <c r="E927" s="34" t="inlineStr">
        <is>
          <t>Balans</t>
        </is>
      </c>
      <c r="F927" s="34" t="inlineStr"/>
      <c r="G927" s="35" t="n">
        <v>2100</v>
      </c>
      <c r="H927" s="35" t="n">
        <v>0</v>
      </c>
      <c r="I927" s="35">
        <f>G927-H927</f>
        <v/>
      </c>
      <c r="J927" s="33" t="n">
        <v>2025</v>
      </c>
      <c r="K927" s="33" t="n">
        <v>1</v>
      </c>
      <c r="L927" s="34" t="inlineStr">
        <is>
          <t>Balans</t>
        </is>
      </c>
      <c r="M927" s="34" t="inlineStr">
        <is>
          <t>Kortlopende schulden</t>
        </is>
      </c>
      <c r="N927" s="34" t="inlineStr">
        <is>
          <t>Handelscrediteuren</t>
        </is>
      </c>
      <c r="O927" s="36">
        <f>IFERROR(INDEX('Mapping'!$F$2:$F$60,MATCH(B927,'Mapping'!$A$2:$A$60,0)),"")</f>
        <v/>
      </c>
    </row>
    <row r="928">
      <c r="A928" s="32" t="n">
        <v>45689</v>
      </c>
      <c r="B928" s="33" t="n">
        <v>1600</v>
      </c>
      <c r="C928" s="34" t="inlineStr">
        <is>
          <t>Crediteuren</t>
        </is>
      </c>
      <c r="D928" s="34" t="inlineStr">
        <is>
          <t>Balans</t>
        </is>
      </c>
      <c r="E928" s="34" t="inlineStr">
        <is>
          <t>Balans</t>
        </is>
      </c>
      <c r="F928" s="34" t="inlineStr"/>
      <c r="G928" s="35" t="n">
        <v>2100</v>
      </c>
      <c r="H928" s="35" t="n">
        <v>0</v>
      </c>
      <c r="I928" s="35">
        <f>G928-H928</f>
        <v/>
      </c>
      <c r="J928" s="33" t="n">
        <v>2025</v>
      </c>
      <c r="K928" s="33" t="n">
        <v>2</v>
      </c>
      <c r="L928" s="34" t="inlineStr">
        <is>
          <t>Balans</t>
        </is>
      </c>
      <c r="M928" s="34" t="inlineStr">
        <is>
          <t>Kortlopende schulden</t>
        </is>
      </c>
      <c r="N928" s="34" t="inlineStr">
        <is>
          <t>Handelscrediteuren</t>
        </is>
      </c>
      <c r="O928" s="36">
        <f>IFERROR(INDEX('Mapping'!$F$2:$F$60,MATCH(B928,'Mapping'!$A$2:$A$60,0)),"")</f>
        <v/>
      </c>
    </row>
    <row r="929">
      <c r="A929" s="32" t="n">
        <v>45717</v>
      </c>
      <c r="B929" s="33" t="n">
        <v>1600</v>
      </c>
      <c r="C929" s="34" t="inlineStr">
        <is>
          <t>Crediteuren</t>
        </is>
      </c>
      <c r="D929" s="34" t="inlineStr">
        <is>
          <t>Balans</t>
        </is>
      </c>
      <c r="E929" s="34" t="inlineStr">
        <is>
          <t>Balans</t>
        </is>
      </c>
      <c r="F929" s="34" t="inlineStr"/>
      <c r="G929" s="35" t="n">
        <v>2640</v>
      </c>
      <c r="H929" s="35" t="n">
        <v>0</v>
      </c>
      <c r="I929" s="35">
        <f>G929-H929</f>
        <v/>
      </c>
      <c r="J929" s="33" t="n">
        <v>2025</v>
      </c>
      <c r="K929" s="33" t="n">
        <v>3</v>
      </c>
      <c r="L929" s="34" t="inlineStr">
        <is>
          <t>Balans</t>
        </is>
      </c>
      <c r="M929" s="34" t="inlineStr">
        <is>
          <t>Kortlopende schulden</t>
        </is>
      </c>
      <c r="N929" s="34" t="inlineStr">
        <is>
          <t>Handelscrediteuren</t>
        </is>
      </c>
      <c r="O929" s="36">
        <f>IFERROR(INDEX('Mapping'!$F$2:$F$60,MATCH(B929,'Mapping'!$A$2:$A$60,0)),"")</f>
        <v/>
      </c>
    </row>
    <row r="930">
      <c r="A930" s="32" t="n">
        <v>45748</v>
      </c>
      <c r="B930" s="33" t="n">
        <v>1600</v>
      </c>
      <c r="C930" s="34" t="inlineStr">
        <is>
          <t>Crediteuren</t>
        </is>
      </c>
      <c r="D930" s="34" t="inlineStr">
        <is>
          <t>Balans</t>
        </is>
      </c>
      <c r="E930" s="34" t="inlineStr">
        <is>
          <t>Balans</t>
        </is>
      </c>
      <c r="F930" s="34" t="inlineStr"/>
      <c r="G930" s="35" t="n">
        <v>2460</v>
      </c>
      <c r="H930" s="35" t="n">
        <v>0</v>
      </c>
      <c r="I930" s="35">
        <f>G930-H930</f>
        <v/>
      </c>
      <c r="J930" s="33" t="n">
        <v>2025</v>
      </c>
      <c r="K930" s="33" t="n">
        <v>4</v>
      </c>
      <c r="L930" s="34" t="inlineStr">
        <is>
          <t>Balans</t>
        </is>
      </c>
      <c r="M930" s="34" t="inlineStr">
        <is>
          <t>Kortlopende schulden</t>
        </is>
      </c>
      <c r="N930" s="34" t="inlineStr">
        <is>
          <t>Handelscrediteuren</t>
        </is>
      </c>
      <c r="O930" s="36">
        <f>IFERROR(INDEX('Mapping'!$F$2:$F$60,MATCH(B930,'Mapping'!$A$2:$A$60,0)),"")</f>
        <v/>
      </c>
    </row>
    <row r="931">
      <c r="A931" s="32" t="n">
        <v>45778</v>
      </c>
      <c r="B931" s="33" t="n">
        <v>1600</v>
      </c>
      <c r="C931" s="34" t="inlineStr">
        <is>
          <t>Crediteuren</t>
        </is>
      </c>
      <c r="D931" s="34" t="inlineStr">
        <is>
          <t>Balans</t>
        </is>
      </c>
      <c r="E931" s="34" t="inlineStr">
        <is>
          <t>Balans</t>
        </is>
      </c>
      <c r="F931" s="34" t="inlineStr"/>
      <c r="G931" s="35" t="n">
        <v>2580</v>
      </c>
      <c r="H931" s="35" t="n">
        <v>0</v>
      </c>
      <c r="I931" s="35">
        <f>G931-H931</f>
        <v/>
      </c>
      <c r="J931" s="33" t="n">
        <v>2025</v>
      </c>
      <c r="K931" s="33" t="n">
        <v>5</v>
      </c>
      <c r="L931" s="34" t="inlineStr">
        <is>
          <t>Balans</t>
        </is>
      </c>
      <c r="M931" s="34" t="inlineStr">
        <is>
          <t>Kortlopende schulden</t>
        </is>
      </c>
      <c r="N931" s="34" t="inlineStr">
        <is>
          <t>Handelscrediteuren</t>
        </is>
      </c>
      <c r="O931" s="36">
        <f>IFERROR(INDEX('Mapping'!$F$2:$F$60,MATCH(B931,'Mapping'!$A$2:$A$60,0)),"")</f>
        <v/>
      </c>
    </row>
    <row r="932">
      <c r="A932" s="32" t="n">
        <v>45809</v>
      </c>
      <c r="B932" s="33" t="n">
        <v>1600</v>
      </c>
      <c r="C932" s="34" t="inlineStr">
        <is>
          <t>Crediteuren</t>
        </is>
      </c>
      <c r="D932" s="34" t="inlineStr">
        <is>
          <t>Balans</t>
        </is>
      </c>
      <c r="E932" s="34" t="inlineStr">
        <is>
          <t>Balans</t>
        </is>
      </c>
      <c r="F932" s="34" t="inlineStr"/>
      <c r="G932" s="35" t="n">
        <v>2700</v>
      </c>
      <c r="H932" s="35" t="n">
        <v>0</v>
      </c>
      <c r="I932" s="35">
        <f>G932-H932</f>
        <v/>
      </c>
      <c r="J932" s="33" t="n">
        <v>2025</v>
      </c>
      <c r="K932" s="33" t="n">
        <v>6</v>
      </c>
      <c r="L932" s="34" t="inlineStr">
        <is>
          <t>Balans</t>
        </is>
      </c>
      <c r="M932" s="34" t="inlineStr">
        <is>
          <t>Kortlopende schulden</t>
        </is>
      </c>
      <c r="N932" s="34" t="inlineStr">
        <is>
          <t>Handelscrediteuren</t>
        </is>
      </c>
      <c r="O932" s="36">
        <f>IFERROR(INDEX('Mapping'!$F$2:$F$60,MATCH(B932,'Mapping'!$A$2:$A$60,0)),"")</f>
        <v/>
      </c>
    </row>
    <row r="933">
      <c r="A933" s="32" t="n">
        <v>45839</v>
      </c>
      <c r="B933" s="33" t="n">
        <v>1600</v>
      </c>
      <c r="C933" s="34" t="inlineStr">
        <is>
          <t>Crediteuren</t>
        </is>
      </c>
      <c r="D933" s="34" t="inlineStr">
        <is>
          <t>Balans</t>
        </is>
      </c>
      <c r="E933" s="34" t="inlineStr">
        <is>
          <t>Balans</t>
        </is>
      </c>
      <c r="F933" s="34" t="inlineStr"/>
      <c r="G933" s="35" t="n">
        <v>2280</v>
      </c>
      <c r="H933" s="35" t="n">
        <v>0</v>
      </c>
      <c r="I933" s="35">
        <f>G933-H933</f>
        <v/>
      </c>
      <c r="J933" s="33" t="n">
        <v>2025</v>
      </c>
      <c r="K933" s="33" t="n">
        <v>7</v>
      </c>
      <c r="L933" s="34" t="inlineStr">
        <is>
          <t>Balans</t>
        </is>
      </c>
      <c r="M933" s="34" t="inlineStr">
        <is>
          <t>Kortlopende schulden</t>
        </is>
      </c>
      <c r="N933" s="34" t="inlineStr">
        <is>
          <t>Handelscrediteuren</t>
        </is>
      </c>
      <c r="O933" s="36">
        <f>IFERROR(INDEX('Mapping'!$F$2:$F$60,MATCH(B933,'Mapping'!$A$2:$A$60,0)),"")</f>
        <v/>
      </c>
    </row>
    <row r="934">
      <c r="A934" s="32" t="n">
        <v>45870</v>
      </c>
      <c r="B934" s="33" t="n">
        <v>1600</v>
      </c>
      <c r="C934" s="34" t="inlineStr">
        <is>
          <t>Crediteuren</t>
        </is>
      </c>
      <c r="D934" s="34" t="inlineStr">
        <is>
          <t>Balans</t>
        </is>
      </c>
      <c r="E934" s="34" t="inlineStr">
        <is>
          <t>Balans</t>
        </is>
      </c>
      <c r="F934" s="34" t="inlineStr"/>
      <c r="G934" s="35" t="n">
        <v>2100</v>
      </c>
      <c r="H934" s="35" t="n">
        <v>0</v>
      </c>
      <c r="I934" s="35">
        <f>G934-H934</f>
        <v/>
      </c>
      <c r="J934" s="33" t="n">
        <v>2025</v>
      </c>
      <c r="K934" s="33" t="n">
        <v>8</v>
      </c>
      <c r="L934" s="34" t="inlineStr">
        <is>
          <t>Balans</t>
        </is>
      </c>
      <c r="M934" s="34" t="inlineStr">
        <is>
          <t>Kortlopende schulden</t>
        </is>
      </c>
      <c r="N934" s="34" t="inlineStr">
        <is>
          <t>Handelscrediteuren</t>
        </is>
      </c>
      <c r="O934" s="36">
        <f>IFERROR(INDEX('Mapping'!$F$2:$F$60,MATCH(B934,'Mapping'!$A$2:$A$60,0)),"")</f>
        <v/>
      </c>
    </row>
    <row r="935">
      <c r="A935" s="32" t="n">
        <v>45901</v>
      </c>
      <c r="B935" s="33" t="n">
        <v>1600</v>
      </c>
      <c r="C935" s="34" t="inlineStr">
        <is>
          <t>Crediteuren</t>
        </is>
      </c>
      <c r="D935" s="34" t="inlineStr">
        <is>
          <t>Balans</t>
        </is>
      </c>
      <c r="E935" s="34" t="inlineStr">
        <is>
          <t>Balans</t>
        </is>
      </c>
      <c r="F935" s="34" t="inlineStr"/>
      <c r="G935" s="35" t="n">
        <v>2640</v>
      </c>
      <c r="H935" s="35" t="n">
        <v>0</v>
      </c>
      <c r="I935" s="35">
        <f>G935-H935</f>
        <v/>
      </c>
      <c r="J935" s="33" t="n">
        <v>2025</v>
      </c>
      <c r="K935" s="33" t="n">
        <v>9</v>
      </c>
      <c r="L935" s="34" t="inlineStr">
        <is>
          <t>Balans</t>
        </is>
      </c>
      <c r="M935" s="34" t="inlineStr">
        <is>
          <t>Kortlopende schulden</t>
        </is>
      </c>
      <c r="N935" s="34" t="inlineStr">
        <is>
          <t>Handelscrediteuren</t>
        </is>
      </c>
      <c r="O935" s="36">
        <f>IFERROR(INDEX('Mapping'!$F$2:$F$60,MATCH(B935,'Mapping'!$A$2:$A$60,0)),"")</f>
        <v/>
      </c>
    </row>
    <row r="936">
      <c r="A936" s="32" t="n">
        <v>45931</v>
      </c>
      <c r="B936" s="33" t="n">
        <v>1600</v>
      </c>
      <c r="C936" s="34" t="inlineStr">
        <is>
          <t>Crediteuren</t>
        </is>
      </c>
      <c r="D936" s="34" t="inlineStr">
        <is>
          <t>Balans</t>
        </is>
      </c>
      <c r="E936" s="34" t="inlineStr">
        <is>
          <t>Balans</t>
        </is>
      </c>
      <c r="F936" s="34" t="inlineStr"/>
      <c r="G936" s="35" t="n">
        <v>2700</v>
      </c>
      <c r="H936" s="35" t="n">
        <v>0</v>
      </c>
      <c r="I936" s="35">
        <f>G936-H936</f>
        <v/>
      </c>
      <c r="J936" s="33" t="n">
        <v>2025</v>
      </c>
      <c r="K936" s="33" t="n">
        <v>10</v>
      </c>
      <c r="L936" s="34" t="inlineStr">
        <is>
          <t>Balans</t>
        </is>
      </c>
      <c r="M936" s="34" t="inlineStr">
        <is>
          <t>Kortlopende schulden</t>
        </is>
      </c>
      <c r="N936" s="34" t="inlineStr">
        <is>
          <t>Handelscrediteuren</t>
        </is>
      </c>
      <c r="O936" s="36">
        <f>IFERROR(INDEX('Mapping'!$F$2:$F$60,MATCH(B936,'Mapping'!$A$2:$A$60,0)),"")</f>
        <v/>
      </c>
    </row>
    <row r="937">
      <c r="A937" s="32" t="n">
        <v>45962</v>
      </c>
      <c r="B937" s="33" t="n">
        <v>1600</v>
      </c>
      <c r="C937" s="34" t="inlineStr">
        <is>
          <t>Crediteuren</t>
        </is>
      </c>
      <c r="D937" s="34" t="inlineStr">
        <is>
          <t>Balans</t>
        </is>
      </c>
      <c r="E937" s="34" t="inlineStr">
        <is>
          <t>Balans</t>
        </is>
      </c>
      <c r="F937" s="34" t="inlineStr"/>
      <c r="G937" s="35" t="n">
        <v>2580</v>
      </c>
      <c r="H937" s="35" t="n">
        <v>0</v>
      </c>
      <c r="I937" s="35">
        <f>G937-H937</f>
        <v/>
      </c>
      <c r="J937" s="33" t="n">
        <v>2025</v>
      </c>
      <c r="K937" s="33" t="n">
        <v>11</v>
      </c>
      <c r="L937" s="34" t="inlineStr">
        <is>
          <t>Balans</t>
        </is>
      </c>
      <c r="M937" s="34" t="inlineStr">
        <is>
          <t>Kortlopende schulden</t>
        </is>
      </c>
      <c r="N937" s="34" t="inlineStr">
        <is>
          <t>Handelscrediteuren</t>
        </is>
      </c>
      <c r="O937" s="36">
        <f>IFERROR(INDEX('Mapping'!$F$2:$F$60,MATCH(B937,'Mapping'!$A$2:$A$60,0)),"")</f>
        <v/>
      </c>
    </row>
    <row r="938">
      <c r="A938" s="32" t="n">
        <v>45992</v>
      </c>
      <c r="B938" s="33" t="n">
        <v>1600</v>
      </c>
      <c r="C938" s="34" t="inlineStr">
        <is>
          <t>Crediteuren</t>
        </is>
      </c>
      <c r="D938" s="34" t="inlineStr">
        <is>
          <t>Balans</t>
        </is>
      </c>
      <c r="E938" s="34" t="inlineStr">
        <is>
          <t>Balans</t>
        </is>
      </c>
      <c r="F938" s="34" t="inlineStr"/>
      <c r="G938" s="35" t="n">
        <v>3120</v>
      </c>
      <c r="H938" s="35" t="n">
        <v>0</v>
      </c>
      <c r="I938" s="35">
        <f>G938-H938</f>
        <v/>
      </c>
      <c r="J938" s="33" t="n">
        <v>2025</v>
      </c>
      <c r="K938" s="33" t="n">
        <v>12</v>
      </c>
      <c r="L938" s="34" t="inlineStr">
        <is>
          <t>Balans</t>
        </is>
      </c>
      <c r="M938" s="34" t="inlineStr">
        <is>
          <t>Kortlopende schulden</t>
        </is>
      </c>
      <c r="N938" s="34" t="inlineStr">
        <is>
          <t>Handelscrediteuren</t>
        </is>
      </c>
      <c r="O938" s="36">
        <f>IFERROR(INDEX('Mapping'!$F$2:$F$60,MATCH(B938,'Mapping'!$A$2:$A$60,0)),"")</f>
        <v/>
      </c>
    </row>
    <row r="939">
      <c r="A939" s="32" t="n">
        <v>45292</v>
      </c>
      <c r="B939" s="33" t="n">
        <v>1620</v>
      </c>
      <c r="C939" s="34" t="inlineStr">
        <is>
          <t>Af te dragen omzetbelasting (beginbalans)</t>
        </is>
      </c>
      <c r="D939" s="34" t="inlineStr">
        <is>
          <t>Balans</t>
        </is>
      </c>
      <c r="E939" s="34" t="inlineStr">
        <is>
          <t>Balans</t>
        </is>
      </c>
      <c r="F939" s="34" t="inlineStr"/>
      <c r="G939" s="35" t="n">
        <v>0</v>
      </c>
      <c r="H939" s="35" t="n">
        <v>95000</v>
      </c>
      <c r="I939" s="35">
        <f>G939-H939</f>
        <v/>
      </c>
      <c r="J939" s="33" t="n">
        <v>2024</v>
      </c>
      <c r="K939" s="33" t="n">
        <v>0</v>
      </c>
      <c r="L939" s="34" t="inlineStr">
        <is>
          <t>Balans</t>
        </is>
      </c>
      <c r="M939" s="34" t="inlineStr">
        <is>
          <t>Kortlopende schulden</t>
        </is>
      </c>
      <c r="N939" s="34" t="inlineStr">
        <is>
          <t>Omzetbelasting</t>
        </is>
      </c>
      <c r="O939" s="36">
        <f>IFERROR(INDEX('Mapping'!$F$2:$F$60,MATCH(B939,'Mapping'!$A$2:$A$60,0)),"")</f>
        <v/>
      </c>
    </row>
    <row r="940">
      <c r="A940" s="32" t="n">
        <v>45292</v>
      </c>
      <c r="B940" s="33" t="n">
        <v>1620</v>
      </c>
      <c r="C940" s="34" t="inlineStr">
        <is>
          <t>Af te dragen omzetbelasting</t>
        </is>
      </c>
      <c r="D940" s="34" t="inlineStr">
        <is>
          <t>Balans</t>
        </is>
      </c>
      <c r="E940" s="34" t="inlineStr">
        <is>
          <t>Balans</t>
        </is>
      </c>
      <c r="F940" s="34" t="inlineStr"/>
      <c r="G940" s="35" t="n">
        <v>1050</v>
      </c>
      <c r="H940" s="35" t="n">
        <v>0</v>
      </c>
      <c r="I940" s="35">
        <f>G940-H940</f>
        <v/>
      </c>
      <c r="J940" s="33" t="n">
        <v>2024</v>
      </c>
      <c r="K940" s="33" t="n">
        <v>1</v>
      </c>
      <c r="L940" s="34" t="inlineStr">
        <is>
          <t>Balans</t>
        </is>
      </c>
      <c r="M940" s="34" t="inlineStr">
        <is>
          <t>Kortlopende schulden</t>
        </is>
      </c>
      <c r="N940" s="34" t="inlineStr">
        <is>
          <t>Omzetbelasting</t>
        </is>
      </c>
      <c r="O940" s="36">
        <f>IFERROR(INDEX('Mapping'!$F$2:$F$60,MATCH(B940,'Mapping'!$A$2:$A$60,0)),"")</f>
        <v/>
      </c>
    </row>
    <row r="941">
      <c r="A941" s="32" t="n">
        <v>45323</v>
      </c>
      <c r="B941" s="33" t="n">
        <v>1620</v>
      </c>
      <c r="C941" s="34" t="inlineStr">
        <is>
          <t>Af te dragen omzetbelasting</t>
        </is>
      </c>
      <c r="D941" s="34" t="inlineStr">
        <is>
          <t>Balans</t>
        </is>
      </c>
      <c r="E941" s="34" t="inlineStr">
        <is>
          <t>Balans</t>
        </is>
      </c>
      <c r="F941" s="34" t="inlineStr"/>
      <c r="G941" s="35" t="n">
        <v>1050</v>
      </c>
      <c r="H941" s="35" t="n">
        <v>0</v>
      </c>
      <c r="I941" s="35">
        <f>G941-H941</f>
        <v/>
      </c>
      <c r="J941" s="33" t="n">
        <v>2024</v>
      </c>
      <c r="K941" s="33" t="n">
        <v>2</v>
      </c>
      <c r="L941" s="34" t="inlineStr">
        <is>
          <t>Balans</t>
        </is>
      </c>
      <c r="M941" s="34" t="inlineStr">
        <is>
          <t>Kortlopende schulden</t>
        </is>
      </c>
      <c r="N941" s="34" t="inlineStr">
        <is>
          <t>Omzetbelasting</t>
        </is>
      </c>
      <c r="O941" s="36">
        <f>IFERROR(INDEX('Mapping'!$F$2:$F$60,MATCH(B941,'Mapping'!$A$2:$A$60,0)),"")</f>
        <v/>
      </c>
    </row>
    <row r="942">
      <c r="A942" s="32" t="n">
        <v>45352</v>
      </c>
      <c r="B942" s="33" t="n">
        <v>1620</v>
      </c>
      <c r="C942" s="34" t="inlineStr">
        <is>
          <t>Af te dragen omzetbelasting</t>
        </is>
      </c>
      <c r="D942" s="34" t="inlineStr">
        <is>
          <t>Balans</t>
        </is>
      </c>
      <c r="E942" s="34" t="inlineStr">
        <is>
          <t>Balans</t>
        </is>
      </c>
      <c r="F942" s="34" t="inlineStr"/>
      <c r="G942" s="35" t="n">
        <v>1320</v>
      </c>
      <c r="H942" s="35" t="n">
        <v>0</v>
      </c>
      <c r="I942" s="35">
        <f>G942-H942</f>
        <v/>
      </c>
      <c r="J942" s="33" t="n">
        <v>2024</v>
      </c>
      <c r="K942" s="33" t="n">
        <v>3</v>
      </c>
      <c r="L942" s="34" t="inlineStr">
        <is>
          <t>Balans</t>
        </is>
      </c>
      <c r="M942" s="34" t="inlineStr">
        <is>
          <t>Kortlopende schulden</t>
        </is>
      </c>
      <c r="N942" s="34" t="inlineStr">
        <is>
          <t>Omzetbelasting</t>
        </is>
      </c>
      <c r="O942" s="36">
        <f>IFERROR(INDEX('Mapping'!$F$2:$F$60,MATCH(B942,'Mapping'!$A$2:$A$60,0)),"")</f>
        <v/>
      </c>
    </row>
    <row r="943">
      <c r="A943" s="32" t="n">
        <v>45383</v>
      </c>
      <c r="B943" s="33" t="n">
        <v>1620</v>
      </c>
      <c r="C943" s="34" t="inlineStr">
        <is>
          <t>Af te dragen omzetbelasting</t>
        </is>
      </c>
      <c r="D943" s="34" t="inlineStr">
        <is>
          <t>Balans</t>
        </is>
      </c>
      <c r="E943" s="34" t="inlineStr">
        <is>
          <t>Balans</t>
        </is>
      </c>
      <c r="F943" s="34" t="inlineStr"/>
      <c r="G943" s="35" t="n">
        <v>1230</v>
      </c>
      <c r="H943" s="35" t="n">
        <v>0</v>
      </c>
      <c r="I943" s="35">
        <f>G943-H943</f>
        <v/>
      </c>
      <c r="J943" s="33" t="n">
        <v>2024</v>
      </c>
      <c r="K943" s="33" t="n">
        <v>4</v>
      </c>
      <c r="L943" s="34" t="inlineStr">
        <is>
          <t>Balans</t>
        </is>
      </c>
      <c r="M943" s="34" t="inlineStr">
        <is>
          <t>Kortlopende schulden</t>
        </is>
      </c>
      <c r="N943" s="34" t="inlineStr">
        <is>
          <t>Omzetbelasting</t>
        </is>
      </c>
      <c r="O943" s="36">
        <f>IFERROR(INDEX('Mapping'!$F$2:$F$60,MATCH(B943,'Mapping'!$A$2:$A$60,0)),"")</f>
        <v/>
      </c>
    </row>
    <row r="944">
      <c r="A944" s="32" t="n">
        <v>45413</v>
      </c>
      <c r="B944" s="33" t="n">
        <v>1620</v>
      </c>
      <c r="C944" s="34" t="inlineStr">
        <is>
          <t>Af te dragen omzetbelasting</t>
        </is>
      </c>
      <c r="D944" s="34" t="inlineStr">
        <is>
          <t>Balans</t>
        </is>
      </c>
      <c r="E944" s="34" t="inlineStr">
        <is>
          <t>Balans</t>
        </is>
      </c>
      <c r="F944" s="34" t="inlineStr"/>
      <c r="G944" s="35" t="n">
        <v>1290</v>
      </c>
      <c r="H944" s="35" t="n">
        <v>0</v>
      </c>
      <c r="I944" s="35">
        <f>G944-H944</f>
        <v/>
      </c>
      <c r="J944" s="33" t="n">
        <v>2024</v>
      </c>
      <c r="K944" s="33" t="n">
        <v>5</v>
      </c>
      <c r="L944" s="34" t="inlineStr">
        <is>
          <t>Balans</t>
        </is>
      </c>
      <c r="M944" s="34" t="inlineStr">
        <is>
          <t>Kortlopende schulden</t>
        </is>
      </c>
      <c r="N944" s="34" t="inlineStr">
        <is>
          <t>Omzetbelasting</t>
        </is>
      </c>
      <c r="O944" s="36">
        <f>IFERROR(INDEX('Mapping'!$F$2:$F$60,MATCH(B944,'Mapping'!$A$2:$A$60,0)),"")</f>
        <v/>
      </c>
    </row>
    <row r="945">
      <c r="A945" s="32" t="n">
        <v>45444</v>
      </c>
      <c r="B945" s="33" t="n">
        <v>1620</v>
      </c>
      <c r="C945" s="34" t="inlineStr">
        <is>
          <t>Af te dragen omzetbelasting</t>
        </is>
      </c>
      <c r="D945" s="34" t="inlineStr">
        <is>
          <t>Balans</t>
        </is>
      </c>
      <c r="E945" s="34" t="inlineStr">
        <is>
          <t>Balans</t>
        </is>
      </c>
      <c r="F945" s="34" t="inlineStr"/>
      <c r="G945" s="35" t="n">
        <v>1350</v>
      </c>
      <c r="H945" s="35" t="n">
        <v>0</v>
      </c>
      <c r="I945" s="35">
        <f>G945-H945</f>
        <v/>
      </c>
      <c r="J945" s="33" t="n">
        <v>2024</v>
      </c>
      <c r="K945" s="33" t="n">
        <v>6</v>
      </c>
      <c r="L945" s="34" t="inlineStr">
        <is>
          <t>Balans</t>
        </is>
      </c>
      <c r="M945" s="34" t="inlineStr">
        <is>
          <t>Kortlopende schulden</t>
        </is>
      </c>
      <c r="N945" s="34" t="inlineStr">
        <is>
          <t>Omzetbelasting</t>
        </is>
      </c>
      <c r="O945" s="36">
        <f>IFERROR(INDEX('Mapping'!$F$2:$F$60,MATCH(B945,'Mapping'!$A$2:$A$60,0)),"")</f>
        <v/>
      </c>
    </row>
    <row r="946">
      <c r="A946" s="32" t="n">
        <v>45474</v>
      </c>
      <c r="B946" s="33" t="n">
        <v>1620</v>
      </c>
      <c r="C946" s="34" t="inlineStr">
        <is>
          <t>Af te dragen omzetbelasting</t>
        </is>
      </c>
      <c r="D946" s="34" t="inlineStr">
        <is>
          <t>Balans</t>
        </is>
      </c>
      <c r="E946" s="34" t="inlineStr">
        <is>
          <t>Balans</t>
        </is>
      </c>
      <c r="F946" s="34" t="inlineStr"/>
      <c r="G946" s="35" t="n">
        <v>1140</v>
      </c>
      <c r="H946" s="35" t="n">
        <v>0</v>
      </c>
      <c r="I946" s="35">
        <f>G946-H946</f>
        <v/>
      </c>
      <c r="J946" s="33" t="n">
        <v>2024</v>
      </c>
      <c r="K946" s="33" t="n">
        <v>7</v>
      </c>
      <c r="L946" s="34" t="inlineStr">
        <is>
          <t>Balans</t>
        </is>
      </c>
      <c r="M946" s="34" t="inlineStr">
        <is>
          <t>Kortlopende schulden</t>
        </is>
      </c>
      <c r="N946" s="34" t="inlineStr">
        <is>
          <t>Omzetbelasting</t>
        </is>
      </c>
      <c r="O946" s="36">
        <f>IFERROR(INDEX('Mapping'!$F$2:$F$60,MATCH(B946,'Mapping'!$A$2:$A$60,0)),"")</f>
        <v/>
      </c>
    </row>
    <row r="947">
      <c r="A947" s="32" t="n">
        <v>45505</v>
      </c>
      <c r="B947" s="33" t="n">
        <v>1620</v>
      </c>
      <c r="C947" s="34" t="inlineStr">
        <is>
          <t>Af te dragen omzetbelasting</t>
        </is>
      </c>
      <c r="D947" s="34" t="inlineStr">
        <is>
          <t>Balans</t>
        </is>
      </c>
      <c r="E947" s="34" t="inlineStr">
        <is>
          <t>Balans</t>
        </is>
      </c>
      <c r="F947" s="34" t="inlineStr"/>
      <c r="G947" s="35" t="n">
        <v>1050</v>
      </c>
      <c r="H947" s="35" t="n">
        <v>0</v>
      </c>
      <c r="I947" s="35">
        <f>G947-H947</f>
        <v/>
      </c>
      <c r="J947" s="33" t="n">
        <v>2024</v>
      </c>
      <c r="K947" s="33" t="n">
        <v>8</v>
      </c>
      <c r="L947" s="34" t="inlineStr">
        <is>
          <t>Balans</t>
        </is>
      </c>
      <c r="M947" s="34" t="inlineStr">
        <is>
          <t>Kortlopende schulden</t>
        </is>
      </c>
      <c r="N947" s="34" t="inlineStr">
        <is>
          <t>Omzetbelasting</t>
        </is>
      </c>
      <c r="O947" s="36">
        <f>IFERROR(INDEX('Mapping'!$F$2:$F$60,MATCH(B947,'Mapping'!$A$2:$A$60,0)),"")</f>
        <v/>
      </c>
    </row>
    <row r="948">
      <c r="A948" s="32" t="n">
        <v>45536</v>
      </c>
      <c r="B948" s="33" t="n">
        <v>1620</v>
      </c>
      <c r="C948" s="34" t="inlineStr">
        <is>
          <t>Af te dragen omzetbelasting</t>
        </is>
      </c>
      <c r="D948" s="34" t="inlineStr">
        <is>
          <t>Balans</t>
        </is>
      </c>
      <c r="E948" s="34" t="inlineStr">
        <is>
          <t>Balans</t>
        </is>
      </c>
      <c r="F948" s="34" t="inlineStr"/>
      <c r="G948" s="35" t="n">
        <v>1320</v>
      </c>
      <c r="H948" s="35" t="n">
        <v>0</v>
      </c>
      <c r="I948" s="35">
        <f>G948-H948</f>
        <v/>
      </c>
      <c r="J948" s="33" t="n">
        <v>2024</v>
      </c>
      <c r="K948" s="33" t="n">
        <v>9</v>
      </c>
      <c r="L948" s="34" t="inlineStr">
        <is>
          <t>Balans</t>
        </is>
      </c>
      <c r="M948" s="34" t="inlineStr">
        <is>
          <t>Kortlopende schulden</t>
        </is>
      </c>
      <c r="N948" s="34" t="inlineStr">
        <is>
          <t>Omzetbelasting</t>
        </is>
      </c>
      <c r="O948" s="36">
        <f>IFERROR(INDEX('Mapping'!$F$2:$F$60,MATCH(B948,'Mapping'!$A$2:$A$60,0)),"")</f>
        <v/>
      </c>
    </row>
    <row r="949">
      <c r="A949" s="32" t="n">
        <v>45566</v>
      </c>
      <c r="B949" s="33" t="n">
        <v>1620</v>
      </c>
      <c r="C949" s="34" t="inlineStr">
        <is>
          <t>Af te dragen omzetbelasting</t>
        </is>
      </c>
      <c r="D949" s="34" t="inlineStr">
        <is>
          <t>Balans</t>
        </is>
      </c>
      <c r="E949" s="34" t="inlineStr">
        <is>
          <t>Balans</t>
        </is>
      </c>
      <c r="F949" s="34" t="inlineStr"/>
      <c r="G949" s="35" t="n">
        <v>1350</v>
      </c>
      <c r="H949" s="35" t="n">
        <v>0</v>
      </c>
      <c r="I949" s="35">
        <f>G949-H949</f>
        <v/>
      </c>
      <c r="J949" s="33" t="n">
        <v>2024</v>
      </c>
      <c r="K949" s="33" t="n">
        <v>10</v>
      </c>
      <c r="L949" s="34" t="inlineStr">
        <is>
          <t>Balans</t>
        </is>
      </c>
      <c r="M949" s="34" t="inlineStr">
        <is>
          <t>Kortlopende schulden</t>
        </is>
      </c>
      <c r="N949" s="34" t="inlineStr">
        <is>
          <t>Omzetbelasting</t>
        </is>
      </c>
      <c r="O949" s="36">
        <f>IFERROR(INDEX('Mapping'!$F$2:$F$60,MATCH(B949,'Mapping'!$A$2:$A$60,0)),"")</f>
        <v/>
      </c>
    </row>
    <row r="950">
      <c r="A950" s="32" t="n">
        <v>45597</v>
      </c>
      <c r="B950" s="33" t="n">
        <v>1620</v>
      </c>
      <c r="C950" s="34" t="inlineStr">
        <is>
          <t>Af te dragen omzetbelasting</t>
        </is>
      </c>
      <c r="D950" s="34" t="inlineStr">
        <is>
          <t>Balans</t>
        </is>
      </c>
      <c r="E950" s="34" t="inlineStr">
        <is>
          <t>Balans</t>
        </is>
      </c>
      <c r="F950" s="34" t="inlineStr"/>
      <c r="G950" s="35" t="n">
        <v>1290</v>
      </c>
      <c r="H950" s="35" t="n">
        <v>0</v>
      </c>
      <c r="I950" s="35">
        <f>G950-H950</f>
        <v/>
      </c>
      <c r="J950" s="33" t="n">
        <v>2024</v>
      </c>
      <c r="K950" s="33" t="n">
        <v>11</v>
      </c>
      <c r="L950" s="34" t="inlineStr">
        <is>
          <t>Balans</t>
        </is>
      </c>
      <c r="M950" s="34" t="inlineStr">
        <is>
          <t>Kortlopende schulden</t>
        </is>
      </c>
      <c r="N950" s="34" t="inlineStr">
        <is>
          <t>Omzetbelasting</t>
        </is>
      </c>
      <c r="O950" s="36">
        <f>IFERROR(INDEX('Mapping'!$F$2:$F$60,MATCH(B950,'Mapping'!$A$2:$A$60,0)),"")</f>
        <v/>
      </c>
    </row>
    <row r="951">
      <c r="A951" s="32" t="n">
        <v>45627</v>
      </c>
      <c r="B951" s="33" t="n">
        <v>1620</v>
      </c>
      <c r="C951" s="34" t="inlineStr">
        <is>
          <t>Af te dragen omzetbelasting</t>
        </is>
      </c>
      <c r="D951" s="34" t="inlineStr">
        <is>
          <t>Balans</t>
        </is>
      </c>
      <c r="E951" s="34" t="inlineStr">
        <is>
          <t>Balans</t>
        </is>
      </c>
      <c r="F951" s="34" t="inlineStr"/>
      <c r="G951" s="35" t="n">
        <v>1560</v>
      </c>
      <c r="H951" s="35" t="n">
        <v>0</v>
      </c>
      <c r="I951" s="35">
        <f>G951-H951</f>
        <v/>
      </c>
      <c r="J951" s="33" t="n">
        <v>2024</v>
      </c>
      <c r="K951" s="33" t="n">
        <v>12</v>
      </c>
      <c r="L951" s="34" t="inlineStr">
        <is>
          <t>Balans</t>
        </is>
      </c>
      <c r="M951" s="34" t="inlineStr">
        <is>
          <t>Kortlopende schulden</t>
        </is>
      </c>
      <c r="N951" s="34" t="inlineStr">
        <is>
          <t>Omzetbelasting</t>
        </is>
      </c>
      <c r="O951" s="36">
        <f>IFERROR(INDEX('Mapping'!$F$2:$F$60,MATCH(B951,'Mapping'!$A$2:$A$60,0)),"")</f>
        <v/>
      </c>
    </row>
    <row r="952">
      <c r="A952" s="32" t="n">
        <v>45658</v>
      </c>
      <c r="B952" s="33" t="n">
        <v>1620</v>
      </c>
      <c r="C952" s="34" t="inlineStr">
        <is>
          <t>Af te dragen omzetbelasting (beginbalans)</t>
        </is>
      </c>
      <c r="D952" s="34" t="inlineStr">
        <is>
          <t>Balans</t>
        </is>
      </c>
      <c r="E952" s="34" t="inlineStr">
        <is>
          <t>Balans</t>
        </is>
      </c>
      <c r="F952" s="34" t="inlineStr"/>
      <c r="G952" s="35" t="n">
        <v>0</v>
      </c>
      <c r="H952" s="35" t="n">
        <v>80000</v>
      </c>
      <c r="I952" s="35">
        <f>G952-H952</f>
        <v/>
      </c>
      <c r="J952" s="33" t="n">
        <v>2025</v>
      </c>
      <c r="K952" s="33" t="n">
        <v>0</v>
      </c>
      <c r="L952" s="34" t="inlineStr">
        <is>
          <t>Balans</t>
        </is>
      </c>
      <c r="M952" s="34" t="inlineStr">
        <is>
          <t>Kortlopende schulden</t>
        </is>
      </c>
      <c r="N952" s="34" t="inlineStr">
        <is>
          <t>Omzetbelasting</t>
        </is>
      </c>
      <c r="O952" s="36">
        <f>IFERROR(INDEX('Mapping'!$F$2:$F$60,MATCH(B952,'Mapping'!$A$2:$A$60,0)),"")</f>
        <v/>
      </c>
    </row>
    <row r="953">
      <c r="A953" s="32" t="n">
        <v>45658</v>
      </c>
      <c r="B953" s="33" t="n">
        <v>1620</v>
      </c>
      <c r="C953" s="34" t="inlineStr">
        <is>
          <t>Af te dragen omzetbelasting</t>
        </is>
      </c>
      <c r="D953" s="34" t="inlineStr">
        <is>
          <t>Balans</t>
        </is>
      </c>
      <c r="E953" s="34" t="inlineStr">
        <is>
          <t>Balans</t>
        </is>
      </c>
      <c r="F953" s="34" t="inlineStr"/>
      <c r="G953" s="35" t="n">
        <v>0</v>
      </c>
      <c r="H953" s="35" t="n">
        <v>700</v>
      </c>
      <c r="I953" s="35">
        <f>G953-H953</f>
        <v/>
      </c>
      <c r="J953" s="33" t="n">
        <v>2025</v>
      </c>
      <c r="K953" s="33" t="n">
        <v>1</v>
      </c>
      <c r="L953" s="34" t="inlineStr">
        <is>
          <t>Balans</t>
        </is>
      </c>
      <c r="M953" s="34" t="inlineStr">
        <is>
          <t>Kortlopende schulden</t>
        </is>
      </c>
      <c r="N953" s="34" t="inlineStr">
        <is>
          <t>Omzetbelasting</t>
        </is>
      </c>
      <c r="O953" s="36">
        <f>IFERROR(INDEX('Mapping'!$F$2:$F$60,MATCH(B953,'Mapping'!$A$2:$A$60,0)),"")</f>
        <v/>
      </c>
    </row>
    <row r="954">
      <c r="A954" s="32" t="n">
        <v>45689</v>
      </c>
      <c r="B954" s="33" t="n">
        <v>1620</v>
      </c>
      <c r="C954" s="34" t="inlineStr">
        <is>
          <t>Af te dragen omzetbelasting</t>
        </is>
      </c>
      <c r="D954" s="34" t="inlineStr">
        <is>
          <t>Balans</t>
        </is>
      </c>
      <c r="E954" s="34" t="inlineStr">
        <is>
          <t>Balans</t>
        </is>
      </c>
      <c r="F954" s="34" t="inlineStr"/>
      <c r="G954" s="35" t="n">
        <v>0</v>
      </c>
      <c r="H954" s="35" t="n">
        <v>700</v>
      </c>
      <c r="I954" s="35">
        <f>G954-H954</f>
        <v/>
      </c>
      <c r="J954" s="33" t="n">
        <v>2025</v>
      </c>
      <c r="K954" s="33" t="n">
        <v>2</v>
      </c>
      <c r="L954" s="34" t="inlineStr">
        <is>
          <t>Balans</t>
        </is>
      </c>
      <c r="M954" s="34" t="inlineStr">
        <is>
          <t>Kortlopende schulden</t>
        </is>
      </c>
      <c r="N954" s="34" t="inlineStr">
        <is>
          <t>Omzetbelasting</t>
        </is>
      </c>
      <c r="O954" s="36">
        <f>IFERROR(INDEX('Mapping'!$F$2:$F$60,MATCH(B954,'Mapping'!$A$2:$A$60,0)),"")</f>
        <v/>
      </c>
    </row>
    <row r="955">
      <c r="A955" s="32" t="n">
        <v>45717</v>
      </c>
      <c r="B955" s="33" t="n">
        <v>1620</v>
      </c>
      <c r="C955" s="34" t="inlineStr">
        <is>
          <t>Af te dragen omzetbelasting</t>
        </is>
      </c>
      <c r="D955" s="34" t="inlineStr">
        <is>
          <t>Balans</t>
        </is>
      </c>
      <c r="E955" s="34" t="inlineStr">
        <is>
          <t>Balans</t>
        </is>
      </c>
      <c r="F955" s="34" t="inlineStr"/>
      <c r="G955" s="35" t="n">
        <v>0</v>
      </c>
      <c r="H955" s="35" t="n">
        <v>880</v>
      </c>
      <c r="I955" s="35">
        <f>G955-H955</f>
        <v/>
      </c>
      <c r="J955" s="33" t="n">
        <v>2025</v>
      </c>
      <c r="K955" s="33" t="n">
        <v>3</v>
      </c>
      <c r="L955" s="34" t="inlineStr">
        <is>
          <t>Balans</t>
        </is>
      </c>
      <c r="M955" s="34" t="inlineStr">
        <is>
          <t>Kortlopende schulden</t>
        </is>
      </c>
      <c r="N955" s="34" t="inlineStr">
        <is>
          <t>Omzetbelasting</t>
        </is>
      </c>
      <c r="O955" s="36">
        <f>IFERROR(INDEX('Mapping'!$F$2:$F$60,MATCH(B955,'Mapping'!$A$2:$A$60,0)),"")</f>
        <v/>
      </c>
    </row>
    <row r="956">
      <c r="A956" s="32" t="n">
        <v>45748</v>
      </c>
      <c r="B956" s="33" t="n">
        <v>1620</v>
      </c>
      <c r="C956" s="34" t="inlineStr">
        <is>
          <t>Af te dragen omzetbelasting</t>
        </is>
      </c>
      <c r="D956" s="34" t="inlineStr">
        <is>
          <t>Balans</t>
        </is>
      </c>
      <c r="E956" s="34" t="inlineStr">
        <is>
          <t>Balans</t>
        </is>
      </c>
      <c r="F956" s="34" t="inlineStr"/>
      <c r="G956" s="35" t="n">
        <v>0</v>
      </c>
      <c r="H956" s="35" t="n">
        <v>820</v>
      </c>
      <c r="I956" s="35">
        <f>G956-H956</f>
        <v/>
      </c>
      <c r="J956" s="33" t="n">
        <v>2025</v>
      </c>
      <c r="K956" s="33" t="n">
        <v>4</v>
      </c>
      <c r="L956" s="34" t="inlineStr">
        <is>
          <t>Balans</t>
        </is>
      </c>
      <c r="M956" s="34" t="inlineStr">
        <is>
          <t>Kortlopende schulden</t>
        </is>
      </c>
      <c r="N956" s="34" t="inlineStr">
        <is>
          <t>Omzetbelasting</t>
        </is>
      </c>
      <c r="O956" s="36">
        <f>IFERROR(INDEX('Mapping'!$F$2:$F$60,MATCH(B956,'Mapping'!$A$2:$A$60,0)),"")</f>
        <v/>
      </c>
    </row>
    <row r="957">
      <c r="A957" s="32" t="n">
        <v>45778</v>
      </c>
      <c r="B957" s="33" t="n">
        <v>1620</v>
      </c>
      <c r="C957" s="34" t="inlineStr">
        <is>
          <t>Af te dragen omzetbelasting</t>
        </is>
      </c>
      <c r="D957" s="34" t="inlineStr">
        <is>
          <t>Balans</t>
        </is>
      </c>
      <c r="E957" s="34" t="inlineStr">
        <is>
          <t>Balans</t>
        </is>
      </c>
      <c r="F957" s="34" t="inlineStr"/>
      <c r="G957" s="35" t="n">
        <v>0</v>
      </c>
      <c r="H957" s="35" t="n">
        <v>860</v>
      </c>
      <c r="I957" s="35">
        <f>G957-H957</f>
        <v/>
      </c>
      <c r="J957" s="33" t="n">
        <v>2025</v>
      </c>
      <c r="K957" s="33" t="n">
        <v>5</v>
      </c>
      <c r="L957" s="34" t="inlineStr">
        <is>
          <t>Balans</t>
        </is>
      </c>
      <c r="M957" s="34" t="inlineStr">
        <is>
          <t>Kortlopende schulden</t>
        </is>
      </c>
      <c r="N957" s="34" t="inlineStr">
        <is>
          <t>Omzetbelasting</t>
        </is>
      </c>
      <c r="O957" s="36">
        <f>IFERROR(INDEX('Mapping'!$F$2:$F$60,MATCH(B957,'Mapping'!$A$2:$A$60,0)),"")</f>
        <v/>
      </c>
    </row>
    <row r="958">
      <c r="A958" s="32" t="n">
        <v>45809</v>
      </c>
      <c r="B958" s="33" t="n">
        <v>1620</v>
      </c>
      <c r="C958" s="34" t="inlineStr">
        <is>
          <t>Af te dragen omzetbelasting</t>
        </is>
      </c>
      <c r="D958" s="34" t="inlineStr">
        <is>
          <t>Balans</t>
        </is>
      </c>
      <c r="E958" s="34" t="inlineStr">
        <is>
          <t>Balans</t>
        </is>
      </c>
      <c r="F958" s="34" t="inlineStr"/>
      <c r="G958" s="35" t="n">
        <v>0</v>
      </c>
      <c r="H958" s="35" t="n">
        <v>900</v>
      </c>
      <c r="I958" s="35">
        <f>G958-H958</f>
        <v/>
      </c>
      <c r="J958" s="33" t="n">
        <v>2025</v>
      </c>
      <c r="K958" s="33" t="n">
        <v>6</v>
      </c>
      <c r="L958" s="34" t="inlineStr">
        <is>
          <t>Balans</t>
        </is>
      </c>
      <c r="M958" s="34" t="inlineStr">
        <is>
          <t>Kortlopende schulden</t>
        </is>
      </c>
      <c r="N958" s="34" t="inlineStr">
        <is>
          <t>Omzetbelasting</t>
        </is>
      </c>
      <c r="O958" s="36">
        <f>IFERROR(INDEX('Mapping'!$F$2:$F$60,MATCH(B958,'Mapping'!$A$2:$A$60,0)),"")</f>
        <v/>
      </c>
    </row>
    <row r="959">
      <c r="A959" s="32" t="n">
        <v>45839</v>
      </c>
      <c r="B959" s="33" t="n">
        <v>1620</v>
      </c>
      <c r="C959" s="34" t="inlineStr">
        <is>
          <t>Af te dragen omzetbelasting</t>
        </is>
      </c>
      <c r="D959" s="34" t="inlineStr">
        <is>
          <t>Balans</t>
        </is>
      </c>
      <c r="E959" s="34" t="inlineStr">
        <is>
          <t>Balans</t>
        </is>
      </c>
      <c r="F959" s="34" t="inlineStr"/>
      <c r="G959" s="35" t="n">
        <v>0</v>
      </c>
      <c r="H959" s="35" t="n">
        <v>760</v>
      </c>
      <c r="I959" s="35">
        <f>G959-H959</f>
        <v/>
      </c>
      <c r="J959" s="33" t="n">
        <v>2025</v>
      </c>
      <c r="K959" s="33" t="n">
        <v>7</v>
      </c>
      <c r="L959" s="34" t="inlineStr">
        <is>
          <t>Balans</t>
        </is>
      </c>
      <c r="M959" s="34" t="inlineStr">
        <is>
          <t>Kortlopende schulden</t>
        </is>
      </c>
      <c r="N959" s="34" t="inlineStr">
        <is>
          <t>Omzetbelasting</t>
        </is>
      </c>
      <c r="O959" s="36">
        <f>IFERROR(INDEX('Mapping'!$F$2:$F$60,MATCH(B959,'Mapping'!$A$2:$A$60,0)),"")</f>
        <v/>
      </c>
    </row>
    <row r="960">
      <c r="A960" s="32" t="n">
        <v>45870</v>
      </c>
      <c r="B960" s="33" t="n">
        <v>1620</v>
      </c>
      <c r="C960" s="34" t="inlineStr">
        <is>
          <t>Af te dragen omzetbelasting</t>
        </is>
      </c>
      <c r="D960" s="34" t="inlineStr">
        <is>
          <t>Balans</t>
        </is>
      </c>
      <c r="E960" s="34" t="inlineStr">
        <is>
          <t>Balans</t>
        </is>
      </c>
      <c r="F960" s="34" t="inlineStr"/>
      <c r="G960" s="35" t="n">
        <v>0</v>
      </c>
      <c r="H960" s="35" t="n">
        <v>700</v>
      </c>
      <c r="I960" s="35">
        <f>G960-H960</f>
        <v/>
      </c>
      <c r="J960" s="33" t="n">
        <v>2025</v>
      </c>
      <c r="K960" s="33" t="n">
        <v>8</v>
      </c>
      <c r="L960" s="34" t="inlineStr">
        <is>
          <t>Balans</t>
        </is>
      </c>
      <c r="M960" s="34" t="inlineStr">
        <is>
          <t>Kortlopende schulden</t>
        </is>
      </c>
      <c r="N960" s="34" t="inlineStr">
        <is>
          <t>Omzetbelasting</t>
        </is>
      </c>
      <c r="O960" s="36">
        <f>IFERROR(INDEX('Mapping'!$F$2:$F$60,MATCH(B960,'Mapping'!$A$2:$A$60,0)),"")</f>
        <v/>
      </c>
    </row>
    <row r="961">
      <c r="A961" s="32" t="n">
        <v>45901</v>
      </c>
      <c r="B961" s="33" t="n">
        <v>1620</v>
      </c>
      <c r="C961" s="34" t="inlineStr">
        <is>
          <t>Af te dragen omzetbelasting</t>
        </is>
      </c>
      <c r="D961" s="34" t="inlineStr">
        <is>
          <t>Balans</t>
        </is>
      </c>
      <c r="E961" s="34" t="inlineStr">
        <is>
          <t>Balans</t>
        </is>
      </c>
      <c r="F961" s="34" t="inlineStr"/>
      <c r="G961" s="35" t="n">
        <v>0</v>
      </c>
      <c r="H961" s="35" t="n">
        <v>880</v>
      </c>
      <c r="I961" s="35">
        <f>G961-H961</f>
        <v/>
      </c>
      <c r="J961" s="33" t="n">
        <v>2025</v>
      </c>
      <c r="K961" s="33" t="n">
        <v>9</v>
      </c>
      <c r="L961" s="34" t="inlineStr">
        <is>
          <t>Balans</t>
        </is>
      </c>
      <c r="M961" s="34" t="inlineStr">
        <is>
          <t>Kortlopende schulden</t>
        </is>
      </c>
      <c r="N961" s="34" t="inlineStr">
        <is>
          <t>Omzetbelasting</t>
        </is>
      </c>
      <c r="O961" s="36">
        <f>IFERROR(INDEX('Mapping'!$F$2:$F$60,MATCH(B961,'Mapping'!$A$2:$A$60,0)),"")</f>
        <v/>
      </c>
    </row>
    <row r="962">
      <c r="A962" s="32" t="n">
        <v>45931</v>
      </c>
      <c r="B962" s="33" t="n">
        <v>1620</v>
      </c>
      <c r="C962" s="34" t="inlineStr">
        <is>
          <t>Af te dragen omzetbelasting</t>
        </is>
      </c>
      <c r="D962" s="34" t="inlineStr">
        <is>
          <t>Balans</t>
        </is>
      </c>
      <c r="E962" s="34" t="inlineStr">
        <is>
          <t>Balans</t>
        </is>
      </c>
      <c r="F962" s="34" t="inlineStr"/>
      <c r="G962" s="35" t="n">
        <v>0</v>
      </c>
      <c r="H962" s="35" t="n">
        <v>900</v>
      </c>
      <c r="I962" s="35">
        <f>G962-H962</f>
        <v/>
      </c>
      <c r="J962" s="33" t="n">
        <v>2025</v>
      </c>
      <c r="K962" s="33" t="n">
        <v>10</v>
      </c>
      <c r="L962" s="34" t="inlineStr">
        <is>
          <t>Balans</t>
        </is>
      </c>
      <c r="M962" s="34" t="inlineStr">
        <is>
          <t>Kortlopende schulden</t>
        </is>
      </c>
      <c r="N962" s="34" t="inlineStr">
        <is>
          <t>Omzetbelasting</t>
        </is>
      </c>
      <c r="O962" s="36">
        <f>IFERROR(INDEX('Mapping'!$F$2:$F$60,MATCH(B962,'Mapping'!$A$2:$A$60,0)),"")</f>
        <v/>
      </c>
    </row>
    <row r="963">
      <c r="A963" s="32" t="n">
        <v>45962</v>
      </c>
      <c r="B963" s="33" t="n">
        <v>1620</v>
      </c>
      <c r="C963" s="34" t="inlineStr">
        <is>
          <t>Af te dragen omzetbelasting</t>
        </is>
      </c>
      <c r="D963" s="34" t="inlineStr">
        <is>
          <t>Balans</t>
        </is>
      </c>
      <c r="E963" s="34" t="inlineStr">
        <is>
          <t>Balans</t>
        </is>
      </c>
      <c r="F963" s="34" t="inlineStr"/>
      <c r="G963" s="35" t="n">
        <v>0</v>
      </c>
      <c r="H963" s="35" t="n">
        <v>860</v>
      </c>
      <c r="I963" s="35">
        <f>G963-H963</f>
        <v/>
      </c>
      <c r="J963" s="33" t="n">
        <v>2025</v>
      </c>
      <c r="K963" s="33" t="n">
        <v>11</v>
      </c>
      <c r="L963" s="34" t="inlineStr">
        <is>
          <t>Balans</t>
        </is>
      </c>
      <c r="M963" s="34" t="inlineStr">
        <is>
          <t>Kortlopende schulden</t>
        </is>
      </c>
      <c r="N963" s="34" t="inlineStr">
        <is>
          <t>Omzetbelasting</t>
        </is>
      </c>
      <c r="O963" s="36">
        <f>IFERROR(INDEX('Mapping'!$F$2:$F$60,MATCH(B963,'Mapping'!$A$2:$A$60,0)),"")</f>
        <v/>
      </c>
    </row>
    <row r="964">
      <c r="A964" s="32" t="n">
        <v>45992</v>
      </c>
      <c r="B964" s="33" t="n">
        <v>1620</v>
      </c>
      <c r="C964" s="34" t="inlineStr">
        <is>
          <t>Af te dragen omzetbelasting</t>
        </is>
      </c>
      <c r="D964" s="34" t="inlineStr">
        <is>
          <t>Balans</t>
        </is>
      </c>
      <c r="E964" s="34" t="inlineStr">
        <is>
          <t>Balans</t>
        </is>
      </c>
      <c r="F964" s="34" t="inlineStr"/>
      <c r="G964" s="35" t="n">
        <v>0</v>
      </c>
      <c r="H964" s="35" t="n">
        <v>1040</v>
      </c>
      <c r="I964" s="35">
        <f>G964-H964</f>
        <v/>
      </c>
      <c r="J964" s="33" t="n">
        <v>2025</v>
      </c>
      <c r="K964" s="33" t="n">
        <v>12</v>
      </c>
      <c r="L964" s="34" t="inlineStr">
        <is>
          <t>Balans</t>
        </is>
      </c>
      <c r="M964" s="34" t="inlineStr">
        <is>
          <t>Kortlopende schulden</t>
        </is>
      </c>
      <c r="N964" s="34" t="inlineStr">
        <is>
          <t>Omzetbelasting</t>
        </is>
      </c>
      <c r="O964" s="36">
        <f>IFERROR(INDEX('Mapping'!$F$2:$F$60,MATCH(B964,'Mapping'!$A$2:$A$60,0)),"")</f>
        <v/>
      </c>
    </row>
    <row r="965">
      <c r="A965" s="32" t="n">
        <v>45292</v>
      </c>
      <c r="B965" s="33" t="n">
        <v>1700</v>
      </c>
      <c r="C965" s="34" t="inlineStr">
        <is>
          <t>Overige schulden (beginbalans)</t>
        </is>
      </c>
      <c r="D965" s="34" t="inlineStr">
        <is>
          <t>Balans</t>
        </is>
      </c>
      <c r="E965" s="34" t="inlineStr">
        <is>
          <t>Balans</t>
        </is>
      </c>
      <c r="F965" s="34" t="inlineStr"/>
      <c r="G965" s="35" t="n">
        <v>0</v>
      </c>
      <c r="H965" s="35" t="n">
        <v>185000</v>
      </c>
      <c r="I965" s="35">
        <f>G965-H965</f>
        <v/>
      </c>
      <c r="J965" s="33" t="n">
        <v>2024</v>
      </c>
      <c r="K965" s="33" t="n">
        <v>0</v>
      </c>
      <c r="L965" s="34" t="inlineStr">
        <is>
          <t>Balans</t>
        </is>
      </c>
      <c r="M965" s="34" t="inlineStr">
        <is>
          <t>Kortlopende schulden</t>
        </is>
      </c>
      <c r="N965" s="34" t="inlineStr">
        <is>
          <t>Overlopende passiva</t>
        </is>
      </c>
      <c r="O965" s="36">
        <f>IFERROR(INDEX('Mapping'!$F$2:$F$60,MATCH(B965,'Mapping'!$A$2:$A$60,0)),"")</f>
        <v/>
      </c>
    </row>
    <row r="966">
      <c r="A966" s="32" t="n">
        <v>45292</v>
      </c>
      <c r="B966" s="33" t="n">
        <v>1700</v>
      </c>
      <c r="C966" s="34" t="inlineStr">
        <is>
          <t>Overige schulden</t>
        </is>
      </c>
      <c r="D966" s="34" t="inlineStr">
        <is>
          <t>Balans</t>
        </is>
      </c>
      <c r="E966" s="34" t="inlineStr">
        <is>
          <t>Balans</t>
        </is>
      </c>
      <c r="F966" s="34" t="inlineStr"/>
      <c r="G966" s="35" t="n">
        <v>2800</v>
      </c>
      <c r="H966" s="35" t="n">
        <v>0</v>
      </c>
      <c r="I966" s="35">
        <f>G966-H966</f>
        <v/>
      </c>
      <c r="J966" s="33" t="n">
        <v>2024</v>
      </c>
      <c r="K966" s="33" t="n">
        <v>1</v>
      </c>
      <c r="L966" s="34" t="inlineStr">
        <is>
          <t>Balans</t>
        </is>
      </c>
      <c r="M966" s="34" t="inlineStr">
        <is>
          <t>Kortlopende schulden</t>
        </is>
      </c>
      <c r="N966" s="34" t="inlineStr">
        <is>
          <t>Overlopende passiva</t>
        </is>
      </c>
      <c r="O966" s="36">
        <f>IFERROR(INDEX('Mapping'!$F$2:$F$60,MATCH(B966,'Mapping'!$A$2:$A$60,0)),"")</f>
        <v/>
      </c>
    </row>
    <row r="967">
      <c r="A967" s="32" t="n">
        <v>45323</v>
      </c>
      <c r="B967" s="33" t="n">
        <v>1700</v>
      </c>
      <c r="C967" s="34" t="inlineStr">
        <is>
          <t>Overige schulden</t>
        </is>
      </c>
      <c r="D967" s="34" t="inlineStr">
        <is>
          <t>Balans</t>
        </is>
      </c>
      <c r="E967" s="34" t="inlineStr">
        <is>
          <t>Balans</t>
        </is>
      </c>
      <c r="F967" s="34" t="inlineStr"/>
      <c r="G967" s="35" t="n">
        <v>2800</v>
      </c>
      <c r="H967" s="35" t="n">
        <v>0</v>
      </c>
      <c r="I967" s="35">
        <f>G967-H967</f>
        <v/>
      </c>
      <c r="J967" s="33" t="n">
        <v>2024</v>
      </c>
      <c r="K967" s="33" t="n">
        <v>2</v>
      </c>
      <c r="L967" s="34" t="inlineStr">
        <is>
          <t>Balans</t>
        </is>
      </c>
      <c r="M967" s="34" t="inlineStr">
        <is>
          <t>Kortlopende schulden</t>
        </is>
      </c>
      <c r="N967" s="34" t="inlineStr">
        <is>
          <t>Overlopende passiva</t>
        </is>
      </c>
      <c r="O967" s="36">
        <f>IFERROR(INDEX('Mapping'!$F$2:$F$60,MATCH(B967,'Mapping'!$A$2:$A$60,0)),"")</f>
        <v/>
      </c>
    </row>
    <row r="968">
      <c r="A968" s="32" t="n">
        <v>45352</v>
      </c>
      <c r="B968" s="33" t="n">
        <v>1700</v>
      </c>
      <c r="C968" s="34" t="inlineStr">
        <is>
          <t>Overige schulden</t>
        </is>
      </c>
      <c r="D968" s="34" t="inlineStr">
        <is>
          <t>Balans</t>
        </is>
      </c>
      <c r="E968" s="34" t="inlineStr">
        <is>
          <t>Balans</t>
        </is>
      </c>
      <c r="F968" s="34" t="inlineStr"/>
      <c r="G968" s="35" t="n">
        <v>3520</v>
      </c>
      <c r="H968" s="35" t="n">
        <v>0</v>
      </c>
      <c r="I968" s="35">
        <f>G968-H968</f>
        <v/>
      </c>
      <c r="J968" s="33" t="n">
        <v>2024</v>
      </c>
      <c r="K968" s="33" t="n">
        <v>3</v>
      </c>
      <c r="L968" s="34" t="inlineStr">
        <is>
          <t>Balans</t>
        </is>
      </c>
      <c r="M968" s="34" t="inlineStr">
        <is>
          <t>Kortlopende schulden</t>
        </is>
      </c>
      <c r="N968" s="34" t="inlineStr">
        <is>
          <t>Overlopende passiva</t>
        </is>
      </c>
      <c r="O968" s="36">
        <f>IFERROR(INDEX('Mapping'!$F$2:$F$60,MATCH(B968,'Mapping'!$A$2:$A$60,0)),"")</f>
        <v/>
      </c>
    </row>
    <row r="969">
      <c r="A969" s="32" t="n">
        <v>45383</v>
      </c>
      <c r="B969" s="33" t="n">
        <v>1700</v>
      </c>
      <c r="C969" s="34" t="inlineStr">
        <is>
          <t>Overige schulden</t>
        </is>
      </c>
      <c r="D969" s="34" t="inlineStr">
        <is>
          <t>Balans</t>
        </is>
      </c>
      <c r="E969" s="34" t="inlineStr">
        <is>
          <t>Balans</t>
        </is>
      </c>
      <c r="F969" s="34" t="inlineStr"/>
      <c r="G969" s="35" t="n">
        <v>3280</v>
      </c>
      <c r="H969" s="35" t="n">
        <v>0</v>
      </c>
      <c r="I969" s="35">
        <f>G969-H969</f>
        <v/>
      </c>
      <c r="J969" s="33" t="n">
        <v>2024</v>
      </c>
      <c r="K969" s="33" t="n">
        <v>4</v>
      </c>
      <c r="L969" s="34" t="inlineStr">
        <is>
          <t>Balans</t>
        </is>
      </c>
      <c r="M969" s="34" t="inlineStr">
        <is>
          <t>Kortlopende schulden</t>
        </is>
      </c>
      <c r="N969" s="34" t="inlineStr">
        <is>
          <t>Overlopende passiva</t>
        </is>
      </c>
      <c r="O969" s="36">
        <f>IFERROR(INDEX('Mapping'!$F$2:$F$60,MATCH(B969,'Mapping'!$A$2:$A$60,0)),"")</f>
        <v/>
      </c>
    </row>
    <row r="970">
      <c r="A970" s="32" t="n">
        <v>45413</v>
      </c>
      <c r="B970" s="33" t="n">
        <v>1700</v>
      </c>
      <c r="C970" s="34" t="inlineStr">
        <is>
          <t>Overige schulden</t>
        </is>
      </c>
      <c r="D970" s="34" t="inlineStr">
        <is>
          <t>Balans</t>
        </is>
      </c>
      <c r="E970" s="34" t="inlineStr">
        <is>
          <t>Balans</t>
        </is>
      </c>
      <c r="F970" s="34" t="inlineStr"/>
      <c r="G970" s="35" t="n">
        <v>3440</v>
      </c>
      <c r="H970" s="35" t="n">
        <v>0</v>
      </c>
      <c r="I970" s="35">
        <f>G970-H970</f>
        <v/>
      </c>
      <c r="J970" s="33" t="n">
        <v>2024</v>
      </c>
      <c r="K970" s="33" t="n">
        <v>5</v>
      </c>
      <c r="L970" s="34" t="inlineStr">
        <is>
          <t>Balans</t>
        </is>
      </c>
      <c r="M970" s="34" t="inlineStr">
        <is>
          <t>Kortlopende schulden</t>
        </is>
      </c>
      <c r="N970" s="34" t="inlineStr">
        <is>
          <t>Overlopende passiva</t>
        </is>
      </c>
      <c r="O970" s="36">
        <f>IFERROR(INDEX('Mapping'!$F$2:$F$60,MATCH(B970,'Mapping'!$A$2:$A$60,0)),"")</f>
        <v/>
      </c>
    </row>
    <row r="971">
      <c r="A971" s="32" t="n">
        <v>45444</v>
      </c>
      <c r="B971" s="33" t="n">
        <v>1700</v>
      </c>
      <c r="C971" s="34" t="inlineStr">
        <is>
          <t>Overige schulden</t>
        </is>
      </c>
      <c r="D971" s="34" t="inlineStr">
        <is>
          <t>Balans</t>
        </is>
      </c>
      <c r="E971" s="34" t="inlineStr">
        <is>
          <t>Balans</t>
        </is>
      </c>
      <c r="F971" s="34" t="inlineStr"/>
      <c r="G971" s="35" t="n">
        <v>3600</v>
      </c>
      <c r="H971" s="35" t="n">
        <v>0</v>
      </c>
      <c r="I971" s="35">
        <f>G971-H971</f>
        <v/>
      </c>
      <c r="J971" s="33" t="n">
        <v>2024</v>
      </c>
      <c r="K971" s="33" t="n">
        <v>6</v>
      </c>
      <c r="L971" s="34" t="inlineStr">
        <is>
          <t>Balans</t>
        </is>
      </c>
      <c r="M971" s="34" t="inlineStr">
        <is>
          <t>Kortlopende schulden</t>
        </is>
      </c>
      <c r="N971" s="34" t="inlineStr">
        <is>
          <t>Overlopende passiva</t>
        </is>
      </c>
      <c r="O971" s="36">
        <f>IFERROR(INDEX('Mapping'!$F$2:$F$60,MATCH(B971,'Mapping'!$A$2:$A$60,0)),"")</f>
        <v/>
      </c>
    </row>
    <row r="972">
      <c r="A972" s="32" t="n">
        <v>45474</v>
      </c>
      <c r="B972" s="33" t="n">
        <v>1700</v>
      </c>
      <c r="C972" s="34" t="inlineStr">
        <is>
          <t>Overige schulden</t>
        </is>
      </c>
      <c r="D972" s="34" t="inlineStr">
        <is>
          <t>Balans</t>
        </is>
      </c>
      <c r="E972" s="34" t="inlineStr">
        <is>
          <t>Balans</t>
        </is>
      </c>
      <c r="F972" s="34" t="inlineStr"/>
      <c r="G972" s="35" t="n">
        <v>3040</v>
      </c>
      <c r="H972" s="35" t="n">
        <v>0</v>
      </c>
      <c r="I972" s="35">
        <f>G972-H972</f>
        <v/>
      </c>
      <c r="J972" s="33" t="n">
        <v>2024</v>
      </c>
      <c r="K972" s="33" t="n">
        <v>7</v>
      </c>
      <c r="L972" s="34" t="inlineStr">
        <is>
          <t>Balans</t>
        </is>
      </c>
      <c r="M972" s="34" t="inlineStr">
        <is>
          <t>Kortlopende schulden</t>
        </is>
      </c>
      <c r="N972" s="34" t="inlineStr">
        <is>
          <t>Overlopende passiva</t>
        </is>
      </c>
      <c r="O972" s="36">
        <f>IFERROR(INDEX('Mapping'!$F$2:$F$60,MATCH(B972,'Mapping'!$A$2:$A$60,0)),"")</f>
        <v/>
      </c>
    </row>
    <row r="973">
      <c r="A973" s="32" t="n">
        <v>45505</v>
      </c>
      <c r="B973" s="33" t="n">
        <v>1700</v>
      </c>
      <c r="C973" s="34" t="inlineStr">
        <is>
          <t>Overige schulden</t>
        </is>
      </c>
      <c r="D973" s="34" t="inlineStr">
        <is>
          <t>Balans</t>
        </is>
      </c>
      <c r="E973" s="34" t="inlineStr">
        <is>
          <t>Balans</t>
        </is>
      </c>
      <c r="F973" s="34" t="inlineStr"/>
      <c r="G973" s="35" t="n">
        <v>2800</v>
      </c>
      <c r="H973" s="35" t="n">
        <v>0</v>
      </c>
      <c r="I973" s="35">
        <f>G973-H973</f>
        <v/>
      </c>
      <c r="J973" s="33" t="n">
        <v>2024</v>
      </c>
      <c r="K973" s="33" t="n">
        <v>8</v>
      </c>
      <c r="L973" s="34" t="inlineStr">
        <is>
          <t>Balans</t>
        </is>
      </c>
      <c r="M973" s="34" t="inlineStr">
        <is>
          <t>Kortlopende schulden</t>
        </is>
      </c>
      <c r="N973" s="34" t="inlineStr">
        <is>
          <t>Overlopende passiva</t>
        </is>
      </c>
      <c r="O973" s="36">
        <f>IFERROR(INDEX('Mapping'!$F$2:$F$60,MATCH(B973,'Mapping'!$A$2:$A$60,0)),"")</f>
        <v/>
      </c>
    </row>
    <row r="974">
      <c r="A974" s="32" t="n">
        <v>45536</v>
      </c>
      <c r="B974" s="33" t="n">
        <v>1700</v>
      </c>
      <c r="C974" s="34" t="inlineStr">
        <is>
          <t>Overige schulden</t>
        </is>
      </c>
      <c r="D974" s="34" t="inlineStr">
        <is>
          <t>Balans</t>
        </is>
      </c>
      <c r="E974" s="34" t="inlineStr">
        <is>
          <t>Balans</t>
        </is>
      </c>
      <c r="F974" s="34" t="inlineStr"/>
      <c r="G974" s="35" t="n">
        <v>3520</v>
      </c>
      <c r="H974" s="35" t="n">
        <v>0</v>
      </c>
      <c r="I974" s="35">
        <f>G974-H974</f>
        <v/>
      </c>
      <c r="J974" s="33" t="n">
        <v>2024</v>
      </c>
      <c r="K974" s="33" t="n">
        <v>9</v>
      </c>
      <c r="L974" s="34" t="inlineStr">
        <is>
          <t>Balans</t>
        </is>
      </c>
      <c r="M974" s="34" t="inlineStr">
        <is>
          <t>Kortlopende schulden</t>
        </is>
      </c>
      <c r="N974" s="34" t="inlineStr">
        <is>
          <t>Overlopende passiva</t>
        </is>
      </c>
      <c r="O974" s="36">
        <f>IFERROR(INDEX('Mapping'!$F$2:$F$60,MATCH(B974,'Mapping'!$A$2:$A$60,0)),"")</f>
        <v/>
      </c>
    </row>
    <row r="975">
      <c r="A975" s="32" t="n">
        <v>45566</v>
      </c>
      <c r="B975" s="33" t="n">
        <v>1700</v>
      </c>
      <c r="C975" s="34" t="inlineStr">
        <is>
          <t>Overige schulden</t>
        </is>
      </c>
      <c r="D975" s="34" t="inlineStr">
        <is>
          <t>Balans</t>
        </is>
      </c>
      <c r="E975" s="34" t="inlineStr">
        <is>
          <t>Balans</t>
        </is>
      </c>
      <c r="F975" s="34" t="inlineStr"/>
      <c r="G975" s="35" t="n">
        <v>3600</v>
      </c>
      <c r="H975" s="35" t="n">
        <v>0</v>
      </c>
      <c r="I975" s="35">
        <f>G975-H975</f>
        <v/>
      </c>
      <c r="J975" s="33" t="n">
        <v>2024</v>
      </c>
      <c r="K975" s="33" t="n">
        <v>10</v>
      </c>
      <c r="L975" s="34" t="inlineStr">
        <is>
          <t>Balans</t>
        </is>
      </c>
      <c r="M975" s="34" t="inlineStr">
        <is>
          <t>Kortlopende schulden</t>
        </is>
      </c>
      <c r="N975" s="34" t="inlineStr">
        <is>
          <t>Overlopende passiva</t>
        </is>
      </c>
      <c r="O975" s="36">
        <f>IFERROR(INDEX('Mapping'!$F$2:$F$60,MATCH(B975,'Mapping'!$A$2:$A$60,0)),"")</f>
        <v/>
      </c>
    </row>
    <row r="976">
      <c r="A976" s="32" t="n">
        <v>45597</v>
      </c>
      <c r="B976" s="33" t="n">
        <v>1700</v>
      </c>
      <c r="C976" s="34" t="inlineStr">
        <is>
          <t>Overige schulden</t>
        </is>
      </c>
      <c r="D976" s="34" t="inlineStr">
        <is>
          <t>Balans</t>
        </is>
      </c>
      <c r="E976" s="34" t="inlineStr">
        <is>
          <t>Balans</t>
        </is>
      </c>
      <c r="F976" s="34" t="inlineStr"/>
      <c r="G976" s="35" t="n">
        <v>3440</v>
      </c>
      <c r="H976" s="35" t="n">
        <v>0</v>
      </c>
      <c r="I976" s="35">
        <f>G976-H976</f>
        <v/>
      </c>
      <c r="J976" s="33" t="n">
        <v>2024</v>
      </c>
      <c r="K976" s="33" t="n">
        <v>11</v>
      </c>
      <c r="L976" s="34" t="inlineStr">
        <is>
          <t>Balans</t>
        </is>
      </c>
      <c r="M976" s="34" t="inlineStr">
        <is>
          <t>Kortlopende schulden</t>
        </is>
      </c>
      <c r="N976" s="34" t="inlineStr">
        <is>
          <t>Overlopende passiva</t>
        </is>
      </c>
      <c r="O976" s="36">
        <f>IFERROR(INDEX('Mapping'!$F$2:$F$60,MATCH(B976,'Mapping'!$A$2:$A$60,0)),"")</f>
        <v/>
      </c>
    </row>
    <row r="977">
      <c r="A977" s="32" t="n">
        <v>45627</v>
      </c>
      <c r="B977" s="33" t="n">
        <v>1700</v>
      </c>
      <c r="C977" s="34" t="inlineStr">
        <is>
          <t>Overige schulden</t>
        </is>
      </c>
      <c r="D977" s="34" t="inlineStr">
        <is>
          <t>Balans</t>
        </is>
      </c>
      <c r="E977" s="34" t="inlineStr">
        <is>
          <t>Balans</t>
        </is>
      </c>
      <c r="F977" s="34" t="inlineStr"/>
      <c r="G977" s="35" t="n">
        <v>4160</v>
      </c>
      <c r="H977" s="35" t="n">
        <v>0</v>
      </c>
      <c r="I977" s="35">
        <f>G977-H977</f>
        <v/>
      </c>
      <c r="J977" s="33" t="n">
        <v>2024</v>
      </c>
      <c r="K977" s="33" t="n">
        <v>12</v>
      </c>
      <c r="L977" s="34" t="inlineStr">
        <is>
          <t>Balans</t>
        </is>
      </c>
      <c r="M977" s="34" t="inlineStr">
        <is>
          <t>Kortlopende schulden</t>
        </is>
      </c>
      <c r="N977" s="34" t="inlineStr">
        <is>
          <t>Overlopende passiva</t>
        </is>
      </c>
      <c r="O977" s="36">
        <f>IFERROR(INDEX('Mapping'!$F$2:$F$60,MATCH(B977,'Mapping'!$A$2:$A$60,0)),"")</f>
        <v/>
      </c>
    </row>
    <row r="978">
      <c r="A978" s="32" t="n">
        <v>45658</v>
      </c>
      <c r="B978" s="33" t="n">
        <v>1700</v>
      </c>
      <c r="C978" s="34" t="inlineStr">
        <is>
          <t>Overige schulden (beginbalans)</t>
        </is>
      </c>
      <c r="D978" s="34" t="inlineStr">
        <is>
          <t>Balans</t>
        </is>
      </c>
      <c r="E978" s="34" t="inlineStr">
        <is>
          <t>Balans</t>
        </is>
      </c>
      <c r="F978" s="34" t="inlineStr"/>
      <c r="G978" s="35" t="n">
        <v>0</v>
      </c>
      <c r="H978" s="35" t="n">
        <v>145000</v>
      </c>
      <c r="I978" s="35">
        <f>G978-H978</f>
        <v/>
      </c>
      <c r="J978" s="33" t="n">
        <v>2025</v>
      </c>
      <c r="K978" s="33" t="n">
        <v>0</v>
      </c>
      <c r="L978" s="34" t="inlineStr">
        <is>
          <t>Balans</t>
        </is>
      </c>
      <c r="M978" s="34" t="inlineStr">
        <is>
          <t>Kortlopende schulden</t>
        </is>
      </c>
      <c r="N978" s="34" t="inlineStr">
        <is>
          <t>Overlopende passiva</t>
        </is>
      </c>
      <c r="O978" s="36">
        <f>IFERROR(INDEX('Mapping'!$F$2:$F$60,MATCH(B978,'Mapping'!$A$2:$A$60,0)),"")</f>
        <v/>
      </c>
    </row>
    <row r="979">
      <c r="A979" s="32" t="n">
        <v>45658</v>
      </c>
      <c r="B979" s="33" t="n">
        <v>1700</v>
      </c>
      <c r="C979" s="34" t="inlineStr">
        <is>
          <t>Overige schulden</t>
        </is>
      </c>
      <c r="D979" s="34" t="inlineStr">
        <is>
          <t>Balans</t>
        </is>
      </c>
      <c r="E979" s="34" t="inlineStr">
        <is>
          <t>Balans</t>
        </is>
      </c>
      <c r="F979" s="34" t="inlineStr"/>
      <c r="G979" s="35" t="n">
        <v>0</v>
      </c>
      <c r="H979" s="35" t="n">
        <v>700</v>
      </c>
      <c r="I979" s="35">
        <f>G979-H979</f>
        <v/>
      </c>
      <c r="J979" s="33" t="n">
        <v>2025</v>
      </c>
      <c r="K979" s="33" t="n">
        <v>1</v>
      </c>
      <c r="L979" s="34" t="inlineStr">
        <is>
          <t>Balans</t>
        </is>
      </c>
      <c r="M979" s="34" t="inlineStr">
        <is>
          <t>Kortlopende schulden</t>
        </is>
      </c>
      <c r="N979" s="34" t="inlineStr">
        <is>
          <t>Overlopende passiva</t>
        </is>
      </c>
      <c r="O979" s="36">
        <f>IFERROR(INDEX('Mapping'!$F$2:$F$60,MATCH(B979,'Mapping'!$A$2:$A$60,0)),"")</f>
        <v/>
      </c>
    </row>
    <row r="980">
      <c r="A980" s="32" t="n">
        <v>45689</v>
      </c>
      <c r="B980" s="33" t="n">
        <v>1700</v>
      </c>
      <c r="C980" s="34" t="inlineStr">
        <is>
          <t>Overige schulden</t>
        </is>
      </c>
      <c r="D980" s="34" t="inlineStr">
        <is>
          <t>Balans</t>
        </is>
      </c>
      <c r="E980" s="34" t="inlineStr">
        <is>
          <t>Balans</t>
        </is>
      </c>
      <c r="F980" s="34" t="inlineStr"/>
      <c r="G980" s="35" t="n">
        <v>0</v>
      </c>
      <c r="H980" s="35" t="n">
        <v>700</v>
      </c>
      <c r="I980" s="35">
        <f>G980-H980</f>
        <v/>
      </c>
      <c r="J980" s="33" t="n">
        <v>2025</v>
      </c>
      <c r="K980" s="33" t="n">
        <v>2</v>
      </c>
      <c r="L980" s="34" t="inlineStr">
        <is>
          <t>Balans</t>
        </is>
      </c>
      <c r="M980" s="34" t="inlineStr">
        <is>
          <t>Kortlopende schulden</t>
        </is>
      </c>
      <c r="N980" s="34" t="inlineStr">
        <is>
          <t>Overlopende passiva</t>
        </is>
      </c>
      <c r="O980" s="36">
        <f>IFERROR(INDEX('Mapping'!$F$2:$F$60,MATCH(B980,'Mapping'!$A$2:$A$60,0)),"")</f>
        <v/>
      </c>
    </row>
    <row r="981">
      <c r="A981" s="32" t="n">
        <v>45717</v>
      </c>
      <c r="B981" s="33" t="n">
        <v>1700</v>
      </c>
      <c r="C981" s="34" t="inlineStr">
        <is>
          <t>Overige schulden</t>
        </is>
      </c>
      <c r="D981" s="34" t="inlineStr">
        <is>
          <t>Balans</t>
        </is>
      </c>
      <c r="E981" s="34" t="inlineStr">
        <is>
          <t>Balans</t>
        </is>
      </c>
      <c r="F981" s="34" t="inlineStr"/>
      <c r="G981" s="35" t="n">
        <v>0</v>
      </c>
      <c r="H981" s="35" t="n">
        <v>880</v>
      </c>
      <c r="I981" s="35">
        <f>G981-H981</f>
        <v/>
      </c>
      <c r="J981" s="33" t="n">
        <v>2025</v>
      </c>
      <c r="K981" s="33" t="n">
        <v>3</v>
      </c>
      <c r="L981" s="34" t="inlineStr">
        <is>
          <t>Balans</t>
        </is>
      </c>
      <c r="M981" s="34" t="inlineStr">
        <is>
          <t>Kortlopende schulden</t>
        </is>
      </c>
      <c r="N981" s="34" t="inlineStr">
        <is>
          <t>Overlopende passiva</t>
        </is>
      </c>
      <c r="O981" s="36">
        <f>IFERROR(INDEX('Mapping'!$F$2:$F$60,MATCH(B981,'Mapping'!$A$2:$A$60,0)),"")</f>
        <v/>
      </c>
    </row>
    <row r="982">
      <c r="A982" s="32" t="n">
        <v>45748</v>
      </c>
      <c r="B982" s="33" t="n">
        <v>1700</v>
      </c>
      <c r="C982" s="34" t="inlineStr">
        <is>
          <t>Overige schulden</t>
        </is>
      </c>
      <c r="D982" s="34" t="inlineStr">
        <is>
          <t>Balans</t>
        </is>
      </c>
      <c r="E982" s="34" t="inlineStr">
        <is>
          <t>Balans</t>
        </is>
      </c>
      <c r="F982" s="34" t="inlineStr"/>
      <c r="G982" s="35" t="n">
        <v>0</v>
      </c>
      <c r="H982" s="35" t="n">
        <v>820</v>
      </c>
      <c r="I982" s="35">
        <f>G982-H982</f>
        <v/>
      </c>
      <c r="J982" s="33" t="n">
        <v>2025</v>
      </c>
      <c r="K982" s="33" t="n">
        <v>4</v>
      </c>
      <c r="L982" s="34" t="inlineStr">
        <is>
          <t>Balans</t>
        </is>
      </c>
      <c r="M982" s="34" t="inlineStr">
        <is>
          <t>Kortlopende schulden</t>
        </is>
      </c>
      <c r="N982" s="34" t="inlineStr">
        <is>
          <t>Overlopende passiva</t>
        </is>
      </c>
      <c r="O982" s="36">
        <f>IFERROR(INDEX('Mapping'!$F$2:$F$60,MATCH(B982,'Mapping'!$A$2:$A$60,0)),"")</f>
        <v/>
      </c>
    </row>
    <row r="983">
      <c r="A983" s="32" t="n">
        <v>45778</v>
      </c>
      <c r="B983" s="33" t="n">
        <v>1700</v>
      </c>
      <c r="C983" s="34" t="inlineStr">
        <is>
          <t>Overige schulden</t>
        </is>
      </c>
      <c r="D983" s="34" t="inlineStr">
        <is>
          <t>Balans</t>
        </is>
      </c>
      <c r="E983" s="34" t="inlineStr">
        <is>
          <t>Balans</t>
        </is>
      </c>
      <c r="F983" s="34" t="inlineStr"/>
      <c r="G983" s="35" t="n">
        <v>0</v>
      </c>
      <c r="H983" s="35" t="n">
        <v>860</v>
      </c>
      <c r="I983" s="35">
        <f>G983-H983</f>
        <v/>
      </c>
      <c r="J983" s="33" t="n">
        <v>2025</v>
      </c>
      <c r="K983" s="33" t="n">
        <v>5</v>
      </c>
      <c r="L983" s="34" t="inlineStr">
        <is>
          <t>Balans</t>
        </is>
      </c>
      <c r="M983" s="34" t="inlineStr">
        <is>
          <t>Kortlopende schulden</t>
        </is>
      </c>
      <c r="N983" s="34" t="inlineStr">
        <is>
          <t>Overlopende passiva</t>
        </is>
      </c>
      <c r="O983" s="36">
        <f>IFERROR(INDEX('Mapping'!$F$2:$F$60,MATCH(B983,'Mapping'!$A$2:$A$60,0)),"")</f>
        <v/>
      </c>
    </row>
    <row r="984">
      <c r="A984" s="32" t="n">
        <v>45809</v>
      </c>
      <c r="B984" s="33" t="n">
        <v>1700</v>
      </c>
      <c r="C984" s="34" t="inlineStr">
        <is>
          <t>Overige schulden</t>
        </is>
      </c>
      <c r="D984" s="34" t="inlineStr">
        <is>
          <t>Balans</t>
        </is>
      </c>
      <c r="E984" s="34" t="inlineStr">
        <is>
          <t>Balans</t>
        </is>
      </c>
      <c r="F984" s="34" t="inlineStr"/>
      <c r="G984" s="35" t="n">
        <v>0</v>
      </c>
      <c r="H984" s="35" t="n">
        <v>900</v>
      </c>
      <c r="I984" s="35">
        <f>G984-H984</f>
        <v/>
      </c>
      <c r="J984" s="33" t="n">
        <v>2025</v>
      </c>
      <c r="K984" s="33" t="n">
        <v>6</v>
      </c>
      <c r="L984" s="34" t="inlineStr">
        <is>
          <t>Balans</t>
        </is>
      </c>
      <c r="M984" s="34" t="inlineStr">
        <is>
          <t>Kortlopende schulden</t>
        </is>
      </c>
      <c r="N984" s="34" t="inlineStr">
        <is>
          <t>Overlopende passiva</t>
        </is>
      </c>
      <c r="O984" s="36">
        <f>IFERROR(INDEX('Mapping'!$F$2:$F$60,MATCH(B984,'Mapping'!$A$2:$A$60,0)),"")</f>
        <v/>
      </c>
    </row>
    <row r="985">
      <c r="A985" s="32" t="n">
        <v>45839</v>
      </c>
      <c r="B985" s="33" t="n">
        <v>1700</v>
      </c>
      <c r="C985" s="34" t="inlineStr">
        <is>
          <t>Overige schulden</t>
        </is>
      </c>
      <c r="D985" s="34" t="inlineStr">
        <is>
          <t>Balans</t>
        </is>
      </c>
      <c r="E985" s="34" t="inlineStr">
        <is>
          <t>Balans</t>
        </is>
      </c>
      <c r="F985" s="34" t="inlineStr"/>
      <c r="G985" s="35" t="n">
        <v>0</v>
      </c>
      <c r="H985" s="35" t="n">
        <v>760</v>
      </c>
      <c r="I985" s="35">
        <f>G985-H985</f>
        <v/>
      </c>
      <c r="J985" s="33" t="n">
        <v>2025</v>
      </c>
      <c r="K985" s="33" t="n">
        <v>7</v>
      </c>
      <c r="L985" s="34" t="inlineStr">
        <is>
          <t>Balans</t>
        </is>
      </c>
      <c r="M985" s="34" t="inlineStr">
        <is>
          <t>Kortlopende schulden</t>
        </is>
      </c>
      <c r="N985" s="34" t="inlineStr">
        <is>
          <t>Overlopende passiva</t>
        </is>
      </c>
      <c r="O985" s="36">
        <f>IFERROR(INDEX('Mapping'!$F$2:$F$60,MATCH(B985,'Mapping'!$A$2:$A$60,0)),"")</f>
        <v/>
      </c>
    </row>
    <row r="986">
      <c r="A986" s="32" t="n">
        <v>45870</v>
      </c>
      <c r="B986" s="33" t="n">
        <v>1700</v>
      </c>
      <c r="C986" s="34" t="inlineStr">
        <is>
          <t>Overige schulden</t>
        </is>
      </c>
      <c r="D986" s="34" t="inlineStr">
        <is>
          <t>Balans</t>
        </is>
      </c>
      <c r="E986" s="34" t="inlineStr">
        <is>
          <t>Balans</t>
        </is>
      </c>
      <c r="F986" s="34" t="inlineStr"/>
      <c r="G986" s="35" t="n">
        <v>0</v>
      </c>
      <c r="H986" s="35" t="n">
        <v>700</v>
      </c>
      <c r="I986" s="35">
        <f>G986-H986</f>
        <v/>
      </c>
      <c r="J986" s="33" t="n">
        <v>2025</v>
      </c>
      <c r="K986" s="33" t="n">
        <v>8</v>
      </c>
      <c r="L986" s="34" t="inlineStr">
        <is>
          <t>Balans</t>
        </is>
      </c>
      <c r="M986" s="34" t="inlineStr">
        <is>
          <t>Kortlopende schulden</t>
        </is>
      </c>
      <c r="N986" s="34" t="inlineStr">
        <is>
          <t>Overlopende passiva</t>
        </is>
      </c>
      <c r="O986" s="36">
        <f>IFERROR(INDEX('Mapping'!$F$2:$F$60,MATCH(B986,'Mapping'!$A$2:$A$60,0)),"")</f>
        <v/>
      </c>
    </row>
    <row r="987">
      <c r="A987" s="32" t="n">
        <v>45901</v>
      </c>
      <c r="B987" s="33" t="n">
        <v>1700</v>
      </c>
      <c r="C987" s="34" t="inlineStr">
        <is>
          <t>Overige schulden</t>
        </is>
      </c>
      <c r="D987" s="34" t="inlineStr">
        <is>
          <t>Balans</t>
        </is>
      </c>
      <c r="E987" s="34" t="inlineStr">
        <is>
          <t>Balans</t>
        </is>
      </c>
      <c r="F987" s="34" t="inlineStr"/>
      <c r="G987" s="35" t="n">
        <v>0</v>
      </c>
      <c r="H987" s="35" t="n">
        <v>880</v>
      </c>
      <c r="I987" s="35">
        <f>G987-H987</f>
        <v/>
      </c>
      <c r="J987" s="33" t="n">
        <v>2025</v>
      </c>
      <c r="K987" s="33" t="n">
        <v>9</v>
      </c>
      <c r="L987" s="34" t="inlineStr">
        <is>
          <t>Balans</t>
        </is>
      </c>
      <c r="M987" s="34" t="inlineStr">
        <is>
          <t>Kortlopende schulden</t>
        </is>
      </c>
      <c r="N987" s="34" t="inlineStr">
        <is>
          <t>Overlopende passiva</t>
        </is>
      </c>
      <c r="O987" s="36">
        <f>IFERROR(INDEX('Mapping'!$F$2:$F$60,MATCH(B987,'Mapping'!$A$2:$A$60,0)),"")</f>
        <v/>
      </c>
    </row>
    <row r="988">
      <c r="A988" s="32" t="n">
        <v>45931</v>
      </c>
      <c r="B988" s="33" t="n">
        <v>1700</v>
      </c>
      <c r="C988" s="34" t="inlineStr">
        <is>
          <t>Overige schulden</t>
        </is>
      </c>
      <c r="D988" s="34" t="inlineStr">
        <is>
          <t>Balans</t>
        </is>
      </c>
      <c r="E988" s="34" t="inlineStr">
        <is>
          <t>Balans</t>
        </is>
      </c>
      <c r="F988" s="34" t="inlineStr"/>
      <c r="G988" s="35" t="n">
        <v>0</v>
      </c>
      <c r="H988" s="35" t="n">
        <v>900</v>
      </c>
      <c r="I988" s="35">
        <f>G988-H988</f>
        <v/>
      </c>
      <c r="J988" s="33" t="n">
        <v>2025</v>
      </c>
      <c r="K988" s="33" t="n">
        <v>10</v>
      </c>
      <c r="L988" s="34" t="inlineStr">
        <is>
          <t>Balans</t>
        </is>
      </c>
      <c r="M988" s="34" t="inlineStr">
        <is>
          <t>Kortlopende schulden</t>
        </is>
      </c>
      <c r="N988" s="34" t="inlineStr">
        <is>
          <t>Overlopende passiva</t>
        </is>
      </c>
      <c r="O988" s="36">
        <f>IFERROR(INDEX('Mapping'!$F$2:$F$60,MATCH(B988,'Mapping'!$A$2:$A$60,0)),"")</f>
        <v/>
      </c>
    </row>
    <row r="989">
      <c r="A989" s="32" t="n">
        <v>45962</v>
      </c>
      <c r="B989" s="33" t="n">
        <v>1700</v>
      </c>
      <c r="C989" s="34" t="inlineStr">
        <is>
          <t>Overige schulden</t>
        </is>
      </c>
      <c r="D989" s="34" t="inlineStr">
        <is>
          <t>Balans</t>
        </is>
      </c>
      <c r="E989" s="34" t="inlineStr">
        <is>
          <t>Balans</t>
        </is>
      </c>
      <c r="F989" s="34" t="inlineStr"/>
      <c r="G989" s="35" t="n">
        <v>0</v>
      </c>
      <c r="H989" s="35" t="n">
        <v>860</v>
      </c>
      <c r="I989" s="35">
        <f>G989-H989</f>
        <v/>
      </c>
      <c r="J989" s="33" t="n">
        <v>2025</v>
      </c>
      <c r="K989" s="33" t="n">
        <v>11</v>
      </c>
      <c r="L989" s="34" t="inlineStr">
        <is>
          <t>Balans</t>
        </is>
      </c>
      <c r="M989" s="34" t="inlineStr">
        <is>
          <t>Kortlopende schulden</t>
        </is>
      </c>
      <c r="N989" s="34" t="inlineStr">
        <is>
          <t>Overlopende passiva</t>
        </is>
      </c>
      <c r="O989" s="36">
        <f>IFERROR(INDEX('Mapping'!$F$2:$F$60,MATCH(B989,'Mapping'!$A$2:$A$60,0)),"")</f>
        <v/>
      </c>
    </row>
    <row r="990">
      <c r="A990" s="32" t="n">
        <v>45992</v>
      </c>
      <c r="B990" s="33" t="n">
        <v>1700</v>
      </c>
      <c r="C990" s="34" t="inlineStr">
        <is>
          <t>Overige schulden</t>
        </is>
      </c>
      <c r="D990" s="34" t="inlineStr">
        <is>
          <t>Balans</t>
        </is>
      </c>
      <c r="E990" s="34" t="inlineStr">
        <is>
          <t>Balans</t>
        </is>
      </c>
      <c r="F990" s="34" t="inlineStr"/>
      <c r="G990" s="35" t="n">
        <v>0</v>
      </c>
      <c r="H990" s="35" t="n">
        <v>1040</v>
      </c>
      <c r="I990" s="35">
        <f>G990-H990</f>
        <v/>
      </c>
      <c r="J990" s="33" t="n">
        <v>2025</v>
      </c>
      <c r="K990" s="33" t="n">
        <v>12</v>
      </c>
      <c r="L990" s="34" t="inlineStr">
        <is>
          <t>Balans</t>
        </is>
      </c>
      <c r="M990" s="34" t="inlineStr">
        <is>
          <t>Kortlopende schulden</t>
        </is>
      </c>
      <c r="N990" s="34" t="inlineStr">
        <is>
          <t>Overlopende passiva</t>
        </is>
      </c>
      <c r="O990" s="36">
        <f>IFERROR(INDEX('Mapping'!$F$2:$F$60,MATCH(B990,'Mapping'!$A$2:$A$60,0)),"")</f>
        <v/>
      </c>
    </row>
    <row r="991">
      <c r="I991" s="37">
        <f>G991-H991</f>
        <v/>
      </c>
      <c r="O991" s="36">
        <f>IFERROR(INDEX('Mapping'!$F$2:$F$60,MATCH(B991,'Mapping'!$A$2:$A$60,0)),"")</f>
        <v/>
      </c>
    </row>
    <row r="992">
      <c r="I992" s="37">
        <f>G992-H992</f>
        <v/>
      </c>
      <c r="O992" s="36">
        <f>IFERROR(INDEX('Mapping'!$F$2:$F$60,MATCH(B992,'Mapping'!$A$2:$A$60,0)),"")</f>
        <v/>
      </c>
    </row>
    <row r="993">
      <c r="I993" s="37">
        <f>G993-H993</f>
        <v/>
      </c>
      <c r="O993" s="36">
        <f>IFERROR(INDEX('Mapping'!$F$2:$F$60,MATCH(B993,'Mapping'!$A$2:$A$60,0)),"")</f>
        <v/>
      </c>
    </row>
    <row r="994">
      <c r="I994" s="37">
        <f>G994-H994</f>
        <v/>
      </c>
      <c r="O994" s="36">
        <f>IFERROR(INDEX('Mapping'!$F$2:$F$60,MATCH(B994,'Mapping'!$A$2:$A$60,0)),"")</f>
        <v/>
      </c>
    </row>
    <row r="995">
      <c r="I995" s="37">
        <f>G995-H995</f>
        <v/>
      </c>
      <c r="O995" s="36">
        <f>IFERROR(INDEX('Mapping'!$F$2:$F$60,MATCH(B995,'Mapping'!$A$2:$A$60,0)),"")</f>
        <v/>
      </c>
    </row>
    <row r="996">
      <c r="I996" s="37">
        <f>G996-H996</f>
        <v/>
      </c>
      <c r="O996" s="36">
        <f>IFERROR(INDEX('Mapping'!$F$2:$F$60,MATCH(B996,'Mapping'!$A$2:$A$60,0)),"")</f>
        <v/>
      </c>
    </row>
    <row r="997">
      <c r="I997" s="37">
        <f>G997-H997</f>
        <v/>
      </c>
      <c r="O997" s="36">
        <f>IFERROR(INDEX('Mapping'!$F$2:$F$60,MATCH(B997,'Mapping'!$A$2:$A$60,0)),"")</f>
        <v/>
      </c>
    </row>
    <row r="998">
      <c r="I998" s="37">
        <f>G998-H998</f>
        <v/>
      </c>
      <c r="O998" s="36">
        <f>IFERROR(INDEX('Mapping'!$F$2:$F$60,MATCH(B998,'Mapping'!$A$2:$A$60,0)),"")</f>
        <v/>
      </c>
    </row>
    <row r="999">
      <c r="I999" s="37">
        <f>G999-H999</f>
        <v/>
      </c>
      <c r="O999" s="36">
        <f>IFERROR(INDEX('Mapping'!$F$2:$F$60,MATCH(B999,'Mapping'!$A$2:$A$60,0)),"")</f>
        <v/>
      </c>
    </row>
    <row r="1000">
      <c r="I1000" s="37">
        <f>G1000-H1000</f>
        <v/>
      </c>
      <c r="O1000" s="36">
        <f>IFERROR(INDEX('Mapping'!$F$2:$F$60,MATCH(B1000,'Mapping'!$A$2:$A$60,0)),"")</f>
        <v/>
      </c>
    </row>
    <row r="1001">
      <c r="I1001" s="37">
        <f>G1001-H1001</f>
        <v/>
      </c>
      <c r="O1001" s="36">
        <f>IFERROR(INDEX('Mapping'!$F$2:$F$60,MATCH(B1001,'Mapping'!$A$2:$A$60,0)),"")</f>
        <v/>
      </c>
    </row>
    <row r="1002">
      <c r="I1002" s="37">
        <f>G1002-H1002</f>
        <v/>
      </c>
      <c r="O1002" s="36">
        <f>IFERROR(INDEX('Mapping'!$F$2:$F$60,MATCH(B1002,'Mapping'!$A$2:$A$60,0)),"")</f>
        <v/>
      </c>
    </row>
    <row r="1003">
      <c r="I1003" s="37">
        <f>G1003-H1003</f>
        <v/>
      </c>
      <c r="O1003" s="36">
        <f>IFERROR(INDEX('Mapping'!$F$2:$F$60,MATCH(B1003,'Mapping'!$A$2:$A$60,0)),"")</f>
        <v/>
      </c>
    </row>
    <row r="1004">
      <c r="I1004" s="37">
        <f>G1004-H1004</f>
        <v/>
      </c>
      <c r="O1004" s="36">
        <f>IFERROR(INDEX('Mapping'!$F$2:$F$60,MATCH(B1004,'Mapping'!$A$2:$A$60,0)),"")</f>
        <v/>
      </c>
    </row>
    <row r="1005">
      <c r="I1005" s="37">
        <f>G1005-H1005</f>
        <v/>
      </c>
      <c r="O1005" s="36">
        <f>IFERROR(INDEX('Mapping'!$F$2:$F$60,MATCH(B1005,'Mapping'!$A$2:$A$60,0)),"")</f>
        <v/>
      </c>
    </row>
    <row r="1006">
      <c r="I1006" s="37">
        <f>G1006-H1006</f>
        <v/>
      </c>
      <c r="O1006" s="36">
        <f>IFERROR(INDEX('Mapping'!$F$2:$F$60,MATCH(B1006,'Mapping'!$A$2:$A$60,0)),"")</f>
        <v/>
      </c>
    </row>
    <row r="1007">
      <c r="I1007" s="37">
        <f>G1007-H1007</f>
        <v/>
      </c>
      <c r="O1007" s="36">
        <f>IFERROR(INDEX('Mapping'!$F$2:$F$60,MATCH(B1007,'Mapping'!$A$2:$A$60,0)),"")</f>
        <v/>
      </c>
    </row>
    <row r="1008">
      <c r="I1008" s="37">
        <f>G1008-H1008</f>
        <v/>
      </c>
      <c r="O1008" s="36">
        <f>IFERROR(INDEX('Mapping'!$F$2:$F$60,MATCH(B1008,'Mapping'!$A$2:$A$60,0)),"")</f>
        <v/>
      </c>
    </row>
    <row r="1009">
      <c r="I1009" s="37">
        <f>G1009-H1009</f>
        <v/>
      </c>
      <c r="O1009" s="36">
        <f>IFERROR(INDEX('Mapping'!$F$2:$F$60,MATCH(B1009,'Mapping'!$A$2:$A$60,0)),"")</f>
        <v/>
      </c>
    </row>
    <row r="1010">
      <c r="I1010" s="37">
        <f>G1010-H1010</f>
        <v/>
      </c>
      <c r="O1010" s="36">
        <f>IFERROR(INDEX('Mapping'!$F$2:$F$60,MATCH(B1010,'Mapping'!$A$2:$A$60,0)),"")</f>
        <v/>
      </c>
    </row>
    <row r="1011">
      <c r="I1011" s="37">
        <f>G1011-H1011</f>
        <v/>
      </c>
      <c r="O1011" s="36">
        <f>IFERROR(INDEX('Mapping'!$F$2:$F$60,MATCH(B1011,'Mapping'!$A$2:$A$60,0)),"")</f>
        <v/>
      </c>
    </row>
    <row r="1012">
      <c r="I1012" s="37">
        <f>G1012-H1012</f>
        <v/>
      </c>
      <c r="O1012" s="36">
        <f>IFERROR(INDEX('Mapping'!$F$2:$F$60,MATCH(B1012,'Mapping'!$A$2:$A$60,0)),"")</f>
        <v/>
      </c>
    </row>
    <row r="1013">
      <c r="I1013" s="37">
        <f>G1013-H1013</f>
        <v/>
      </c>
      <c r="O1013" s="36">
        <f>IFERROR(INDEX('Mapping'!$F$2:$F$60,MATCH(B1013,'Mapping'!$A$2:$A$60,0)),"")</f>
        <v/>
      </c>
    </row>
    <row r="1014">
      <c r="I1014" s="37">
        <f>G1014-H1014</f>
        <v/>
      </c>
      <c r="O1014" s="36">
        <f>IFERROR(INDEX('Mapping'!$F$2:$F$60,MATCH(B1014,'Mapping'!$A$2:$A$60,0)),"")</f>
        <v/>
      </c>
    </row>
    <row r="1015">
      <c r="I1015" s="37">
        <f>G1015-H1015</f>
        <v/>
      </c>
      <c r="O1015" s="36">
        <f>IFERROR(INDEX('Mapping'!$F$2:$F$60,MATCH(B1015,'Mapping'!$A$2:$A$60,0)),"")</f>
        <v/>
      </c>
    </row>
    <row r="1016">
      <c r="I1016" s="37">
        <f>G1016-H1016</f>
        <v/>
      </c>
      <c r="O1016" s="36">
        <f>IFERROR(INDEX('Mapping'!$F$2:$F$60,MATCH(B1016,'Mapping'!$A$2:$A$60,0)),"")</f>
        <v/>
      </c>
    </row>
    <row r="1017">
      <c r="I1017" s="37">
        <f>G1017-H1017</f>
        <v/>
      </c>
      <c r="O1017" s="36">
        <f>IFERROR(INDEX('Mapping'!$F$2:$F$60,MATCH(B1017,'Mapping'!$A$2:$A$60,0)),"")</f>
        <v/>
      </c>
    </row>
    <row r="1018">
      <c r="I1018" s="37">
        <f>G1018-H1018</f>
        <v/>
      </c>
      <c r="O1018" s="36">
        <f>IFERROR(INDEX('Mapping'!$F$2:$F$60,MATCH(B1018,'Mapping'!$A$2:$A$60,0)),"")</f>
        <v/>
      </c>
    </row>
    <row r="1019">
      <c r="I1019" s="37">
        <f>G1019-H1019</f>
        <v/>
      </c>
      <c r="O1019" s="36">
        <f>IFERROR(INDEX('Mapping'!$F$2:$F$60,MATCH(B1019,'Mapping'!$A$2:$A$60,0)),"")</f>
        <v/>
      </c>
    </row>
    <row r="1020">
      <c r="I1020" s="37">
        <f>G1020-H1020</f>
        <v/>
      </c>
      <c r="O1020" s="36">
        <f>IFERROR(INDEX('Mapping'!$F$2:$F$60,MATCH(B1020,'Mapping'!$A$2:$A$60,0)),"")</f>
        <v/>
      </c>
    </row>
    <row r="1021">
      <c r="I1021" s="37">
        <f>G1021-H1021</f>
        <v/>
      </c>
      <c r="O1021" s="36">
        <f>IFERROR(INDEX('Mapping'!$F$2:$F$60,MATCH(B1021,'Mapping'!$A$2:$A$60,0)),"")</f>
        <v/>
      </c>
    </row>
    <row r="1022">
      <c r="I1022" s="37">
        <f>G1022-H1022</f>
        <v/>
      </c>
      <c r="O1022" s="36">
        <f>IFERROR(INDEX('Mapping'!$F$2:$F$60,MATCH(B1022,'Mapping'!$A$2:$A$60,0)),"")</f>
        <v/>
      </c>
    </row>
    <row r="1023">
      <c r="I1023" s="37">
        <f>G1023-H1023</f>
        <v/>
      </c>
      <c r="O1023" s="36">
        <f>IFERROR(INDEX('Mapping'!$F$2:$F$60,MATCH(B1023,'Mapping'!$A$2:$A$60,0)),"")</f>
        <v/>
      </c>
    </row>
    <row r="1024">
      <c r="I1024" s="37">
        <f>G1024-H1024</f>
        <v/>
      </c>
      <c r="O1024" s="36">
        <f>IFERROR(INDEX('Mapping'!$F$2:$F$60,MATCH(B1024,'Mapping'!$A$2:$A$60,0)),"")</f>
        <v/>
      </c>
    </row>
    <row r="1025">
      <c r="I1025" s="37">
        <f>G1025-H1025</f>
        <v/>
      </c>
      <c r="O1025" s="36">
        <f>IFERROR(INDEX('Mapping'!$F$2:$F$60,MATCH(B1025,'Mapping'!$A$2:$A$60,0)),"")</f>
        <v/>
      </c>
    </row>
    <row r="1026">
      <c r="I1026" s="37">
        <f>G1026-H1026</f>
        <v/>
      </c>
      <c r="O1026" s="36">
        <f>IFERROR(INDEX('Mapping'!$F$2:$F$60,MATCH(B1026,'Mapping'!$A$2:$A$60,0)),"")</f>
        <v/>
      </c>
    </row>
    <row r="1027">
      <c r="I1027" s="37">
        <f>G1027-H1027</f>
        <v/>
      </c>
      <c r="O1027" s="36">
        <f>IFERROR(INDEX('Mapping'!$F$2:$F$60,MATCH(B1027,'Mapping'!$A$2:$A$60,0)),"")</f>
        <v/>
      </c>
    </row>
    <row r="1028">
      <c r="I1028" s="37">
        <f>G1028-H1028</f>
        <v/>
      </c>
      <c r="O1028" s="36">
        <f>IFERROR(INDEX('Mapping'!$F$2:$F$60,MATCH(B1028,'Mapping'!$A$2:$A$60,0)),"")</f>
        <v/>
      </c>
    </row>
    <row r="1029">
      <c r="I1029" s="37">
        <f>G1029-H1029</f>
        <v/>
      </c>
      <c r="O1029" s="36">
        <f>IFERROR(INDEX('Mapping'!$F$2:$F$60,MATCH(B1029,'Mapping'!$A$2:$A$60,0)),"")</f>
        <v/>
      </c>
    </row>
    <row r="1030">
      <c r="I1030" s="37">
        <f>G1030-H1030</f>
        <v/>
      </c>
      <c r="O1030" s="36">
        <f>IFERROR(INDEX('Mapping'!$F$2:$F$60,MATCH(B1030,'Mapping'!$A$2:$A$60,0)),"")</f>
        <v/>
      </c>
    </row>
    <row r="1031">
      <c r="I1031" s="37">
        <f>G1031-H1031</f>
        <v/>
      </c>
      <c r="O1031" s="36">
        <f>IFERROR(INDEX('Mapping'!$F$2:$F$60,MATCH(B1031,'Mapping'!$A$2:$A$60,0)),"")</f>
        <v/>
      </c>
    </row>
    <row r="1032">
      <c r="I1032" s="37">
        <f>G1032-H1032</f>
        <v/>
      </c>
      <c r="O1032" s="36">
        <f>IFERROR(INDEX('Mapping'!$F$2:$F$60,MATCH(B1032,'Mapping'!$A$2:$A$60,0)),"")</f>
        <v/>
      </c>
    </row>
    <row r="1033">
      <c r="I1033" s="37">
        <f>G1033-H1033</f>
        <v/>
      </c>
      <c r="O1033" s="36">
        <f>IFERROR(INDEX('Mapping'!$F$2:$F$60,MATCH(B1033,'Mapping'!$A$2:$A$60,0)),"")</f>
        <v/>
      </c>
    </row>
    <row r="1034">
      <c r="I1034" s="37">
        <f>G1034-H1034</f>
        <v/>
      </c>
      <c r="O1034" s="36">
        <f>IFERROR(INDEX('Mapping'!$F$2:$F$60,MATCH(B1034,'Mapping'!$A$2:$A$60,0)),"")</f>
        <v/>
      </c>
    </row>
    <row r="1035">
      <c r="I1035" s="37">
        <f>G1035-H1035</f>
        <v/>
      </c>
      <c r="O1035" s="36">
        <f>IFERROR(INDEX('Mapping'!$F$2:$F$60,MATCH(B1035,'Mapping'!$A$2:$A$60,0)),"")</f>
        <v/>
      </c>
    </row>
    <row r="1036">
      <c r="I1036" s="37">
        <f>G1036-H1036</f>
        <v/>
      </c>
      <c r="O1036" s="36">
        <f>IFERROR(INDEX('Mapping'!$F$2:$F$60,MATCH(B1036,'Mapping'!$A$2:$A$60,0)),"")</f>
        <v/>
      </c>
    </row>
    <row r="1037">
      <c r="I1037" s="37">
        <f>G1037-H1037</f>
        <v/>
      </c>
      <c r="O1037" s="36">
        <f>IFERROR(INDEX('Mapping'!$F$2:$F$60,MATCH(B1037,'Mapping'!$A$2:$A$60,0)),"")</f>
        <v/>
      </c>
    </row>
    <row r="1038">
      <c r="I1038" s="37">
        <f>G1038-H1038</f>
        <v/>
      </c>
      <c r="O1038" s="36">
        <f>IFERROR(INDEX('Mapping'!$F$2:$F$60,MATCH(B1038,'Mapping'!$A$2:$A$60,0)),"")</f>
        <v/>
      </c>
    </row>
    <row r="1039">
      <c r="I1039" s="37">
        <f>G1039-H1039</f>
        <v/>
      </c>
      <c r="O1039" s="36">
        <f>IFERROR(INDEX('Mapping'!$F$2:$F$60,MATCH(B1039,'Mapping'!$A$2:$A$60,0)),"")</f>
        <v/>
      </c>
    </row>
    <row r="1040">
      <c r="I1040" s="37">
        <f>G1040-H1040</f>
        <v/>
      </c>
      <c r="O1040" s="36">
        <f>IFERROR(INDEX('Mapping'!$F$2:$F$60,MATCH(B1040,'Mapping'!$A$2:$A$60,0)),"")</f>
        <v/>
      </c>
    </row>
    <row r="1041">
      <c r="I1041" s="37">
        <f>G1041-H1041</f>
        <v/>
      </c>
      <c r="O1041" s="36">
        <f>IFERROR(INDEX('Mapping'!$F$2:$F$60,MATCH(B1041,'Mapping'!$A$2:$A$60,0)),"")</f>
        <v/>
      </c>
    </row>
    <row r="1042">
      <c r="I1042" s="37">
        <f>G1042-H1042</f>
        <v/>
      </c>
      <c r="O1042" s="36">
        <f>IFERROR(INDEX('Mapping'!$F$2:$F$60,MATCH(B1042,'Mapping'!$A$2:$A$60,0)),"")</f>
        <v/>
      </c>
    </row>
    <row r="1043">
      <c r="I1043" s="37">
        <f>G1043-H1043</f>
        <v/>
      </c>
      <c r="O1043" s="36">
        <f>IFERROR(INDEX('Mapping'!$F$2:$F$60,MATCH(B1043,'Mapping'!$A$2:$A$60,0)),"")</f>
        <v/>
      </c>
    </row>
    <row r="1044">
      <c r="I1044" s="37">
        <f>G1044-H1044</f>
        <v/>
      </c>
      <c r="O1044" s="36">
        <f>IFERROR(INDEX('Mapping'!$F$2:$F$60,MATCH(B1044,'Mapping'!$A$2:$A$60,0)),"")</f>
        <v/>
      </c>
    </row>
    <row r="1045">
      <c r="I1045" s="37">
        <f>G1045-H1045</f>
        <v/>
      </c>
      <c r="O1045" s="36">
        <f>IFERROR(INDEX('Mapping'!$F$2:$F$60,MATCH(B1045,'Mapping'!$A$2:$A$60,0)),"")</f>
        <v/>
      </c>
    </row>
    <row r="1046">
      <c r="I1046" s="37">
        <f>G1046-H1046</f>
        <v/>
      </c>
      <c r="O1046" s="36">
        <f>IFERROR(INDEX('Mapping'!$F$2:$F$60,MATCH(B1046,'Mapping'!$A$2:$A$60,0)),"")</f>
        <v/>
      </c>
    </row>
    <row r="1047">
      <c r="I1047" s="37">
        <f>G1047-H1047</f>
        <v/>
      </c>
      <c r="O1047" s="36">
        <f>IFERROR(INDEX('Mapping'!$F$2:$F$60,MATCH(B1047,'Mapping'!$A$2:$A$60,0)),"")</f>
        <v/>
      </c>
    </row>
    <row r="1048">
      <c r="I1048" s="37">
        <f>G1048-H1048</f>
        <v/>
      </c>
      <c r="O1048" s="36">
        <f>IFERROR(INDEX('Mapping'!$F$2:$F$60,MATCH(B1048,'Mapping'!$A$2:$A$60,0)),"")</f>
        <v/>
      </c>
    </row>
    <row r="1049">
      <c r="I1049" s="37">
        <f>G1049-H1049</f>
        <v/>
      </c>
      <c r="O1049" s="36">
        <f>IFERROR(INDEX('Mapping'!$F$2:$F$60,MATCH(B1049,'Mapping'!$A$2:$A$60,0)),"")</f>
        <v/>
      </c>
    </row>
    <row r="1050">
      <c r="I1050" s="37">
        <f>G1050-H1050</f>
        <v/>
      </c>
      <c r="O1050" s="36">
        <f>IFERROR(INDEX('Mapping'!$F$2:$F$60,MATCH(B1050,'Mapping'!$A$2:$A$60,0)),"")</f>
        <v/>
      </c>
    </row>
    <row r="1051">
      <c r="I1051" s="37">
        <f>G1051-H1051</f>
        <v/>
      </c>
      <c r="O1051" s="36">
        <f>IFERROR(INDEX('Mapping'!$F$2:$F$60,MATCH(B1051,'Mapping'!$A$2:$A$60,0)),"")</f>
        <v/>
      </c>
    </row>
    <row r="1052">
      <c r="I1052" s="37">
        <f>G1052-H1052</f>
        <v/>
      </c>
      <c r="O1052" s="36">
        <f>IFERROR(INDEX('Mapping'!$F$2:$F$60,MATCH(B1052,'Mapping'!$A$2:$A$60,0)),"")</f>
        <v/>
      </c>
    </row>
    <row r="1053">
      <c r="I1053" s="37">
        <f>G1053-H1053</f>
        <v/>
      </c>
      <c r="O1053" s="36">
        <f>IFERROR(INDEX('Mapping'!$F$2:$F$60,MATCH(B1053,'Mapping'!$A$2:$A$60,0)),"")</f>
        <v/>
      </c>
    </row>
    <row r="1054">
      <c r="I1054" s="37">
        <f>G1054-H1054</f>
        <v/>
      </c>
      <c r="O1054" s="36">
        <f>IFERROR(INDEX('Mapping'!$F$2:$F$60,MATCH(B1054,'Mapping'!$A$2:$A$60,0)),"")</f>
        <v/>
      </c>
    </row>
    <row r="1055">
      <c r="I1055" s="37">
        <f>G1055-H1055</f>
        <v/>
      </c>
      <c r="O1055" s="36">
        <f>IFERROR(INDEX('Mapping'!$F$2:$F$60,MATCH(B1055,'Mapping'!$A$2:$A$60,0)),"")</f>
        <v/>
      </c>
    </row>
    <row r="1056">
      <c r="I1056" s="37">
        <f>G1056-H1056</f>
        <v/>
      </c>
      <c r="O1056" s="36">
        <f>IFERROR(INDEX('Mapping'!$F$2:$F$60,MATCH(B1056,'Mapping'!$A$2:$A$60,0)),"")</f>
        <v/>
      </c>
    </row>
    <row r="1057">
      <c r="I1057" s="37">
        <f>G1057-H1057</f>
        <v/>
      </c>
      <c r="O1057" s="36">
        <f>IFERROR(INDEX('Mapping'!$F$2:$F$60,MATCH(B1057,'Mapping'!$A$2:$A$60,0)),"")</f>
        <v/>
      </c>
    </row>
    <row r="1058">
      <c r="I1058" s="37">
        <f>G1058-H1058</f>
        <v/>
      </c>
      <c r="O1058" s="36">
        <f>IFERROR(INDEX('Mapping'!$F$2:$F$60,MATCH(B1058,'Mapping'!$A$2:$A$60,0)),"")</f>
        <v/>
      </c>
    </row>
    <row r="1059">
      <c r="I1059" s="37">
        <f>G1059-H1059</f>
        <v/>
      </c>
      <c r="O1059" s="36">
        <f>IFERROR(INDEX('Mapping'!$F$2:$F$60,MATCH(B1059,'Mapping'!$A$2:$A$60,0)),"")</f>
        <v/>
      </c>
    </row>
    <row r="1060">
      <c r="I1060" s="37">
        <f>G1060-H1060</f>
        <v/>
      </c>
      <c r="O1060" s="36">
        <f>IFERROR(INDEX('Mapping'!$F$2:$F$60,MATCH(B1060,'Mapping'!$A$2:$A$60,0)),"")</f>
        <v/>
      </c>
    </row>
    <row r="1061">
      <c r="I1061" s="37">
        <f>G1061-H1061</f>
        <v/>
      </c>
      <c r="O1061" s="36">
        <f>IFERROR(INDEX('Mapping'!$F$2:$F$60,MATCH(B1061,'Mapping'!$A$2:$A$60,0)),"")</f>
        <v/>
      </c>
    </row>
    <row r="1062">
      <c r="I1062" s="37">
        <f>G1062-H1062</f>
        <v/>
      </c>
      <c r="O1062" s="36">
        <f>IFERROR(INDEX('Mapping'!$F$2:$F$60,MATCH(B1062,'Mapping'!$A$2:$A$60,0)),"")</f>
        <v/>
      </c>
    </row>
    <row r="1063">
      <c r="I1063" s="37">
        <f>G1063-H1063</f>
        <v/>
      </c>
      <c r="O1063" s="36">
        <f>IFERROR(INDEX('Mapping'!$F$2:$F$60,MATCH(B1063,'Mapping'!$A$2:$A$60,0)),"")</f>
        <v/>
      </c>
    </row>
    <row r="1064">
      <c r="I1064" s="37">
        <f>G1064-H1064</f>
        <v/>
      </c>
      <c r="O1064" s="36">
        <f>IFERROR(INDEX('Mapping'!$F$2:$F$60,MATCH(B1064,'Mapping'!$A$2:$A$60,0)),"")</f>
        <v/>
      </c>
    </row>
    <row r="1065">
      <c r="I1065" s="37">
        <f>G1065-H1065</f>
        <v/>
      </c>
      <c r="O1065" s="36">
        <f>IFERROR(INDEX('Mapping'!$F$2:$F$60,MATCH(B1065,'Mapping'!$A$2:$A$60,0)),"")</f>
        <v/>
      </c>
    </row>
    <row r="1066">
      <c r="I1066" s="37">
        <f>G1066-H1066</f>
        <v/>
      </c>
      <c r="O1066" s="36">
        <f>IFERROR(INDEX('Mapping'!$F$2:$F$60,MATCH(B1066,'Mapping'!$A$2:$A$60,0)),"")</f>
        <v/>
      </c>
    </row>
    <row r="1067">
      <c r="I1067" s="37">
        <f>G1067-H1067</f>
        <v/>
      </c>
      <c r="O1067" s="36">
        <f>IFERROR(INDEX('Mapping'!$F$2:$F$60,MATCH(B1067,'Mapping'!$A$2:$A$60,0)),"")</f>
        <v/>
      </c>
    </row>
    <row r="1068">
      <c r="I1068" s="37">
        <f>G1068-H1068</f>
        <v/>
      </c>
      <c r="O1068" s="36">
        <f>IFERROR(INDEX('Mapping'!$F$2:$F$60,MATCH(B1068,'Mapping'!$A$2:$A$60,0)),"")</f>
        <v/>
      </c>
    </row>
    <row r="1069">
      <c r="I1069" s="37">
        <f>G1069-H1069</f>
        <v/>
      </c>
      <c r="O1069" s="36">
        <f>IFERROR(INDEX('Mapping'!$F$2:$F$60,MATCH(B1069,'Mapping'!$A$2:$A$60,0)),"")</f>
        <v/>
      </c>
    </row>
    <row r="1070">
      <c r="I1070" s="37">
        <f>G1070-H1070</f>
        <v/>
      </c>
      <c r="O1070" s="36">
        <f>IFERROR(INDEX('Mapping'!$F$2:$F$60,MATCH(B1070,'Mapping'!$A$2:$A$60,0)),"")</f>
        <v/>
      </c>
    </row>
    <row r="1071">
      <c r="I1071" s="37">
        <f>G1071-H1071</f>
        <v/>
      </c>
      <c r="O1071" s="36">
        <f>IFERROR(INDEX('Mapping'!$F$2:$F$60,MATCH(B1071,'Mapping'!$A$2:$A$60,0)),"")</f>
        <v/>
      </c>
    </row>
    <row r="1072">
      <c r="I1072" s="37">
        <f>G1072-H1072</f>
        <v/>
      </c>
      <c r="O1072" s="36">
        <f>IFERROR(INDEX('Mapping'!$F$2:$F$60,MATCH(B1072,'Mapping'!$A$2:$A$60,0)),"")</f>
        <v/>
      </c>
    </row>
    <row r="1073">
      <c r="I1073" s="37">
        <f>G1073-H1073</f>
        <v/>
      </c>
      <c r="O1073" s="36">
        <f>IFERROR(INDEX('Mapping'!$F$2:$F$60,MATCH(B1073,'Mapping'!$A$2:$A$60,0)),"")</f>
        <v/>
      </c>
    </row>
    <row r="1074">
      <c r="I1074" s="37">
        <f>G1074-H1074</f>
        <v/>
      </c>
      <c r="O1074" s="36">
        <f>IFERROR(INDEX('Mapping'!$F$2:$F$60,MATCH(B1074,'Mapping'!$A$2:$A$60,0)),"")</f>
        <v/>
      </c>
    </row>
    <row r="1075">
      <c r="I1075" s="37">
        <f>G1075-H1075</f>
        <v/>
      </c>
      <c r="O1075" s="36">
        <f>IFERROR(INDEX('Mapping'!$F$2:$F$60,MATCH(B1075,'Mapping'!$A$2:$A$60,0)),"")</f>
        <v/>
      </c>
    </row>
    <row r="1076">
      <c r="I1076" s="37">
        <f>G1076-H1076</f>
        <v/>
      </c>
      <c r="O1076" s="36">
        <f>IFERROR(INDEX('Mapping'!$F$2:$F$60,MATCH(B1076,'Mapping'!$A$2:$A$60,0)),"")</f>
        <v/>
      </c>
    </row>
    <row r="1077">
      <c r="I1077" s="37">
        <f>G1077-H1077</f>
        <v/>
      </c>
      <c r="O1077" s="36">
        <f>IFERROR(INDEX('Mapping'!$F$2:$F$60,MATCH(B1077,'Mapping'!$A$2:$A$60,0)),"")</f>
        <v/>
      </c>
    </row>
    <row r="1078">
      <c r="I1078" s="37">
        <f>G1078-H1078</f>
        <v/>
      </c>
      <c r="O1078" s="36">
        <f>IFERROR(INDEX('Mapping'!$F$2:$F$60,MATCH(B1078,'Mapping'!$A$2:$A$60,0)),"")</f>
        <v/>
      </c>
    </row>
    <row r="1079">
      <c r="I1079" s="37">
        <f>G1079-H1079</f>
        <v/>
      </c>
      <c r="O1079" s="36">
        <f>IFERROR(INDEX('Mapping'!$F$2:$F$60,MATCH(B1079,'Mapping'!$A$2:$A$60,0)),"")</f>
        <v/>
      </c>
    </row>
    <row r="1080">
      <c r="I1080" s="37">
        <f>G1080-H1080</f>
        <v/>
      </c>
      <c r="O1080" s="36">
        <f>IFERROR(INDEX('Mapping'!$F$2:$F$60,MATCH(B1080,'Mapping'!$A$2:$A$60,0)),"")</f>
        <v/>
      </c>
    </row>
    <row r="1081">
      <c r="I1081" s="37">
        <f>G1081-H1081</f>
        <v/>
      </c>
      <c r="O1081" s="36">
        <f>IFERROR(INDEX('Mapping'!$F$2:$F$60,MATCH(B1081,'Mapping'!$A$2:$A$60,0)),"")</f>
        <v/>
      </c>
    </row>
    <row r="1082">
      <c r="I1082" s="37">
        <f>G1082-H1082</f>
        <v/>
      </c>
      <c r="O1082" s="36">
        <f>IFERROR(INDEX('Mapping'!$F$2:$F$60,MATCH(B1082,'Mapping'!$A$2:$A$60,0)),"")</f>
        <v/>
      </c>
    </row>
    <row r="1083">
      <c r="I1083" s="37">
        <f>G1083-H1083</f>
        <v/>
      </c>
      <c r="O1083" s="36">
        <f>IFERROR(INDEX('Mapping'!$F$2:$F$60,MATCH(B1083,'Mapping'!$A$2:$A$60,0)),"")</f>
        <v/>
      </c>
    </row>
    <row r="1084">
      <c r="I1084" s="37">
        <f>G1084-H1084</f>
        <v/>
      </c>
      <c r="O1084" s="36">
        <f>IFERROR(INDEX('Mapping'!$F$2:$F$60,MATCH(B1084,'Mapping'!$A$2:$A$60,0)),"")</f>
        <v/>
      </c>
    </row>
    <row r="1085">
      <c r="I1085" s="37">
        <f>G1085-H1085</f>
        <v/>
      </c>
      <c r="O1085" s="36">
        <f>IFERROR(INDEX('Mapping'!$F$2:$F$60,MATCH(B1085,'Mapping'!$A$2:$A$60,0)),"")</f>
        <v/>
      </c>
    </row>
    <row r="1086">
      <c r="I1086" s="37">
        <f>G1086-H1086</f>
        <v/>
      </c>
      <c r="O1086" s="36">
        <f>IFERROR(INDEX('Mapping'!$F$2:$F$60,MATCH(B1086,'Mapping'!$A$2:$A$60,0)),"")</f>
        <v/>
      </c>
    </row>
    <row r="1087">
      <c r="I1087" s="37">
        <f>G1087-H1087</f>
        <v/>
      </c>
      <c r="O1087" s="36">
        <f>IFERROR(INDEX('Mapping'!$F$2:$F$60,MATCH(B1087,'Mapping'!$A$2:$A$60,0)),"")</f>
        <v/>
      </c>
    </row>
    <row r="1088">
      <c r="I1088" s="37">
        <f>G1088-H1088</f>
        <v/>
      </c>
      <c r="O1088" s="36">
        <f>IFERROR(INDEX('Mapping'!$F$2:$F$60,MATCH(B1088,'Mapping'!$A$2:$A$60,0)),"")</f>
        <v/>
      </c>
    </row>
    <row r="1089">
      <c r="I1089" s="37">
        <f>G1089-H1089</f>
        <v/>
      </c>
      <c r="O1089" s="36">
        <f>IFERROR(INDEX('Mapping'!$F$2:$F$60,MATCH(B1089,'Mapping'!$A$2:$A$60,0)),"")</f>
        <v/>
      </c>
    </row>
    <row r="1090">
      <c r="I1090" s="37">
        <f>G1090-H1090</f>
        <v/>
      </c>
      <c r="O1090" s="36">
        <f>IFERROR(INDEX('Mapping'!$F$2:$F$60,MATCH(B1090,'Mapping'!$A$2:$A$60,0)),"")</f>
        <v/>
      </c>
    </row>
    <row r="1091">
      <c r="I1091" s="37">
        <f>G1091-H1091</f>
        <v/>
      </c>
      <c r="O1091" s="36">
        <f>IFERROR(INDEX('Mapping'!$F$2:$F$60,MATCH(B1091,'Mapping'!$A$2:$A$60,0)),"")</f>
        <v/>
      </c>
    </row>
    <row r="1092">
      <c r="I1092" s="37">
        <f>G1092-H1092</f>
        <v/>
      </c>
      <c r="O1092" s="36">
        <f>IFERROR(INDEX('Mapping'!$F$2:$F$60,MATCH(B1092,'Mapping'!$A$2:$A$60,0)),"")</f>
        <v/>
      </c>
    </row>
    <row r="1093">
      <c r="I1093" s="37">
        <f>G1093-H1093</f>
        <v/>
      </c>
      <c r="O1093" s="36">
        <f>IFERROR(INDEX('Mapping'!$F$2:$F$60,MATCH(B1093,'Mapping'!$A$2:$A$60,0)),"")</f>
        <v/>
      </c>
    </row>
    <row r="1094">
      <c r="I1094" s="37">
        <f>G1094-H1094</f>
        <v/>
      </c>
      <c r="O1094" s="36">
        <f>IFERROR(INDEX('Mapping'!$F$2:$F$60,MATCH(B1094,'Mapping'!$A$2:$A$60,0)),"")</f>
        <v/>
      </c>
    </row>
    <row r="1095">
      <c r="I1095" s="37">
        <f>G1095-H1095</f>
        <v/>
      </c>
      <c r="O1095" s="36">
        <f>IFERROR(INDEX('Mapping'!$F$2:$F$60,MATCH(B1095,'Mapping'!$A$2:$A$60,0)),"")</f>
        <v/>
      </c>
    </row>
    <row r="1096">
      <c r="I1096" s="37">
        <f>G1096-H1096</f>
        <v/>
      </c>
      <c r="O1096" s="36">
        <f>IFERROR(INDEX('Mapping'!$F$2:$F$60,MATCH(B1096,'Mapping'!$A$2:$A$60,0)),"")</f>
        <v/>
      </c>
    </row>
    <row r="1097">
      <c r="I1097" s="37">
        <f>G1097-H1097</f>
        <v/>
      </c>
      <c r="O1097" s="36">
        <f>IFERROR(INDEX('Mapping'!$F$2:$F$60,MATCH(B1097,'Mapping'!$A$2:$A$60,0)),"")</f>
        <v/>
      </c>
    </row>
    <row r="1098">
      <c r="I1098" s="37">
        <f>G1098-H1098</f>
        <v/>
      </c>
      <c r="O1098" s="36">
        <f>IFERROR(INDEX('Mapping'!$F$2:$F$60,MATCH(B1098,'Mapping'!$A$2:$A$60,0)),"")</f>
        <v/>
      </c>
    </row>
    <row r="1099">
      <c r="I1099" s="37">
        <f>G1099-H1099</f>
        <v/>
      </c>
      <c r="O1099" s="36">
        <f>IFERROR(INDEX('Mapping'!$F$2:$F$60,MATCH(B1099,'Mapping'!$A$2:$A$60,0)),"")</f>
        <v/>
      </c>
    </row>
    <row r="1100">
      <c r="I1100" s="37">
        <f>G1100-H1100</f>
        <v/>
      </c>
      <c r="O1100" s="36">
        <f>IFERROR(INDEX('Mapping'!$F$2:$F$60,MATCH(B1100,'Mapping'!$A$2:$A$60,0)),"")</f>
        <v/>
      </c>
    </row>
    <row r="1101">
      <c r="I1101" s="37">
        <f>G1101-H1101</f>
        <v/>
      </c>
      <c r="O1101" s="36">
        <f>IFERROR(INDEX('Mapping'!$F$2:$F$60,MATCH(B1101,'Mapping'!$A$2:$A$60,0)),"")</f>
        <v/>
      </c>
    </row>
    <row r="1102">
      <c r="I1102" s="37">
        <f>G1102-H1102</f>
        <v/>
      </c>
      <c r="O1102" s="36">
        <f>IFERROR(INDEX('Mapping'!$F$2:$F$60,MATCH(B1102,'Mapping'!$A$2:$A$60,0)),"")</f>
        <v/>
      </c>
    </row>
    <row r="1103">
      <c r="I1103" s="37">
        <f>G1103-H1103</f>
        <v/>
      </c>
      <c r="O1103" s="36">
        <f>IFERROR(INDEX('Mapping'!$F$2:$F$60,MATCH(B1103,'Mapping'!$A$2:$A$60,0)),"")</f>
        <v/>
      </c>
    </row>
    <row r="1104">
      <c r="I1104" s="37">
        <f>G1104-H1104</f>
        <v/>
      </c>
      <c r="O1104" s="36">
        <f>IFERROR(INDEX('Mapping'!$F$2:$F$60,MATCH(B1104,'Mapping'!$A$2:$A$60,0)),"")</f>
        <v/>
      </c>
    </row>
    <row r="1105">
      <c r="I1105" s="37">
        <f>G1105-H1105</f>
        <v/>
      </c>
      <c r="O1105" s="36">
        <f>IFERROR(INDEX('Mapping'!$F$2:$F$60,MATCH(B1105,'Mapping'!$A$2:$A$60,0)),"")</f>
        <v/>
      </c>
    </row>
    <row r="1106">
      <c r="I1106" s="37">
        <f>G1106-H1106</f>
        <v/>
      </c>
      <c r="O1106" s="36">
        <f>IFERROR(INDEX('Mapping'!$F$2:$F$60,MATCH(B1106,'Mapping'!$A$2:$A$60,0)),"")</f>
        <v/>
      </c>
    </row>
    <row r="1107">
      <c r="I1107" s="37">
        <f>G1107-H1107</f>
        <v/>
      </c>
      <c r="O1107" s="36">
        <f>IFERROR(INDEX('Mapping'!$F$2:$F$60,MATCH(B1107,'Mapping'!$A$2:$A$60,0)),"")</f>
        <v/>
      </c>
    </row>
    <row r="1108">
      <c r="I1108" s="37">
        <f>G1108-H1108</f>
        <v/>
      </c>
      <c r="O1108" s="36">
        <f>IFERROR(INDEX('Mapping'!$F$2:$F$60,MATCH(B1108,'Mapping'!$A$2:$A$60,0)),"")</f>
        <v/>
      </c>
    </row>
    <row r="1109">
      <c r="I1109" s="37">
        <f>G1109-H1109</f>
        <v/>
      </c>
      <c r="O1109" s="36">
        <f>IFERROR(INDEX('Mapping'!$F$2:$F$60,MATCH(B1109,'Mapping'!$A$2:$A$60,0)),"")</f>
        <v/>
      </c>
    </row>
    <row r="1110">
      <c r="I1110" s="37">
        <f>G1110-H1110</f>
        <v/>
      </c>
      <c r="O1110" s="36">
        <f>IFERROR(INDEX('Mapping'!$F$2:$F$60,MATCH(B1110,'Mapping'!$A$2:$A$60,0)),"")</f>
        <v/>
      </c>
    </row>
    <row r="1111">
      <c r="I1111" s="37">
        <f>G1111-H1111</f>
        <v/>
      </c>
      <c r="O1111" s="36">
        <f>IFERROR(INDEX('Mapping'!$F$2:$F$60,MATCH(B1111,'Mapping'!$A$2:$A$60,0)),"")</f>
        <v/>
      </c>
    </row>
    <row r="1112">
      <c r="I1112" s="37">
        <f>G1112-H1112</f>
        <v/>
      </c>
      <c r="O1112" s="36">
        <f>IFERROR(INDEX('Mapping'!$F$2:$F$60,MATCH(B1112,'Mapping'!$A$2:$A$60,0)),"")</f>
        <v/>
      </c>
    </row>
    <row r="1113">
      <c r="I1113" s="37">
        <f>G1113-H1113</f>
        <v/>
      </c>
      <c r="O1113" s="36">
        <f>IFERROR(INDEX('Mapping'!$F$2:$F$60,MATCH(B1113,'Mapping'!$A$2:$A$60,0)),"")</f>
        <v/>
      </c>
    </row>
    <row r="1114">
      <c r="I1114" s="37">
        <f>G1114-H1114</f>
        <v/>
      </c>
      <c r="O1114" s="36">
        <f>IFERROR(INDEX('Mapping'!$F$2:$F$60,MATCH(B1114,'Mapping'!$A$2:$A$60,0)),"")</f>
        <v/>
      </c>
    </row>
    <row r="1115">
      <c r="I1115" s="37">
        <f>G1115-H1115</f>
        <v/>
      </c>
      <c r="O1115" s="36">
        <f>IFERROR(INDEX('Mapping'!$F$2:$F$60,MATCH(B1115,'Mapping'!$A$2:$A$60,0)),"")</f>
        <v/>
      </c>
    </row>
    <row r="1116">
      <c r="I1116" s="37">
        <f>G1116-H1116</f>
        <v/>
      </c>
      <c r="O1116" s="36">
        <f>IFERROR(INDEX('Mapping'!$F$2:$F$60,MATCH(B1116,'Mapping'!$A$2:$A$60,0)),"")</f>
        <v/>
      </c>
    </row>
    <row r="1117">
      <c r="I1117" s="37">
        <f>G1117-H1117</f>
        <v/>
      </c>
      <c r="O1117" s="36">
        <f>IFERROR(INDEX('Mapping'!$F$2:$F$60,MATCH(B1117,'Mapping'!$A$2:$A$60,0)),"")</f>
        <v/>
      </c>
    </row>
    <row r="1118">
      <c r="I1118" s="37">
        <f>G1118-H1118</f>
        <v/>
      </c>
      <c r="O1118" s="36">
        <f>IFERROR(INDEX('Mapping'!$F$2:$F$60,MATCH(B1118,'Mapping'!$A$2:$A$60,0)),"")</f>
        <v/>
      </c>
    </row>
    <row r="1119">
      <c r="I1119" s="37">
        <f>G1119-H1119</f>
        <v/>
      </c>
      <c r="O1119" s="36">
        <f>IFERROR(INDEX('Mapping'!$F$2:$F$60,MATCH(B1119,'Mapping'!$A$2:$A$60,0)),"")</f>
        <v/>
      </c>
    </row>
    <row r="1120">
      <c r="I1120" s="37">
        <f>G1120-H1120</f>
        <v/>
      </c>
      <c r="O1120" s="36">
        <f>IFERROR(INDEX('Mapping'!$F$2:$F$60,MATCH(B1120,'Mapping'!$A$2:$A$60,0)),"")</f>
        <v/>
      </c>
    </row>
    <row r="1121">
      <c r="I1121" s="37">
        <f>G1121-H1121</f>
        <v/>
      </c>
      <c r="O1121" s="36">
        <f>IFERROR(INDEX('Mapping'!$F$2:$F$60,MATCH(B1121,'Mapping'!$A$2:$A$60,0)),"")</f>
        <v/>
      </c>
    </row>
    <row r="1122">
      <c r="I1122" s="37">
        <f>G1122-H1122</f>
        <v/>
      </c>
      <c r="O1122" s="36">
        <f>IFERROR(INDEX('Mapping'!$F$2:$F$60,MATCH(B1122,'Mapping'!$A$2:$A$60,0)),"")</f>
        <v/>
      </c>
    </row>
    <row r="1123">
      <c r="I1123" s="37">
        <f>G1123-H1123</f>
        <v/>
      </c>
      <c r="O1123" s="36">
        <f>IFERROR(INDEX('Mapping'!$F$2:$F$60,MATCH(B1123,'Mapping'!$A$2:$A$60,0)),"")</f>
        <v/>
      </c>
    </row>
    <row r="1124">
      <c r="I1124" s="37">
        <f>G1124-H1124</f>
        <v/>
      </c>
      <c r="O1124" s="36">
        <f>IFERROR(INDEX('Mapping'!$F$2:$F$60,MATCH(B1124,'Mapping'!$A$2:$A$60,0)),"")</f>
        <v/>
      </c>
    </row>
    <row r="1125">
      <c r="I1125" s="37">
        <f>G1125-H1125</f>
        <v/>
      </c>
      <c r="O1125" s="36">
        <f>IFERROR(INDEX('Mapping'!$F$2:$F$60,MATCH(B1125,'Mapping'!$A$2:$A$60,0)),"")</f>
        <v/>
      </c>
    </row>
    <row r="1126">
      <c r="I1126" s="37">
        <f>G1126-H1126</f>
        <v/>
      </c>
      <c r="O1126" s="36">
        <f>IFERROR(INDEX('Mapping'!$F$2:$F$60,MATCH(B1126,'Mapping'!$A$2:$A$60,0)),"")</f>
        <v/>
      </c>
    </row>
    <row r="1127">
      <c r="I1127" s="37">
        <f>G1127-H1127</f>
        <v/>
      </c>
      <c r="O1127" s="36">
        <f>IFERROR(INDEX('Mapping'!$F$2:$F$60,MATCH(B1127,'Mapping'!$A$2:$A$60,0)),"")</f>
        <v/>
      </c>
    </row>
    <row r="1128">
      <c r="I1128" s="37">
        <f>G1128-H1128</f>
        <v/>
      </c>
      <c r="O1128" s="36">
        <f>IFERROR(INDEX('Mapping'!$F$2:$F$60,MATCH(B1128,'Mapping'!$A$2:$A$60,0)),"")</f>
        <v/>
      </c>
    </row>
    <row r="1129">
      <c r="I1129" s="37">
        <f>G1129-H1129</f>
        <v/>
      </c>
      <c r="O1129" s="36">
        <f>IFERROR(INDEX('Mapping'!$F$2:$F$60,MATCH(B1129,'Mapping'!$A$2:$A$60,0)),"")</f>
        <v/>
      </c>
    </row>
    <row r="1130">
      <c r="I1130" s="37">
        <f>G1130-H1130</f>
        <v/>
      </c>
      <c r="O1130" s="36">
        <f>IFERROR(INDEX('Mapping'!$F$2:$F$60,MATCH(B1130,'Mapping'!$A$2:$A$60,0)),"")</f>
        <v/>
      </c>
    </row>
    <row r="1131">
      <c r="I1131" s="37">
        <f>G1131-H1131</f>
        <v/>
      </c>
      <c r="O1131" s="36">
        <f>IFERROR(INDEX('Mapping'!$F$2:$F$60,MATCH(B1131,'Mapping'!$A$2:$A$60,0)),"")</f>
        <v/>
      </c>
    </row>
    <row r="1132">
      <c r="I1132" s="37">
        <f>G1132-H1132</f>
        <v/>
      </c>
      <c r="O1132" s="36">
        <f>IFERROR(INDEX('Mapping'!$F$2:$F$60,MATCH(B1132,'Mapping'!$A$2:$A$60,0)),"")</f>
        <v/>
      </c>
    </row>
    <row r="1133">
      <c r="I1133" s="37">
        <f>G1133-H1133</f>
        <v/>
      </c>
      <c r="O1133" s="36">
        <f>IFERROR(INDEX('Mapping'!$F$2:$F$60,MATCH(B1133,'Mapping'!$A$2:$A$60,0)),"")</f>
        <v/>
      </c>
    </row>
    <row r="1134">
      <c r="I1134" s="37">
        <f>G1134-H1134</f>
        <v/>
      </c>
      <c r="O1134" s="36">
        <f>IFERROR(INDEX('Mapping'!$F$2:$F$60,MATCH(B1134,'Mapping'!$A$2:$A$60,0)),"")</f>
        <v/>
      </c>
    </row>
    <row r="1135">
      <c r="I1135" s="37">
        <f>G1135-H1135</f>
        <v/>
      </c>
      <c r="O1135" s="36">
        <f>IFERROR(INDEX('Mapping'!$F$2:$F$60,MATCH(B1135,'Mapping'!$A$2:$A$60,0)),"")</f>
        <v/>
      </c>
    </row>
    <row r="1136">
      <c r="I1136" s="37">
        <f>G1136-H1136</f>
        <v/>
      </c>
      <c r="O1136" s="36">
        <f>IFERROR(INDEX('Mapping'!$F$2:$F$60,MATCH(B1136,'Mapping'!$A$2:$A$60,0)),"")</f>
        <v/>
      </c>
    </row>
    <row r="1137">
      <c r="I1137" s="37">
        <f>G1137-H1137</f>
        <v/>
      </c>
      <c r="O1137" s="36">
        <f>IFERROR(INDEX('Mapping'!$F$2:$F$60,MATCH(B1137,'Mapping'!$A$2:$A$60,0)),"")</f>
        <v/>
      </c>
    </row>
    <row r="1138">
      <c r="I1138" s="37">
        <f>G1138-H1138</f>
        <v/>
      </c>
      <c r="O1138" s="36">
        <f>IFERROR(INDEX('Mapping'!$F$2:$F$60,MATCH(B1138,'Mapping'!$A$2:$A$60,0)),"")</f>
        <v/>
      </c>
    </row>
    <row r="1139">
      <c r="I1139" s="37">
        <f>G1139-H1139</f>
        <v/>
      </c>
      <c r="O1139" s="36">
        <f>IFERROR(INDEX('Mapping'!$F$2:$F$60,MATCH(B1139,'Mapping'!$A$2:$A$60,0)),"")</f>
        <v/>
      </c>
    </row>
    <row r="1140">
      <c r="I1140" s="37">
        <f>G1140-H1140</f>
        <v/>
      </c>
      <c r="O1140" s="36">
        <f>IFERROR(INDEX('Mapping'!$F$2:$F$60,MATCH(B1140,'Mapping'!$A$2:$A$60,0)),"")</f>
        <v/>
      </c>
    </row>
    <row r="1141">
      <c r="I1141" s="37">
        <f>G1141-H1141</f>
        <v/>
      </c>
      <c r="O1141" s="36">
        <f>IFERROR(INDEX('Mapping'!$F$2:$F$60,MATCH(B1141,'Mapping'!$A$2:$A$60,0)),"")</f>
        <v/>
      </c>
    </row>
    <row r="1142">
      <c r="I1142" s="37">
        <f>G1142-H1142</f>
        <v/>
      </c>
      <c r="O1142" s="36">
        <f>IFERROR(INDEX('Mapping'!$F$2:$F$60,MATCH(B1142,'Mapping'!$A$2:$A$60,0)),"")</f>
        <v/>
      </c>
    </row>
    <row r="1143">
      <c r="I1143" s="37">
        <f>G1143-H1143</f>
        <v/>
      </c>
      <c r="O1143" s="36">
        <f>IFERROR(INDEX('Mapping'!$F$2:$F$60,MATCH(B1143,'Mapping'!$A$2:$A$60,0)),"")</f>
        <v/>
      </c>
    </row>
    <row r="1144">
      <c r="I1144" s="37">
        <f>G1144-H1144</f>
        <v/>
      </c>
      <c r="O1144" s="36">
        <f>IFERROR(INDEX('Mapping'!$F$2:$F$60,MATCH(B1144,'Mapping'!$A$2:$A$60,0)),"")</f>
        <v/>
      </c>
    </row>
    <row r="1145">
      <c r="I1145" s="37">
        <f>G1145-H1145</f>
        <v/>
      </c>
      <c r="O1145" s="36">
        <f>IFERROR(INDEX('Mapping'!$F$2:$F$60,MATCH(B1145,'Mapping'!$A$2:$A$60,0)),"")</f>
        <v/>
      </c>
    </row>
    <row r="1146">
      <c r="I1146" s="37">
        <f>G1146-H1146</f>
        <v/>
      </c>
      <c r="O1146" s="36">
        <f>IFERROR(INDEX('Mapping'!$F$2:$F$60,MATCH(B1146,'Mapping'!$A$2:$A$60,0)),"")</f>
        <v/>
      </c>
    </row>
    <row r="1147">
      <c r="I1147" s="37">
        <f>G1147-H1147</f>
        <v/>
      </c>
      <c r="O1147" s="36">
        <f>IFERROR(INDEX('Mapping'!$F$2:$F$60,MATCH(B1147,'Mapping'!$A$2:$A$60,0)),"")</f>
        <v/>
      </c>
    </row>
    <row r="1148">
      <c r="I1148" s="37">
        <f>G1148-H1148</f>
        <v/>
      </c>
      <c r="O1148" s="36">
        <f>IFERROR(INDEX('Mapping'!$F$2:$F$60,MATCH(B1148,'Mapping'!$A$2:$A$60,0)),"")</f>
        <v/>
      </c>
    </row>
    <row r="1149">
      <c r="I1149" s="37">
        <f>G1149-H1149</f>
        <v/>
      </c>
      <c r="O1149" s="36">
        <f>IFERROR(INDEX('Mapping'!$F$2:$F$60,MATCH(B1149,'Mapping'!$A$2:$A$60,0)),"")</f>
        <v/>
      </c>
    </row>
    <row r="1150">
      <c r="I1150" s="37">
        <f>G1150-H1150</f>
        <v/>
      </c>
      <c r="O1150" s="36">
        <f>IFERROR(INDEX('Mapping'!$F$2:$F$60,MATCH(B1150,'Mapping'!$A$2:$A$60,0)),"")</f>
        <v/>
      </c>
    </row>
    <row r="1151">
      <c r="I1151" s="37">
        <f>G1151-H1151</f>
        <v/>
      </c>
      <c r="O1151" s="36">
        <f>IFERROR(INDEX('Mapping'!$F$2:$F$60,MATCH(B1151,'Mapping'!$A$2:$A$60,0)),"")</f>
        <v/>
      </c>
    </row>
    <row r="1152">
      <c r="I1152" s="37">
        <f>G1152-H1152</f>
        <v/>
      </c>
      <c r="O1152" s="36">
        <f>IFERROR(INDEX('Mapping'!$F$2:$F$60,MATCH(B1152,'Mapping'!$A$2:$A$60,0)),"")</f>
        <v/>
      </c>
    </row>
    <row r="1153">
      <c r="I1153" s="37">
        <f>G1153-H1153</f>
        <v/>
      </c>
      <c r="O1153" s="36">
        <f>IFERROR(INDEX('Mapping'!$F$2:$F$60,MATCH(B1153,'Mapping'!$A$2:$A$60,0)),"")</f>
        <v/>
      </c>
    </row>
    <row r="1154">
      <c r="I1154" s="37">
        <f>G1154-H1154</f>
        <v/>
      </c>
      <c r="O1154" s="36">
        <f>IFERROR(INDEX('Mapping'!$F$2:$F$60,MATCH(B1154,'Mapping'!$A$2:$A$60,0)),"")</f>
        <v/>
      </c>
    </row>
    <row r="1155">
      <c r="I1155" s="37">
        <f>G1155-H1155</f>
        <v/>
      </c>
      <c r="O1155" s="36">
        <f>IFERROR(INDEX('Mapping'!$F$2:$F$60,MATCH(B1155,'Mapping'!$A$2:$A$60,0)),"")</f>
        <v/>
      </c>
    </row>
    <row r="1156">
      <c r="I1156" s="37">
        <f>G1156-H1156</f>
        <v/>
      </c>
      <c r="O1156" s="36">
        <f>IFERROR(INDEX('Mapping'!$F$2:$F$60,MATCH(B1156,'Mapping'!$A$2:$A$60,0)),"")</f>
        <v/>
      </c>
    </row>
    <row r="1157">
      <c r="I1157" s="37">
        <f>G1157-H1157</f>
        <v/>
      </c>
      <c r="O1157" s="36">
        <f>IFERROR(INDEX('Mapping'!$F$2:$F$60,MATCH(B1157,'Mapping'!$A$2:$A$60,0)),"")</f>
        <v/>
      </c>
    </row>
    <row r="1158">
      <c r="I1158" s="37">
        <f>G1158-H1158</f>
        <v/>
      </c>
      <c r="O1158" s="36">
        <f>IFERROR(INDEX('Mapping'!$F$2:$F$60,MATCH(B1158,'Mapping'!$A$2:$A$60,0)),"")</f>
        <v/>
      </c>
    </row>
    <row r="1159">
      <c r="I1159" s="37">
        <f>G1159-H1159</f>
        <v/>
      </c>
      <c r="O1159" s="36">
        <f>IFERROR(INDEX('Mapping'!$F$2:$F$60,MATCH(B1159,'Mapping'!$A$2:$A$60,0)),"")</f>
        <v/>
      </c>
    </row>
    <row r="1160">
      <c r="I1160" s="37">
        <f>G1160-H1160</f>
        <v/>
      </c>
      <c r="O1160" s="36">
        <f>IFERROR(INDEX('Mapping'!$F$2:$F$60,MATCH(B1160,'Mapping'!$A$2:$A$60,0)),"")</f>
        <v/>
      </c>
    </row>
    <row r="1161">
      <c r="I1161" s="37">
        <f>G1161-H1161</f>
        <v/>
      </c>
      <c r="O1161" s="36">
        <f>IFERROR(INDEX('Mapping'!$F$2:$F$60,MATCH(B1161,'Mapping'!$A$2:$A$60,0)),"")</f>
        <v/>
      </c>
    </row>
    <row r="1162">
      <c r="I1162" s="37">
        <f>G1162-H1162</f>
        <v/>
      </c>
      <c r="O1162" s="36">
        <f>IFERROR(INDEX('Mapping'!$F$2:$F$60,MATCH(B1162,'Mapping'!$A$2:$A$60,0)),"")</f>
        <v/>
      </c>
    </row>
    <row r="1163">
      <c r="I1163" s="37">
        <f>G1163-H1163</f>
        <v/>
      </c>
      <c r="O1163" s="36">
        <f>IFERROR(INDEX('Mapping'!$F$2:$F$60,MATCH(B1163,'Mapping'!$A$2:$A$60,0)),"")</f>
        <v/>
      </c>
    </row>
    <row r="1164">
      <c r="I1164" s="37">
        <f>G1164-H1164</f>
        <v/>
      </c>
      <c r="O1164" s="36">
        <f>IFERROR(INDEX('Mapping'!$F$2:$F$60,MATCH(B1164,'Mapping'!$A$2:$A$60,0)),"")</f>
        <v/>
      </c>
    </row>
    <row r="1165">
      <c r="I1165" s="37">
        <f>G1165-H1165</f>
        <v/>
      </c>
      <c r="O1165" s="36">
        <f>IFERROR(INDEX('Mapping'!$F$2:$F$60,MATCH(B1165,'Mapping'!$A$2:$A$60,0)),"")</f>
        <v/>
      </c>
    </row>
    <row r="1166">
      <c r="I1166" s="37">
        <f>G1166-H1166</f>
        <v/>
      </c>
      <c r="O1166" s="36">
        <f>IFERROR(INDEX('Mapping'!$F$2:$F$60,MATCH(B1166,'Mapping'!$A$2:$A$60,0)),"")</f>
        <v/>
      </c>
    </row>
    <row r="1167">
      <c r="I1167" s="37">
        <f>G1167-H1167</f>
        <v/>
      </c>
      <c r="O1167" s="36">
        <f>IFERROR(INDEX('Mapping'!$F$2:$F$60,MATCH(B1167,'Mapping'!$A$2:$A$60,0)),"")</f>
        <v/>
      </c>
    </row>
    <row r="1168">
      <c r="I1168" s="37">
        <f>G1168-H1168</f>
        <v/>
      </c>
      <c r="O1168" s="36">
        <f>IFERROR(INDEX('Mapping'!$F$2:$F$60,MATCH(B1168,'Mapping'!$A$2:$A$60,0)),"")</f>
        <v/>
      </c>
    </row>
    <row r="1169">
      <c r="I1169" s="37">
        <f>G1169-H1169</f>
        <v/>
      </c>
      <c r="O1169" s="36">
        <f>IFERROR(INDEX('Mapping'!$F$2:$F$60,MATCH(B1169,'Mapping'!$A$2:$A$60,0)),"")</f>
        <v/>
      </c>
    </row>
    <row r="1170">
      <c r="I1170" s="37">
        <f>G1170-H1170</f>
        <v/>
      </c>
      <c r="O1170" s="36">
        <f>IFERROR(INDEX('Mapping'!$F$2:$F$60,MATCH(B1170,'Mapping'!$A$2:$A$60,0)),"")</f>
        <v/>
      </c>
    </row>
    <row r="1171">
      <c r="I1171" s="37">
        <f>G1171-H1171</f>
        <v/>
      </c>
      <c r="O1171" s="36">
        <f>IFERROR(INDEX('Mapping'!$F$2:$F$60,MATCH(B1171,'Mapping'!$A$2:$A$60,0)),"")</f>
        <v/>
      </c>
    </row>
    <row r="1172">
      <c r="I1172" s="37">
        <f>G1172-H1172</f>
        <v/>
      </c>
      <c r="O1172" s="36">
        <f>IFERROR(INDEX('Mapping'!$F$2:$F$60,MATCH(B1172,'Mapping'!$A$2:$A$60,0)),"")</f>
        <v/>
      </c>
    </row>
    <row r="1173">
      <c r="I1173" s="37">
        <f>G1173-H1173</f>
        <v/>
      </c>
      <c r="O1173" s="36">
        <f>IFERROR(INDEX('Mapping'!$F$2:$F$60,MATCH(B1173,'Mapping'!$A$2:$A$60,0)),"")</f>
        <v/>
      </c>
    </row>
    <row r="1174">
      <c r="I1174" s="37">
        <f>G1174-H1174</f>
        <v/>
      </c>
      <c r="O1174" s="36">
        <f>IFERROR(INDEX('Mapping'!$F$2:$F$60,MATCH(B1174,'Mapping'!$A$2:$A$60,0)),"")</f>
        <v/>
      </c>
    </row>
    <row r="1175">
      <c r="I1175" s="37">
        <f>G1175-H1175</f>
        <v/>
      </c>
      <c r="O1175" s="36">
        <f>IFERROR(INDEX('Mapping'!$F$2:$F$60,MATCH(B1175,'Mapping'!$A$2:$A$60,0)),"")</f>
        <v/>
      </c>
    </row>
    <row r="1176">
      <c r="I1176" s="37">
        <f>G1176-H1176</f>
        <v/>
      </c>
      <c r="O1176" s="36">
        <f>IFERROR(INDEX('Mapping'!$F$2:$F$60,MATCH(B1176,'Mapping'!$A$2:$A$60,0)),"")</f>
        <v/>
      </c>
    </row>
    <row r="1177">
      <c r="I1177" s="37">
        <f>G1177-H1177</f>
        <v/>
      </c>
      <c r="O1177" s="36">
        <f>IFERROR(INDEX('Mapping'!$F$2:$F$60,MATCH(B1177,'Mapping'!$A$2:$A$60,0)),"")</f>
        <v/>
      </c>
    </row>
    <row r="1178">
      <c r="I1178" s="37">
        <f>G1178-H1178</f>
        <v/>
      </c>
      <c r="O1178" s="36">
        <f>IFERROR(INDEX('Mapping'!$F$2:$F$60,MATCH(B1178,'Mapping'!$A$2:$A$60,0)),"")</f>
        <v/>
      </c>
    </row>
    <row r="1179">
      <c r="I1179" s="37">
        <f>G1179-H1179</f>
        <v/>
      </c>
      <c r="O1179" s="36">
        <f>IFERROR(INDEX('Mapping'!$F$2:$F$60,MATCH(B1179,'Mapping'!$A$2:$A$60,0)),"")</f>
        <v/>
      </c>
    </row>
    <row r="1180">
      <c r="I1180" s="37">
        <f>G1180-H1180</f>
        <v/>
      </c>
      <c r="O1180" s="36">
        <f>IFERROR(INDEX('Mapping'!$F$2:$F$60,MATCH(B1180,'Mapping'!$A$2:$A$60,0)),"")</f>
        <v/>
      </c>
    </row>
    <row r="1181">
      <c r="I1181" s="37">
        <f>G1181-H1181</f>
        <v/>
      </c>
      <c r="O1181" s="36">
        <f>IFERROR(INDEX('Mapping'!$F$2:$F$60,MATCH(B1181,'Mapping'!$A$2:$A$60,0)),"")</f>
        <v/>
      </c>
    </row>
    <row r="1182">
      <c r="I1182" s="37">
        <f>G1182-H1182</f>
        <v/>
      </c>
      <c r="O1182" s="36">
        <f>IFERROR(INDEX('Mapping'!$F$2:$F$60,MATCH(B1182,'Mapping'!$A$2:$A$60,0)),"")</f>
        <v/>
      </c>
    </row>
    <row r="1183">
      <c r="I1183" s="37">
        <f>G1183-H1183</f>
        <v/>
      </c>
      <c r="O1183" s="36">
        <f>IFERROR(INDEX('Mapping'!$F$2:$F$60,MATCH(B1183,'Mapping'!$A$2:$A$60,0)),"")</f>
        <v/>
      </c>
    </row>
    <row r="1184">
      <c r="I1184" s="37">
        <f>G1184-H1184</f>
        <v/>
      </c>
      <c r="O1184" s="36">
        <f>IFERROR(INDEX('Mapping'!$F$2:$F$60,MATCH(B1184,'Mapping'!$A$2:$A$60,0)),"")</f>
        <v/>
      </c>
    </row>
    <row r="1185">
      <c r="I1185" s="37">
        <f>G1185-H1185</f>
        <v/>
      </c>
      <c r="O1185" s="36">
        <f>IFERROR(INDEX('Mapping'!$F$2:$F$60,MATCH(B1185,'Mapping'!$A$2:$A$60,0)),"")</f>
        <v/>
      </c>
    </row>
    <row r="1186">
      <c r="I1186" s="37">
        <f>G1186-H1186</f>
        <v/>
      </c>
      <c r="O1186" s="36">
        <f>IFERROR(INDEX('Mapping'!$F$2:$F$60,MATCH(B1186,'Mapping'!$A$2:$A$60,0)),"")</f>
        <v/>
      </c>
    </row>
    <row r="1187">
      <c r="I1187" s="37">
        <f>G1187-H1187</f>
        <v/>
      </c>
      <c r="O1187" s="36">
        <f>IFERROR(INDEX('Mapping'!$F$2:$F$60,MATCH(B1187,'Mapping'!$A$2:$A$60,0)),"")</f>
        <v/>
      </c>
    </row>
    <row r="1188">
      <c r="I1188" s="37">
        <f>G1188-H1188</f>
        <v/>
      </c>
      <c r="O1188" s="36">
        <f>IFERROR(INDEX('Mapping'!$F$2:$F$60,MATCH(B1188,'Mapping'!$A$2:$A$60,0)),"")</f>
        <v/>
      </c>
    </row>
    <row r="1189">
      <c r="I1189" s="37">
        <f>G1189-H1189</f>
        <v/>
      </c>
      <c r="O1189" s="36">
        <f>IFERROR(INDEX('Mapping'!$F$2:$F$60,MATCH(B1189,'Mapping'!$A$2:$A$60,0)),"")</f>
        <v/>
      </c>
    </row>
    <row r="1190">
      <c r="I1190" s="37">
        <f>G1190-H1190</f>
        <v/>
      </c>
      <c r="O1190" s="36">
        <f>IFERROR(INDEX('Mapping'!$F$2:$F$60,MATCH(B1190,'Mapping'!$A$2:$A$60,0)),"")</f>
        <v/>
      </c>
    </row>
    <row r="1191">
      <c r="I1191" s="37">
        <f>G1191-H1191</f>
        <v/>
      </c>
      <c r="O1191" s="36">
        <f>IFERROR(INDEX('Mapping'!$F$2:$F$60,MATCH(B1191,'Mapping'!$A$2:$A$60,0)),"")</f>
        <v/>
      </c>
    </row>
    <row r="1192">
      <c r="I1192" s="37">
        <f>G1192-H1192</f>
        <v/>
      </c>
      <c r="O1192" s="36">
        <f>IFERROR(INDEX('Mapping'!$F$2:$F$60,MATCH(B1192,'Mapping'!$A$2:$A$60,0)),"")</f>
        <v/>
      </c>
    </row>
    <row r="1193">
      <c r="I1193" s="37">
        <f>G1193-H1193</f>
        <v/>
      </c>
      <c r="O1193" s="36">
        <f>IFERROR(INDEX('Mapping'!$F$2:$F$60,MATCH(B1193,'Mapping'!$A$2:$A$60,0)),"")</f>
        <v/>
      </c>
    </row>
    <row r="1194">
      <c r="I1194" s="37">
        <f>G1194-H1194</f>
        <v/>
      </c>
      <c r="O1194" s="36">
        <f>IFERROR(INDEX('Mapping'!$F$2:$F$60,MATCH(B1194,'Mapping'!$A$2:$A$60,0)),"")</f>
        <v/>
      </c>
    </row>
    <row r="1195">
      <c r="I1195" s="37">
        <f>G1195-H1195</f>
        <v/>
      </c>
      <c r="O1195" s="36">
        <f>IFERROR(INDEX('Mapping'!$F$2:$F$60,MATCH(B1195,'Mapping'!$A$2:$A$60,0)),"")</f>
        <v/>
      </c>
    </row>
    <row r="1196">
      <c r="I1196" s="37">
        <f>G1196-H1196</f>
        <v/>
      </c>
      <c r="O1196" s="36">
        <f>IFERROR(INDEX('Mapping'!$F$2:$F$60,MATCH(B1196,'Mapping'!$A$2:$A$60,0)),"")</f>
        <v/>
      </c>
    </row>
    <row r="1197">
      <c r="I1197" s="37">
        <f>G1197-H1197</f>
        <v/>
      </c>
      <c r="O1197" s="36">
        <f>IFERROR(INDEX('Mapping'!$F$2:$F$60,MATCH(B1197,'Mapping'!$A$2:$A$60,0)),"")</f>
        <v/>
      </c>
    </row>
    <row r="1198">
      <c r="I1198" s="37">
        <f>G1198-H1198</f>
        <v/>
      </c>
      <c r="O1198" s="36">
        <f>IFERROR(INDEX('Mapping'!$F$2:$F$60,MATCH(B1198,'Mapping'!$A$2:$A$60,0)),"")</f>
        <v/>
      </c>
    </row>
    <row r="1199">
      <c r="I1199" s="37">
        <f>G1199-H1199</f>
        <v/>
      </c>
      <c r="O1199" s="36">
        <f>IFERROR(INDEX('Mapping'!$F$2:$F$60,MATCH(B1199,'Mapping'!$A$2:$A$60,0)),"")</f>
        <v/>
      </c>
    </row>
    <row r="1200">
      <c r="I1200" s="37">
        <f>G1200-H1200</f>
        <v/>
      </c>
      <c r="O1200" s="36">
        <f>IFERROR(INDEX('Mapping'!$F$2:$F$60,MATCH(B1200,'Mapping'!$A$2:$A$60,0)),"")</f>
        <v/>
      </c>
    </row>
    <row r="1201">
      <c r="I1201" s="37">
        <f>G1201-H1201</f>
        <v/>
      </c>
      <c r="O1201" s="36">
        <f>IFERROR(INDEX('Mapping'!$F$2:$F$60,MATCH(B1201,'Mapping'!$A$2:$A$60,0)),"")</f>
        <v/>
      </c>
    </row>
    <row r="1202">
      <c r="I1202" s="37">
        <f>G1202-H1202</f>
        <v/>
      </c>
      <c r="O1202" s="36">
        <f>IFERROR(INDEX('Mapping'!$F$2:$F$60,MATCH(B1202,'Mapping'!$A$2:$A$60,0)),"")</f>
        <v/>
      </c>
    </row>
    <row r="1203">
      <c r="I1203" s="37">
        <f>G1203-H1203</f>
        <v/>
      </c>
      <c r="O1203" s="36">
        <f>IFERROR(INDEX('Mapping'!$F$2:$F$60,MATCH(B1203,'Mapping'!$A$2:$A$60,0)),"")</f>
        <v/>
      </c>
    </row>
    <row r="1204">
      <c r="I1204" s="37">
        <f>G1204-H1204</f>
        <v/>
      </c>
      <c r="O1204" s="36">
        <f>IFERROR(INDEX('Mapping'!$F$2:$F$60,MATCH(B1204,'Mapping'!$A$2:$A$60,0)),"")</f>
        <v/>
      </c>
    </row>
    <row r="1205">
      <c r="I1205" s="37">
        <f>G1205-H1205</f>
        <v/>
      </c>
      <c r="O1205" s="36">
        <f>IFERROR(INDEX('Mapping'!$F$2:$F$60,MATCH(B1205,'Mapping'!$A$2:$A$60,0)),"")</f>
        <v/>
      </c>
    </row>
    <row r="1206">
      <c r="I1206" s="37">
        <f>G1206-H1206</f>
        <v/>
      </c>
      <c r="O1206" s="36">
        <f>IFERROR(INDEX('Mapping'!$F$2:$F$60,MATCH(B1206,'Mapping'!$A$2:$A$60,0)),"")</f>
        <v/>
      </c>
    </row>
    <row r="1207">
      <c r="I1207" s="37">
        <f>G1207-H1207</f>
        <v/>
      </c>
      <c r="O1207" s="36">
        <f>IFERROR(INDEX('Mapping'!$F$2:$F$60,MATCH(B1207,'Mapping'!$A$2:$A$60,0)),"")</f>
        <v/>
      </c>
    </row>
    <row r="1208">
      <c r="I1208" s="37">
        <f>G1208-H1208</f>
        <v/>
      </c>
      <c r="O1208" s="36">
        <f>IFERROR(INDEX('Mapping'!$F$2:$F$60,MATCH(B1208,'Mapping'!$A$2:$A$60,0)),"")</f>
        <v/>
      </c>
    </row>
    <row r="1209">
      <c r="I1209" s="37">
        <f>G1209-H1209</f>
        <v/>
      </c>
      <c r="O1209" s="36">
        <f>IFERROR(INDEX('Mapping'!$F$2:$F$60,MATCH(B1209,'Mapping'!$A$2:$A$60,0)),"")</f>
        <v/>
      </c>
    </row>
    <row r="1210">
      <c r="I1210" s="37">
        <f>G1210-H1210</f>
        <v/>
      </c>
      <c r="O1210" s="36">
        <f>IFERROR(INDEX('Mapping'!$F$2:$F$60,MATCH(B1210,'Mapping'!$A$2:$A$60,0)),"")</f>
        <v/>
      </c>
    </row>
    <row r="1211">
      <c r="I1211" s="37">
        <f>G1211-H1211</f>
        <v/>
      </c>
      <c r="O1211" s="36">
        <f>IFERROR(INDEX('Mapping'!$F$2:$F$60,MATCH(B1211,'Mapping'!$A$2:$A$60,0)),"")</f>
        <v/>
      </c>
    </row>
    <row r="1212">
      <c r="I1212" s="37">
        <f>G1212-H1212</f>
        <v/>
      </c>
      <c r="O1212" s="36">
        <f>IFERROR(INDEX('Mapping'!$F$2:$F$60,MATCH(B1212,'Mapping'!$A$2:$A$60,0)),"")</f>
        <v/>
      </c>
    </row>
    <row r="1213">
      <c r="I1213" s="37">
        <f>G1213-H1213</f>
        <v/>
      </c>
      <c r="O1213" s="36">
        <f>IFERROR(INDEX('Mapping'!$F$2:$F$60,MATCH(B1213,'Mapping'!$A$2:$A$60,0)),"")</f>
        <v/>
      </c>
    </row>
    <row r="1214">
      <c r="I1214" s="37">
        <f>G1214-H1214</f>
        <v/>
      </c>
      <c r="O1214" s="36">
        <f>IFERROR(INDEX('Mapping'!$F$2:$F$60,MATCH(B1214,'Mapping'!$A$2:$A$60,0)),"")</f>
        <v/>
      </c>
    </row>
    <row r="1215">
      <c r="I1215" s="37">
        <f>G1215-H1215</f>
        <v/>
      </c>
      <c r="O1215" s="36">
        <f>IFERROR(INDEX('Mapping'!$F$2:$F$60,MATCH(B1215,'Mapping'!$A$2:$A$60,0)),"")</f>
        <v/>
      </c>
    </row>
    <row r="1216">
      <c r="I1216" s="37">
        <f>G1216-H1216</f>
        <v/>
      </c>
      <c r="O1216" s="36">
        <f>IFERROR(INDEX('Mapping'!$F$2:$F$60,MATCH(B1216,'Mapping'!$A$2:$A$60,0)),"")</f>
        <v/>
      </c>
    </row>
    <row r="1217">
      <c r="I1217" s="37">
        <f>G1217-H1217</f>
        <v/>
      </c>
      <c r="O1217" s="36">
        <f>IFERROR(INDEX('Mapping'!$F$2:$F$60,MATCH(B1217,'Mapping'!$A$2:$A$60,0)),"")</f>
        <v/>
      </c>
    </row>
    <row r="1218">
      <c r="I1218" s="37">
        <f>G1218-H1218</f>
        <v/>
      </c>
      <c r="O1218" s="36">
        <f>IFERROR(INDEX('Mapping'!$F$2:$F$60,MATCH(B1218,'Mapping'!$A$2:$A$60,0)),"")</f>
        <v/>
      </c>
    </row>
    <row r="1219">
      <c r="I1219" s="37">
        <f>G1219-H1219</f>
        <v/>
      </c>
      <c r="O1219" s="36">
        <f>IFERROR(INDEX('Mapping'!$F$2:$F$60,MATCH(B1219,'Mapping'!$A$2:$A$60,0)),"")</f>
        <v/>
      </c>
    </row>
    <row r="1220">
      <c r="I1220" s="37">
        <f>G1220-H1220</f>
        <v/>
      </c>
      <c r="O1220" s="36">
        <f>IFERROR(INDEX('Mapping'!$F$2:$F$60,MATCH(B1220,'Mapping'!$A$2:$A$60,0)),"")</f>
        <v/>
      </c>
    </row>
    <row r="1221">
      <c r="I1221" s="37">
        <f>G1221-H1221</f>
        <v/>
      </c>
      <c r="O1221" s="36">
        <f>IFERROR(INDEX('Mapping'!$F$2:$F$60,MATCH(B1221,'Mapping'!$A$2:$A$60,0)),"")</f>
        <v/>
      </c>
    </row>
    <row r="1222">
      <c r="I1222" s="37">
        <f>G1222-H1222</f>
        <v/>
      </c>
      <c r="O1222" s="36">
        <f>IFERROR(INDEX('Mapping'!$F$2:$F$60,MATCH(B1222,'Mapping'!$A$2:$A$60,0)),"")</f>
        <v/>
      </c>
    </row>
    <row r="1223">
      <c r="I1223" s="37">
        <f>G1223-H1223</f>
        <v/>
      </c>
      <c r="O1223" s="36">
        <f>IFERROR(INDEX('Mapping'!$F$2:$F$60,MATCH(B1223,'Mapping'!$A$2:$A$60,0)),"")</f>
        <v/>
      </c>
    </row>
    <row r="1224">
      <c r="I1224" s="37">
        <f>G1224-H1224</f>
        <v/>
      </c>
      <c r="O1224" s="36">
        <f>IFERROR(INDEX('Mapping'!$F$2:$F$60,MATCH(B1224,'Mapping'!$A$2:$A$60,0)),"")</f>
        <v/>
      </c>
    </row>
    <row r="1225">
      <c r="I1225" s="37">
        <f>G1225-H1225</f>
        <v/>
      </c>
      <c r="O1225" s="36">
        <f>IFERROR(INDEX('Mapping'!$F$2:$F$60,MATCH(B1225,'Mapping'!$A$2:$A$60,0)),"")</f>
        <v/>
      </c>
    </row>
    <row r="1226">
      <c r="I1226" s="37">
        <f>G1226-H1226</f>
        <v/>
      </c>
      <c r="O1226" s="36">
        <f>IFERROR(INDEX('Mapping'!$F$2:$F$60,MATCH(B1226,'Mapping'!$A$2:$A$60,0)),"")</f>
        <v/>
      </c>
    </row>
    <row r="1227">
      <c r="I1227" s="37">
        <f>G1227-H1227</f>
        <v/>
      </c>
      <c r="O1227" s="36">
        <f>IFERROR(INDEX('Mapping'!$F$2:$F$60,MATCH(B1227,'Mapping'!$A$2:$A$60,0)),"")</f>
        <v/>
      </c>
    </row>
    <row r="1228">
      <c r="I1228" s="37">
        <f>G1228-H1228</f>
        <v/>
      </c>
      <c r="O1228" s="36">
        <f>IFERROR(INDEX('Mapping'!$F$2:$F$60,MATCH(B1228,'Mapping'!$A$2:$A$60,0)),"")</f>
        <v/>
      </c>
    </row>
    <row r="1229">
      <c r="I1229" s="37">
        <f>G1229-H1229</f>
        <v/>
      </c>
      <c r="O1229" s="36">
        <f>IFERROR(INDEX('Mapping'!$F$2:$F$60,MATCH(B1229,'Mapping'!$A$2:$A$60,0)),"")</f>
        <v/>
      </c>
    </row>
    <row r="1230">
      <c r="I1230" s="37">
        <f>G1230-H1230</f>
        <v/>
      </c>
      <c r="O1230" s="36">
        <f>IFERROR(INDEX('Mapping'!$F$2:$F$60,MATCH(B1230,'Mapping'!$A$2:$A$60,0)),"")</f>
        <v/>
      </c>
    </row>
    <row r="1231">
      <c r="I1231" s="37">
        <f>G1231-H1231</f>
        <v/>
      </c>
      <c r="O1231" s="36">
        <f>IFERROR(INDEX('Mapping'!$F$2:$F$60,MATCH(B1231,'Mapping'!$A$2:$A$60,0)),"")</f>
        <v/>
      </c>
    </row>
    <row r="1232">
      <c r="I1232" s="37">
        <f>G1232-H1232</f>
        <v/>
      </c>
      <c r="O1232" s="36">
        <f>IFERROR(INDEX('Mapping'!$F$2:$F$60,MATCH(B1232,'Mapping'!$A$2:$A$60,0)),"")</f>
        <v/>
      </c>
    </row>
    <row r="1233">
      <c r="I1233" s="37">
        <f>G1233-H1233</f>
        <v/>
      </c>
      <c r="O1233" s="36">
        <f>IFERROR(INDEX('Mapping'!$F$2:$F$60,MATCH(B1233,'Mapping'!$A$2:$A$60,0)),"")</f>
        <v/>
      </c>
    </row>
    <row r="1234">
      <c r="I1234" s="37">
        <f>G1234-H1234</f>
        <v/>
      </c>
      <c r="O1234" s="36">
        <f>IFERROR(INDEX('Mapping'!$F$2:$F$60,MATCH(B1234,'Mapping'!$A$2:$A$60,0)),"")</f>
        <v/>
      </c>
    </row>
    <row r="1235">
      <c r="I1235" s="37">
        <f>G1235-H1235</f>
        <v/>
      </c>
      <c r="O1235" s="36">
        <f>IFERROR(INDEX('Mapping'!$F$2:$F$60,MATCH(B1235,'Mapping'!$A$2:$A$60,0)),"")</f>
        <v/>
      </c>
    </row>
    <row r="1236">
      <c r="I1236" s="37">
        <f>G1236-H1236</f>
        <v/>
      </c>
      <c r="O1236" s="36">
        <f>IFERROR(INDEX('Mapping'!$F$2:$F$60,MATCH(B1236,'Mapping'!$A$2:$A$60,0)),"")</f>
        <v/>
      </c>
    </row>
    <row r="1237">
      <c r="I1237" s="37">
        <f>G1237-H1237</f>
        <v/>
      </c>
      <c r="O1237" s="36">
        <f>IFERROR(INDEX('Mapping'!$F$2:$F$60,MATCH(B1237,'Mapping'!$A$2:$A$60,0)),"")</f>
        <v/>
      </c>
    </row>
    <row r="1238">
      <c r="I1238" s="37">
        <f>G1238-H1238</f>
        <v/>
      </c>
      <c r="O1238" s="36">
        <f>IFERROR(INDEX('Mapping'!$F$2:$F$60,MATCH(B1238,'Mapping'!$A$2:$A$60,0)),"")</f>
        <v/>
      </c>
    </row>
    <row r="1239">
      <c r="I1239" s="37">
        <f>G1239-H1239</f>
        <v/>
      </c>
      <c r="O1239" s="36">
        <f>IFERROR(INDEX('Mapping'!$F$2:$F$60,MATCH(B1239,'Mapping'!$A$2:$A$60,0)),"")</f>
        <v/>
      </c>
    </row>
    <row r="1240">
      <c r="I1240" s="37">
        <f>G1240-H1240</f>
        <v/>
      </c>
      <c r="O1240" s="36">
        <f>IFERROR(INDEX('Mapping'!$F$2:$F$60,MATCH(B1240,'Mapping'!$A$2:$A$60,0)),"")</f>
        <v/>
      </c>
    </row>
    <row r="1241">
      <c r="I1241" s="37">
        <f>G1241-H1241</f>
        <v/>
      </c>
      <c r="O1241" s="36">
        <f>IFERROR(INDEX('Mapping'!$F$2:$F$60,MATCH(B1241,'Mapping'!$A$2:$A$60,0)),"")</f>
        <v/>
      </c>
    </row>
    <row r="1242">
      <c r="I1242" s="37">
        <f>G1242-H1242</f>
        <v/>
      </c>
      <c r="O1242" s="36">
        <f>IFERROR(INDEX('Mapping'!$F$2:$F$60,MATCH(B1242,'Mapping'!$A$2:$A$60,0)),"")</f>
        <v/>
      </c>
    </row>
    <row r="1243">
      <c r="I1243" s="37">
        <f>G1243-H1243</f>
        <v/>
      </c>
      <c r="O1243" s="36">
        <f>IFERROR(INDEX('Mapping'!$F$2:$F$60,MATCH(B1243,'Mapping'!$A$2:$A$60,0)),"")</f>
        <v/>
      </c>
    </row>
    <row r="1244">
      <c r="I1244" s="37">
        <f>G1244-H1244</f>
        <v/>
      </c>
      <c r="O1244" s="36">
        <f>IFERROR(INDEX('Mapping'!$F$2:$F$60,MATCH(B1244,'Mapping'!$A$2:$A$60,0)),"")</f>
        <v/>
      </c>
    </row>
    <row r="1245">
      <c r="I1245" s="37">
        <f>G1245-H1245</f>
        <v/>
      </c>
      <c r="O1245" s="36">
        <f>IFERROR(INDEX('Mapping'!$F$2:$F$60,MATCH(B1245,'Mapping'!$A$2:$A$60,0)),"")</f>
        <v/>
      </c>
    </row>
    <row r="1246">
      <c r="I1246" s="37">
        <f>G1246-H1246</f>
        <v/>
      </c>
      <c r="O1246" s="36">
        <f>IFERROR(INDEX('Mapping'!$F$2:$F$60,MATCH(B1246,'Mapping'!$A$2:$A$60,0)),"")</f>
        <v/>
      </c>
    </row>
    <row r="1247">
      <c r="I1247" s="37">
        <f>G1247-H1247</f>
        <v/>
      </c>
      <c r="O1247" s="36">
        <f>IFERROR(INDEX('Mapping'!$F$2:$F$60,MATCH(B1247,'Mapping'!$A$2:$A$60,0)),"")</f>
        <v/>
      </c>
    </row>
    <row r="1248">
      <c r="I1248" s="37">
        <f>G1248-H1248</f>
        <v/>
      </c>
      <c r="O1248" s="36">
        <f>IFERROR(INDEX('Mapping'!$F$2:$F$60,MATCH(B1248,'Mapping'!$A$2:$A$60,0)),"")</f>
        <v/>
      </c>
    </row>
    <row r="1249">
      <c r="I1249" s="37">
        <f>G1249-H1249</f>
        <v/>
      </c>
      <c r="O1249" s="36">
        <f>IFERROR(INDEX('Mapping'!$F$2:$F$60,MATCH(B1249,'Mapping'!$A$2:$A$60,0)),"")</f>
        <v/>
      </c>
    </row>
    <row r="1250">
      <c r="I1250" s="37">
        <f>G1250-H1250</f>
        <v/>
      </c>
      <c r="O1250" s="36">
        <f>IFERROR(INDEX('Mapping'!$F$2:$F$60,MATCH(B1250,'Mapping'!$A$2:$A$60,0)),"")</f>
        <v/>
      </c>
    </row>
    <row r="1251">
      <c r="I1251" s="37">
        <f>G1251-H1251</f>
        <v/>
      </c>
      <c r="O1251" s="36">
        <f>IFERROR(INDEX('Mapping'!$F$2:$F$60,MATCH(B1251,'Mapping'!$A$2:$A$60,0)),"")</f>
        <v/>
      </c>
    </row>
    <row r="1252">
      <c r="I1252" s="37">
        <f>G1252-H1252</f>
        <v/>
      </c>
      <c r="O1252" s="36">
        <f>IFERROR(INDEX('Mapping'!$F$2:$F$60,MATCH(B1252,'Mapping'!$A$2:$A$60,0)),"")</f>
        <v/>
      </c>
    </row>
    <row r="1253">
      <c r="I1253" s="37">
        <f>G1253-H1253</f>
        <v/>
      </c>
      <c r="O1253" s="36">
        <f>IFERROR(INDEX('Mapping'!$F$2:$F$60,MATCH(B1253,'Mapping'!$A$2:$A$60,0)),"")</f>
        <v/>
      </c>
    </row>
    <row r="1254">
      <c r="I1254" s="37">
        <f>G1254-H1254</f>
        <v/>
      </c>
      <c r="O1254" s="36">
        <f>IFERROR(INDEX('Mapping'!$F$2:$F$60,MATCH(B1254,'Mapping'!$A$2:$A$60,0)),"")</f>
        <v/>
      </c>
    </row>
    <row r="1255">
      <c r="I1255" s="37">
        <f>G1255-H1255</f>
        <v/>
      </c>
      <c r="O1255" s="36">
        <f>IFERROR(INDEX('Mapping'!$F$2:$F$60,MATCH(B1255,'Mapping'!$A$2:$A$60,0)),"")</f>
        <v/>
      </c>
    </row>
    <row r="1256">
      <c r="I1256" s="37">
        <f>G1256-H1256</f>
        <v/>
      </c>
      <c r="O1256" s="36">
        <f>IFERROR(INDEX('Mapping'!$F$2:$F$60,MATCH(B1256,'Mapping'!$A$2:$A$60,0)),"")</f>
        <v/>
      </c>
    </row>
    <row r="1257">
      <c r="I1257" s="37">
        <f>G1257-H1257</f>
        <v/>
      </c>
      <c r="O1257" s="36">
        <f>IFERROR(INDEX('Mapping'!$F$2:$F$60,MATCH(B1257,'Mapping'!$A$2:$A$60,0)),"")</f>
        <v/>
      </c>
    </row>
    <row r="1258">
      <c r="I1258" s="37">
        <f>G1258-H1258</f>
        <v/>
      </c>
      <c r="O1258" s="36">
        <f>IFERROR(INDEX('Mapping'!$F$2:$F$60,MATCH(B1258,'Mapping'!$A$2:$A$60,0)),"")</f>
        <v/>
      </c>
    </row>
    <row r="1259">
      <c r="I1259" s="37">
        <f>G1259-H1259</f>
        <v/>
      </c>
      <c r="O1259" s="36">
        <f>IFERROR(INDEX('Mapping'!$F$2:$F$60,MATCH(B1259,'Mapping'!$A$2:$A$60,0)),"")</f>
        <v/>
      </c>
    </row>
    <row r="1260">
      <c r="I1260" s="37">
        <f>G1260-H1260</f>
        <v/>
      </c>
      <c r="O1260" s="36">
        <f>IFERROR(INDEX('Mapping'!$F$2:$F$60,MATCH(B1260,'Mapping'!$A$2:$A$60,0)),"")</f>
        <v/>
      </c>
    </row>
    <row r="1261">
      <c r="I1261" s="37">
        <f>G1261-H1261</f>
        <v/>
      </c>
      <c r="O1261" s="36">
        <f>IFERROR(INDEX('Mapping'!$F$2:$F$60,MATCH(B1261,'Mapping'!$A$2:$A$60,0)),"")</f>
        <v/>
      </c>
    </row>
    <row r="1262">
      <c r="I1262" s="37">
        <f>G1262-H1262</f>
        <v/>
      </c>
      <c r="O1262" s="36">
        <f>IFERROR(INDEX('Mapping'!$F$2:$F$60,MATCH(B1262,'Mapping'!$A$2:$A$60,0)),"")</f>
        <v/>
      </c>
    </row>
    <row r="1263">
      <c r="I1263" s="37">
        <f>G1263-H1263</f>
        <v/>
      </c>
      <c r="O1263" s="36">
        <f>IFERROR(INDEX('Mapping'!$F$2:$F$60,MATCH(B1263,'Mapping'!$A$2:$A$60,0)),"")</f>
        <v/>
      </c>
    </row>
    <row r="1264">
      <c r="I1264" s="37">
        <f>G1264-H1264</f>
        <v/>
      </c>
      <c r="O1264" s="36">
        <f>IFERROR(INDEX('Mapping'!$F$2:$F$60,MATCH(B1264,'Mapping'!$A$2:$A$60,0)),"")</f>
        <v/>
      </c>
    </row>
    <row r="1265">
      <c r="I1265" s="37">
        <f>G1265-H1265</f>
        <v/>
      </c>
      <c r="O1265" s="36">
        <f>IFERROR(INDEX('Mapping'!$F$2:$F$60,MATCH(B1265,'Mapping'!$A$2:$A$60,0)),"")</f>
        <v/>
      </c>
    </row>
    <row r="1266">
      <c r="I1266" s="37">
        <f>G1266-H1266</f>
        <v/>
      </c>
      <c r="O1266" s="36">
        <f>IFERROR(INDEX('Mapping'!$F$2:$F$60,MATCH(B1266,'Mapping'!$A$2:$A$60,0)),"")</f>
        <v/>
      </c>
    </row>
    <row r="1267">
      <c r="I1267" s="37">
        <f>G1267-H1267</f>
        <v/>
      </c>
      <c r="O1267" s="36">
        <f>IFERROR(INDEX('Mapping'!$F$2:$F$60,MATCH(B1267,'Mapping'!$A$2:$A$60,0)),"")</f>
        <v/>
      </c>
    </row>
    <row r="1268">
      <c r="I1268" s="37">
        <f>G1268-H1268</f>
        <v/>
      </c>
      <c r="O1268" s="36">
        <f>IFERROR(INDEX('Mapping'!$F$2:$F$60,MATCH(B1268,'Mapping'!$A$2:$A$60,0)),"")</f>
        <v/>
      </c>
    </row>
    <row r="1269">
      <c r="I1269" s="37">
        <f>G1269-H1269</f>
        <v/>
      </c>
      <c r="O1269" s="36">
        <f>IFERROR(INDEX('Mapping'!$F$2:$F$60,MATCH(B1269,'Mapping'!$A$2:$A$60,0)),"")</f>
        <v/>
      </c>
    </row>
    <row r="1270">
      <c r="I1270" s="37">
        <f>G1270-H1270</f>
        <v/>
      </c>
      <c r="O1270" s="36">
        <f>IFERROR(INDEX('Mapping'!$F$2:$F$60,MATCH(B1270,'Mapping'!$A$2:$A$60,0)),"")</f>
        <v/>
      </c>
    </row>
    <row r="1271">
      <c r="I1271" s="37">
        <f>G1271-H1271</f>
        <v/>
      </c>
      <c r="O1271" s="36">
        <f>IFERROR(INDEX('Mapping'!$F$2:$F$60,MATCH(B1271,'Mapping'!$A$2:$A$60,0)),"")</f>
        <v/>
      </c>
    </row>
    <row r="1272">
      <c r="I1272" s="37">
        <f>G1272-H1272</f>
        <v/>
      </c>
      <c r="O1272" s="36">
        <f>IFERROR(INDEX('Mapping'!$F$2:$F$60,MATCH(B1272,'Mapping'!$A$2:$A$60,0)),"")</f>
        <v/>
      </c>
    </row>
    <row r="1273">
      <c r="I1273" s="37">
        <f>G1273-H1273</f>
        <v/>
      </c>
      <c r="O1273" s="36">
        <f>IFERROR(INDEX('Mapping'!$F$2:$F$60,MATCH(B1273,'Mapping'!$A$2:$A$60,0)),"")</f>
        <v/>
      </c>
    </row>
    <row r="1274">
      <c r="I1274" s="37">
        <f>G1274-H1274</f>
        <v/>
      </c>
      <c r="O1274" s="36">
        <f>IFERROR(INDEX('Mapping'!$F$2:$F$60,MATCH(B1274,'Mapping'!$A$2:$A$60,0)),"")</f>
        <v/>
      </c>
    </row>
    <row r="1275">
      <c r="I1275" s="37">
        <f>G1275-H1275</f>
        <v/>
      </c>
      <c r="O1275" s="36">
        <f>IFERROR(INDEX('Mapping'!$F$2:$F$60,MATCH(B1275,'Mapping'!$A$2:$A$60,0)),"")</f>
        <v/>
      </c>
    </row>
    <row r="1276">
      <c r="I1276" s="37">
        <f>G1276-H1276</f>
        <v/>
      </c>
      <c r="O1276" s="36">
        <f>IFERROR(INDEX('Mapping'!$F$2:$F$60,MATCH(B1276,'Mapping'!$A$2:$A$60,0)),"")</f>
        <v/>
      </c>
    </row>
    <row r="1277">
      <c r="I1277" s="37">
        <f>G1277-H1277</f>
        <v/>
      </c>
      <c r="O1277" s="36">
        <f>IFERROR(INDEX('Mapping'!$F$2:$F$60,MATCH(B1277,'Mapping'!$A$2:$A$60,0)),"")</f>
        <v/>
      </c>
    </row>
    <row r="1278">
      <c r="I1278" s="37">
        <f>G1278-H1278</f>
        <v/>
      </c>
      <c r="O1278" s="36">
        <f>IFERROR(INDEX('Mapping'!$F$2:$F$60,MATCH(B1278,'Mapping'!$A$2:$A$60,0)),"")</f>
        <v/>
      </c>
    </row>
    <row r="1279">
      <c r="I1279" s="37">
        <f>G1279-H1279</f>
        <v/>
      </c>
      <c r="O1279" s="36">
        <f>IFERROR(INDEX('Mapping'!$F$2:$F$60,MATCH(B1279,'Mapping'!$A$2:$A$60,0)),"")</f>
        <v/>
      </c>
    </row>
    <row r="1280">
      <c r="I1280" s="37">
        <f>G1280-H1280</f>
        <v/>
      </c>
      <c r="O1280" s="36">
        <f>IFERROR(INDEX('Mapping'!$F$2:$F$60,MATCH(B1280,'Mapping'!$A$2:$A$60,0)),"")</f>
        <v/>
      </c>
    </row>
    <row r="1281">
      <c r="I1281" s="37">
        <f>G1281-H1281</f>
        <v/>
      </c>
      <c r="O1281" s="36">
        <f>IFERROR(INDEX('Mapping'!$F$2:$F$60,MATCH(B1281,'Mapping'!$A$2:$A$60,0)),"")</f>
        <v/>
      </c>
    </row>
    <row r="1282">
      <c r="I1282" s="37">
        <f>G1282-H1282</f>
        <v/>
      </c>
      <c r="O1282" s="36">
        <f>IFERROR(INDEX('Mapping'!$F$2:$F$60,MATCH(B1282,'Mapping'!$A$2:$A$60,0)),"")</f>
        <v/>
      </c>
    </row>
    <row r="1283">
      <c r="I1283" s="37">
        <f>G1283-H1283</f>
        <v/>
      </c>
      <c r="O1283" s="36">
        <f>IFERROR(INDEX('Mapping'!$F$2:$F$60,MATCH(B1283,'Mapping'!$A$2:$A$60,0)),"")</f>
        <v/>
      </c>
    </row>
    <row r="1284">
      <c r="I1284" s="37">
        <f>G1284-H1284</f>
        <v/>
      </c>
      <c r="O1284" s="36">
        <f>IFERROR(INDEX('Mapping'!$F$2:$F$60,MATCH(B1284,'Mapping'!$A$2:$A$60,0)),"")</f>
        <v/>
      </c>
    </row>
    <row r="1285">
      <c r="I1285" s="37">
        <f>G1285-H1285</f>
        <v/>
      </c>
      <c r="O1285" s="36">
        <f>IFERROR(INDEX('Mapping'!$F$2:$F$60,MATCH(B1285,'Mapping'!$A$2:$A$60,0)),"")</f>
        <v/>
      </c>
    </row>
    <row r="1286">
      <c r="I1286" s="37">
        <f>G1286-H1286</f>
        <v/>
      </c>
      <c r="O1286" s="36">
        <f>IFERROR(INDEX('Mapping'!$F$2:$F$60,MATCH(B1286,'Mapping'!$A$2:$A$60,0)),"")</f>
        <v/>
      </c>
    </row>
    <row r="1287">
      <c r="I1287" s="37">
        <f>G1287-H1287</f>
        <v/>
      </c>
      <c r="O1287" s="36">
        <f>IFERROR(INDEX('Mapping'!$F$2:$F$60,MATCH(B1287,'Mapping'!$A$2:$A$60,0)),"")</f>
        <v/>
      </c>
    </row>
    <row r="1288">
      <c r="I1288" s="37">
        <f>G1288-H1288</f>
        <v/>
      </c>
      <c r="O1288" s="36">
        <f>IFERROR(INDEX('Mapping'!$F$2:$F$60,MATCH(B1288,'Mapping'!$A$2:$A$60,0)),"")</f>
        <v/>
      </c>
    </row>
    <row r="1289">
      <c r="I1289" s="37">
        <f>G1289-H1289</f>
        <v/>
      </c>
      <c r="O1289" s="36">
        <f>IFERROR(INDEX('Mapping'!$F$2:$F$60,MATCH(B1289,'Mapping'!$A$2:$A$60,0)),"")</f>
        <v/>
      </c>
    </row>
    <row r="1290">
      <c r="I1290" s="37">
        <f>G1290-H1290</f>
        <v/>
      </c>
      <c r="O1290" s="36">
        <f>IFERROR(INDEX('Mapping'!$F$2:$F$60,MATCH(B1290,'Mapping'!$A$2:$A$60,0)),"")</f>
        <v/>
      </c>
    </row>
    <row r="1291">
      <c r="I1291" s="37">
        <f>G1291-H1291</f>
        <v/>
      </c>
      <c r="O1291" s="36">
        <f>IFERROR(INDEX('Mapping'!$F$2:$F$60,MATCH(B1291,'Mapping'!$A$2:$A$60,0)),"")</f>
        <v/>
      </c>
    </row>
    <row r="1292">
      <c r="I1292" s="37">
        <f>G1292-H1292</f>
        <v/>
      </c>
      <c r="O1292" s="36">
        <f>IFERROR(INDEX('Mapping'!$F$2:$F$60,MATCH(B1292,'Mapping'!$A$2:$A$60,0)),"")</f>
        <v/>
      </c>
    </row>
    <row r="1293">
      <c r="I1293" s="37">
        <f>G1293-H1293</f>
        <v/>
      </c>
      <c r="O1293" s="36">
        <f>IFERROR(INDEX('Mapping'!$F$2:$F$60,MATCH(B1293,'Mapping'!$A$2:$A$60,0)),"")</f>
        <v/>
      </c>
    </row>
    <row r="1294">
      <c r="I1294" s="37">
        <f>G1294-H1294</f>
        <v/>
      </c>
      <c r="O1294" s="36">
        <f>IFERROR(INDEX('Mapping'!$F$2:$F$60,MATCH(B1294,'Mapping'!$A$2:$A$60,0)),"")</f>
        <v/>
      </c>
    </row>
    <row r="1295">
      <c r="I1295" s="37">
        <f>G1295-H1295</f>
        <v/>
      </c>
      <c r="O1295" s="36">
        <f>IFERROR(INDEX('Mapping'!$F$2:$F$60,MATCH(B1295,'Mapping'!$A$2:$A$60,0)),"")</f>
        <v/>
      </c>
    </row>
    <row r="1296">
      <c r="I1296" s="37">
        <f>G1296-H1296</f>
        <v/>
      </c>
      <c r="O1296" s="36">
        <f>IFERROR(INDEX('Mapping'!$F$2:$F$60,MATCH(B1296,'Mapping'!$A$2:$A$60,0)),"")</f>
        <v/>
      </c>
    </row>
    <row r="1297">
      <c r="I1297" s="37">
        <f>G1297-H1297</f>
        <v/>
      </c>
      <c r="O1297" s="36">
        <f>IFERROR(INDEX('Mapping'!$F$2:$F$60,MATCH(B1297,'Mapping'!$A$2:$A$60,0)),"")</f>
        <v/>
      </c>
    </row>
    <row r="1298">
      <c r="I1298" s="37">
        <f>G1298-H1298</f>
        <v/>
      </c>
      <c r="O1298" s="36">
        <f>IFERROR(INDEX('Mapping'!$F$2:$F$60,MATCH(B1298,'Mapping'!$A$2:$A$60,0)),"")</f>
        <v/>
      </c>
    </row>
    <row r="1299">
      <c r="I1299" s="37">
        <f>G1299-H1299</f>
        <v/>
      </c>
      <c r="O1299" s="36">
        <f>IFERROR(INDEX('Mapping'!$F$2:$F$60,MATCH(B1299,'Mapping'!$A$2:$A$60,0)),"")</f>
        <v/>
      </c>
    </row>
    <row r="1300">
      <c r="I1300" s="37">
        <f>G1300-H1300</f>
        <v/>
      </c>
      <c r="O1300" s="36">
        <f>IFERROR(INDEX('Mapping'!$F$2:$F$60,MATCH(B1300,'Mapping'!$A$2:$A$60,0)),"")</f>
        <v/>
      </c>
    </row>
    <row r="1301">
      <c r="I1301" s="37">
        <f>G1301-H1301</f>
        <v/>
      </c>
      <c r="O1301" s="36">
        <f>IFERROR(INDEX('Mapping'!$F$2:$F$60,MATCH(B1301,'Mapping'!$A$2:$A$60,0)),"")</f>
        <v/>
      </c>
    </row>
    <row r="1302">
      <c r="I1302" s="37">
        <f>G1302-H1302</f>
        <v/>
      </c>
      <c r="O1302" s="36">
        <f>IFERROR(INDEX('Mapping'!$F$2:$F$60,MATCH(B1302,'Mapping'!$A$2:$A$60,0)),"")</f>
        <v/>
      </c>
    </row>
    <row r="1303">
      <c r="I1303" s="37">
        <f>G1303-H1303</f>
        <v/>
      </c>
      <c r="O1303" s="36">
        <f>IFERROR(INDEX('Mapping'!$F$2:$F$60,MATCH(B1303,'Mapping'!$A$2:$A$60,0)),"")</f>
        <v/>
      </c>
    </row>
    <row r="1304">
      <c r="I1304" s="37">
        <f>G1304-H1304</f>
        <v/>
      </c>
      <c r="O1304" s="36">
        <f>IFERROR(INDEX('Mapping'!$F$2:$F$60,MATCH(B1304,'Mapping'!$A$2:$A$60,0)),"")</f>
        <v/>
      </c>
    </row>
    <row r="1305">
      <c r="I1305" s="37">
        <f>G1305-H1305</f>
        <v/>
      </c>
      <c r="O1305" s="36">
        <f>IFERROR(INDEX('Mapping'!$F$2:$F$60,MATCH(B1305,'Mapping'!$A$2:$A$60,0)),"")</f>
        <v/>
      </c>
    </row>
    <row r="1306">
      <c r="I1306" s="37">
        <f>G1306-H1306</f>
        <v/>
      </c>
      <c r="O1306" s="36">
        <f>IFERROR(INDEX('Mapping'!$F$2:$F$60,MATCH(B1306,'Mapping'!$A$2:$A$60,0)),"")</f>
        <v/>
      </c>
    </row>
    <row r="1307">
      <c r="I1307" s="37">
        <f>G1307-H1307</f>
        <v/>
      </c>
      <c r="O1307" s="36">
        <f>IFERROR(INDEX('Mapping'!$F$2:$F$60,MATCH(B1307,'Mapping'!$A$2:$A$60,0)),"")</f>
        <v/>
      </c>
    </row>
    <row r="1308">
      <c r="I1308" s="37">
        <f>G1308-H1308</f>
        <v/>
      </c>
      <c r="O1308" s="36">
        <f>IFERROR(INDEX('Mapping'!$F$2:$F$60,MATCH(B1308,'Mapping'!$A$2:$A$60,0)),"")</f>
        <v/>
      </c>
    </row>
    <row r="1309">
      <c r="I1309" s="37">
        <f>G1309-H1309</f>
        <v/>
      </c>
      <c r="O1309" s="36">
        <f>IFERROR(INDEX('Mapping'!$F$2:$F$60,MATCH(B1309,'Mapping'!$A$2:$A$60,0)),"")</f>
        <v/>
      </c>
    </row>
    <row r="1310">
      <c r="I1310" s="37">
        <f>G1310-H1310</f>
        <v/>
      </c>
      <c r="O1310" s="36">
        <f>IFERROR(INDEX('Mapping'!$F$2:$F$60,MATCH(B1310,'Mapping'!$A$2:$A$60,0)),"")</f>
        <v/>
      </c>
    </row>
    <row r="1311">
      <c r="I1311" s="37">
        <f>G1311-H1311</f>
        <v/>
      </c>
      <c r="O1311" s="36">
        <f>IFERROR(INDEX('Mapping'!$F$2:$F$60,MATCH(B1311,'Mapping'!$A$2:$A$60,0)),"")</f>
        <v/>
      </c>
    </row>
    <row r="1312">
      <c r="I1312" s="37">
        <f>G1312-H1312</f>
        <v/>
      </c>
      <c r="O1312" s="36">
        <f>IFERROR(INDEX('Mapping'!$F$2:$F$60,MATCH(B1312,'Mapping'!$A$2:$A$60,0)),"")</f>
        <v/>
      </c>
    </row>
    <row r="1313">
      <c r="I1313" s="37">
        <f>G1313-H1313</f>
        <v/>
      </c>
      <c r="O1313" s="36">
        <f>IFERROR(INDEX('Mapping'!$F$2:$F$60,MATCH(B1313,'Mapping'!$A$2:$A$60,0)),"")</f>
        <v/>
      </c>
    </row>
    <row r="1314">
      <c r="I1314" s="37">
        <f>G1314-H1314</f>
        <v/>
      </c>
      <c r="O1314" s="36">
        <f>IFERROR(INDEX('Mapping'!$F$2:$F$60,MATCH(B1314,'Mapping'!$A$2:$A$60,0)),"")</f>
        <v/>
      </c>
    </row>
    <row r="1315">
      <c r="I1315" s="37">
        <f>G1315-H1315</f>
        <v/>
      </c>
      <c r="O1315" s="36">
        <f>IFERROR(INDEX('Mapping'!$F$2:$F$60,MATCH(B1315,'Mapping'!$A$2:$A$60,0)),"")</f>
        <v/>
      </c>
    </row>
    <row r="1316">
      <c r="I1316" s="37">
        <f>G1316-H1316</f>
        <v/>
      </c>
      <c r="O1316" s="36">
        <f>IFERROR(INDEX('Mapping'!$F$2:$F$60,MATCH(B1316,'Mapping'!$A$2:$A$60,0)),"")</f>
        <v/>
      </c>
    </row>
    <row r="1317">
      <c r="I1317" s="37">
        <f>G1317-H1317</f>
        <v/>
      </c>
      <c r="O1317" s="36">
        <f>IFERROR(INDEX('Mapping'!$F$2:$F$60,MATCH(B1317,'Mapping'!$A$2:$A$60,0)),"")</f>
        <v/>
      </c>
    </row>
    <row r="1318">
      <c r="I1318" s="37">
        <f>G1318-H1318</f>
        <v/>
      </c>
      <c r="O1318" s="36">
        <f>IFERROR(INDEX('Mapping'!$F$2:$F$60,MATCH(B1318,'Mapping'!$A$2:$A$60,0)),"")</f>
        <v/>
      </c>
    </row>
    <row r="1319">
      <c r="I1319" s="37">
        <f>G1319-H1319</f>
        <v/>
      </c>
      <c r="O1319" s="36">
        <f>IFERROR(INDEX('Mapping'!$F$2:$F$60,MATCH(B1319,'Mapping'!$A$2:$A$60,0)),"")</f>
        <v/>
      </c>
    </row>
    <row r="1320">
      <c r="I1320" s="37">
        <f>G1320-H1320</f>
        <v/>
      </c>
      <c r="O1320" s="36">
        <f>IFERROR(INDEX('Mapping'!$F$2:$F$60,MATCH(B1320,'Mapping'!$A$2:$A$60,0)),"")</f>
        <v/>
      </c>
    </row>
    <row r="1321">
      <c r="I1321" s="37">
        <f>G1321-H1321</f>
        <v/>
      </c>
      <c r="O1321" s="36">
        <f>IFERROR(INDEX('Mapping'!$F$2:$F$60,MATCH(B1321,'Mapping'!$A$2:$A$60,0)),"")</f>
        <v/>
      </c>
    </row>
    <row r="1322">
      <c r="I1322" s="37">
        <f>G1322-H1322</f>
        <v/>
      </c>
      <c r="O1322" s="36">
        <f>IFERROR(INDEX('Mapping'!$F$2:$F$60,MATCH(B1322,'Mapping'!$A$2:$A$60,0)),"")</f>
        <v/>
      </c>
    </row>
    <row r="1323">
      <c r="I1323" s="37">
        <f>G1323-H1323</f>
        <v/>
      </c>
      <c r="O1323" s="36">
        <f>IFERROR(INDEX('Mapping'!$F$2:$F$60,MATCH(B1323,'Mapping'!$A$2:$A$60,0)),"")</f>
        <v/>
      </c>
    </row>
    <row r="1324">
      <c r="I1324" s="37">
        <f>G1324-H1324</f>
        <v/>
      </c>
      <c r="O1324" s="36">
        <f>IFERROR(INDEX('Mapping'!$F$2:$F$60,MATCH(B1324,'Mapping'!$A$2:$A$60,0)),"")</f>
        <v/>
      </c>
    </row>
    <row r="1325">
      <c r="I1325" s="37">
        <f>G1325-H1325</f>
        <v/>
      </c>
      <c r="O1325" s="36">
        <f>IFERROR(INDEX('Mapping'!$F$2:$F$60,MATCH(B1325,'Mapping'!$A$2:$A$60,0)),"")</f>
        <v/>
      </c>
    </row>
    <row r="1326">
      <c r="I1326" s="37">
        <f>G1326-H1326</f>
        <v/>
      </c>
      <c r="O1326" s="36">
        <f>IFERROR(INDEX('Mapping'!$F$2:$F$60,MATCH(B1326,'Mapping'!$A$2:$A$60,0)),"")</f>
        <v/>
      </c>
    </row>
    <row r="1327">
      <c r="I1327" s="37">
        <f>G1327-H1327</f>
        <v/>
      </c>
      <c r="O1327" s="36">
        <f>IFERROR(INDEX('Mapping'!$F$2:$F$60,MATCH(B1327,'Mapping'!$A$2:$A$60,0)),"")</f>
        <v/>
      </c>
    </row>
    <row r="1328">
      <c r="I1328" s="37">
        <f>G1328-H1328</f>
        <v/>
      </c>
      <c r="O1328" s="36">
        <f>IFERROR(INDEX('Mapping'!$F$2:$F$60,MATCH(B1328,'Mapping'!$A$2:$A$60,0)),"")</f>
        <v/>
      </c>
    </row>
    <row r="1329">
      <c r="I1329" s="37">
        <f>G1329-H1329</f>
        <v/>
      </c>
      <c r="O1329" s="36">
        <f>IFERROR(INDEX('Mapping'!$F$2:$F$60,MATCH(B1329,'Mapping'!$A$2:$A$60,0)),"")</f>
        <v/>
      </c>
    </row>
    <row r="1330">
      <c r="I1330" s="37">
        <f>G1330-H1330</f>
        <v/>
      </c>
      <c r="O1330" s="36">
        <f>IFERROR(INDEX('Mapping'!$F$2:$F$60,MATCH(B1330,'Mapping'!$A$2:$A$60,0)),"")</f>
        <v/>
      </c>
    </row>
    <row r="1331">
      <c r="I1331" s="37">
        <f>G1331-H1331</f>
        <v/>
      </c>
      <c r="O1331" s="36">
        <f>IFERROR(INDEX('Mapping'!$F$2:$F$60,MATCH(B1331,'Mapping'!$A$2:$A$60,0)),"")</f>
        <v/>
      </c>
    </row>
    <row r="1332">
      <c r="I1332" s="37">
        <f>G1332-H1332</f>
        <v/>
      </c>
      <c r="O1332" s="36">
        <f>IFERROR(INDEX('Mapping'!$F$2:$F$60,MATCH(B1332,'Mapping'!$A$2:$A$60,0)),"")</f>
        <v/>
      </c>
    </row>
    <row r="1333">
      <c r="I1333" s="37">
        <f>G1333-H1333</f>
        <v/>
      </c>
      <c r="O1333" s="36">
        <f>IFERROR(INDEX('Mapping'!$F$2:$F$60,MATCH(B1333,'Mapping'!$A$2:$A$60,0)),"")</f>
        <v/>
      </c>
    </row>
    <row r="1334">
      <c r="I1334" s="37">
        <f>G1334-H1334</f>
        <v/>
      </c>
      <c r="O1334" s="36">
        <f>IFERROR(INDEX('Mapping'!$F$2:$F$60,MATCH(B1334,'Mapping'!$A$2:$A$60,0)),"")</f>
        <v/>
      </c>
    </row>
    <row r="1335">
      <c r="I1335" s="37">
        <f>G1335-H1335</f>
        <v/>
      </c>
      <c r="O1335" s="36">
        <f>IFERROR(INDEX('Mapping'!$F$2:$F$60,MATCH(B1335,'Mapping'!$A$2:$A$60,0)),"")</f>
        <v/>
      </c>
    </row>
    <row r="1336">
      <c r="I1336" s="37">
        <f>G1336-H1336</f>
        <v/>
      </c>
      <c r="O1336" s="36">
        <f>IFERROR(INDEX('Mapping'!$F$2:$F$60,MATCH(B1336,'Mapping'!$A$2:$A$60,0)),"")</f>
        <v/>
      </c>
    </row>
    <row r="1337">
      <c r="I1337" s="37">
        <f>G1337-H1337</f>
        <v/>
      </c>
      <c r="O1337" s="36">
        <f>IFERROR(INDEX('Mapping'!$F$2:$F$60,MATCH(B1337,'Mapping'!$A$2:$A$60,0)),"")</f>
        <v/>
      </c>
    </row>
    <row r="1338">
      <c r="I1338" s="37">
        <f>G1338-H1338</f>
        <v/>
      </c>
      <c r="O1338" s="36">
        <f>IFERROR(INDEX('Mapping'!$F$2:$F$60,MATCH(B1338,'Mapping'!$A$2:$A$60,0)),"")</f>
        <v/>
      </c>
    </row>
    <row r="1339">
      <c r="I1339" s="37">
        <f>G1339-H1339</f>
        <v/>
      </c>
      <c r="O1339" s="36">
        <f>IFERROR(INDEX('Mapping'!$F$2:$F$60,MATCH(B1339,'Mapping'!$A$2:$A$60,0)),"")</f>
        <v/>
      </c>
    </row>
    <row r="1340">
      <c r="I1340" s="37">
        <f>G1340-H1340</f>
        <v/>
      </c>
      <c r="O1340" s="36">
        <f>IFERROR(INDEX('Mapping'!$F$2:$F$60,MATCH(B1340,'Mapping'!$A$2:$A$60,0)),"")</f>
        <v/>
      </c>
    </row>
    <row r="1341">
      <c r="I1341" s="37">
        <f>G1341-H1341</f>
        <v/>
      </c>
      <c r="O1341" s="36">
        <f>IFERROR(INDEX('Mapping'!$F$2:$F$60,MATCH(B1341,'Mapping'!$A$2:$A$60,0)),"")</f>
        <v/>
      </c>
    </row>
    <row r="1342">
      <c r="I1342" s="37">
        <f>G1342-H1342</f>
        <v/>
      </c>
      <c r="O1342" s="36">
        <f>IFERROR(INDEX('Mapping'!$F$2:$F$60,MATCH(B1342,'Mapping'!$A$2:$A$60,0)),"")</f>
        <v/>
      </c>
    </row>
    <row r="1343">
      <c r="I1343" s="37">
        <f>G1343-H1343</f>
        <v/>
      </c>
      <c r="O1343" s="36">
        <f>IFERROR(INDEX('Mapping'!$F$2:$F$60,MATCH(B1343,'Mapping'!$A$2:$A$60,0)),"")</f>
        <v/>
      </c>
    </row>
    <row r="1344">
      <c r="I1344" s="37">
        <f>G1344-H1344</f>
        <v/>
      </c>
      <c r="O1344" s="36">
        <f>IFERROR(INDEX('Mapping'!$F$2:$F$60,MATCH(B1344,'Mapping'!$A$2:$A$60,0)),"")</f>
        <v/>
      </c>
    </row>
    <row r="1345">
      <c r="I1345" s="37">
        <f>G1345-H1345</f>
        <v/>
      </c>
      <c r="O1345" s="36">
        <f>IFERROR(INDEX('Mapping'!$F$2:$F$60,MATCH(B1345,'Mapping'!$A$2:$A$60,0)),"")</f>
        <v/>
      </c>
    </row>
    <row r="1346">
      <c r="I1346" s="37">
        <f>G1346-H1346</f>
        <v/>
      </c>
      <c r="O1346" s="36">
        <f>IFERROR(INDEX('Mapping'!$F$2:$F$60,MATCH(B1346,'Mapping'!$A$2:$A$60,0)),"")</f>
        <v/>
      </c>
    </row>
    <row r="1347">
      <c r="I1347" s="37">
        <f>G1347-H1347</f>
        <v/>
      </c>
      <c r="O1347" s="36">
        <f>IFERROR(INDEX('Mapping'!$F$2:$F$60,MATCH(B1347,'Mapping'!$A$2:$A$60,0)),"")</f>
        <v/>
      </c>
    </row>
    <row r="1348">
      <c r="I1348" s="37">
        <f>G1348-H1348</f>
        <v/>
      </c>
      <c r="O1348" s="36">
        <f>IFERROR(INDEX('Mapping'!$F$2:$F$60,MATCH(B1348,'Mapping'!$A$2:$A$60,0)),"")</f>
        <v/>
      </c>
    </row>
    <row r="1349">
      <c r="I1349" s="37">
        <f>G1349-H1349</f>
        <v/>
      </c>
      <c r="O1349" s="36">
        <f>IFERROR(INDEX('Mapping'!$F$2:$F$60,MATCH(B1349,'Mapping'!$A$2:$A$60,0)),"")</f>
        <v/>
      </c>
    </row>
    <row r="1350">
      <c r="I1350" s="37">
        <f>G1350-H1350</f>
        <v/>
      </c>
      <c r="O1350" s="36">
        <f>IFERROR(INDEX('Mapping'!$F$2:$F$60,MATCH(B1350,'Mapping'!$A$2:$A$60,0)),"")</f>
        <v/>
      </c>
    </row>
    <row r="1351">
      <c r="I1351" s="37">
        <f>G1351-H1351</f>
        <v/>
      </c>
      <c r="O1351" s="36">
        <f>IFERROR(INDEX('Mapping'!$F$2:$F$60,MATCH(B1351,'Mapping'!$A$2:$A$60,0)),"")</f>
        <v/>
      </c>
    </row>
    <row r="1352">
      <c r="I1352" s="37">
        <f>G1352-H1352</f>
        <v/>
      </c>
      <c r="O1352" s="36">
        <f>IFERROR(INDEX('Mapping'!$F$2:$F$60,MATCH(B1352,'Mapping'!$A$2:$A$60,0)),"")</f>
        <v/>
      </c>
    </row>
    <row r="1353">
      <c r="I1353" s="37">
        <f>G1353-H1353</f>
        <v/>
      </c>
      <c r="O1353" s="36">
        <f>IFERROR(INDEX('Mapping'!$F$2:$F$60,MATCH(B1353,'Mapping'!$A$2:$A$60,0)),"")</f>
        <v/>
      </c>
    </row>
    <row r="1354">
      <c r="I1354" s="37">
        <f>G1354-H1354</f>
        <v/>
      </c>
      <c r="O1354" s="36">
        <f>IFERROR(INDEX('Mapping'!$F$2:$F$60,MATCH(B1354,'Mapping'!$A$2:$A$60,0)),"")</f>
        <v/>
      </c>
    </row>
    <row r="1355">
      <c r="I1355" s="37">
        <f>G1355-H1355</f>
        <v/>
      </c>
      <c r="O1355" s="36">
        <f>IFERROR(INDEX('Mapping'!$F$2:$F$60,MATCH(B1355,'Mapping'!$A$2:$A$60,0)),"")</f>
        <v/>
      </c>
    </row>
    <row r="1356">
      <c r="I1356" s="37">
        <f>G1356-H1356</f>
        <v/>
      </c>
      <c r="O1356" s="36">
        <f>IFERROR(INDEX('Mapping'!$F$2:$F$60,MATCH(B1356,'Mapping'!$A$2:$A$60,0)),"")</f>
        <v/>
      </c>
    </row>
    <row r="1357">
      <c r="I1357" s="37">
        <f>G1357-H1357</f>
        <v/>
      </c>
      <c r="O1357" s="36">
        <f>IFERROR(INDEX('Mapping'!$F$2:$F$60,MATCH(B1357,'Mapping'!$A$2:$A$60,0)),"")</f>
        <v/>
      </c>
    </row>
    <row r="1358">
      <c r="I1358" s="37">
        <f>G1358-H1358</f>
        <v/>
      </c>
      <c r="O1358" s="36">
        <f>IFERROR(INDEX('Mapping'!$F$2:$F$60,MATCH(B1358,'Mapping'!$A$2:$A$60,0)),"")</f>
        <v/>
      </c>
    </row>
    <row r="1359">
      <c r="I1359" s="37">
        <f>G1359-H1359</f>
        <v/>
      </c>
      <c r="O1359" s="36">
        <f>IFERROR(INDEX('Mapping'!$F$2:$F$60,MATCH(B1359,'Mapping'!$A$2:$A$60,0)),"")</f>
        <v/>
      </c>
    </row>
    <row r="1360">
      <c r="I1360" s="37">
        <f>G1360-H1360</f>
        <v/>
      </c>
      <c r="O1360" s="36">
        <f>IFERROR(INDEX('Mapping'!$F$2:$F$60,MATCH(B1360,'Mapping'!$A$2:$A$60,0)),"")</f>
        <v/>
      </c>
    </row>
    <row r="1361">
      <c r="I1361" s="37">
        <f>G1361-H1361</f>
        <v/>
      </c>
      <c r="O1361" s="36">
        <f>IFERROR(INDEX('Mapping'!$F$2:$F$60,MATCH(B1361,'Mapping'!$A$2:$A$60,0)),"")</f>
        <v/>
      </c>
    </row>
    <row r="1362">
      <c r="I1362" s="37">
        <f>G1362-H1362</f>
        <v/>
      </c>
      <c r="O1362" s="36">
        <f>IFERROR(INDEX('Mapping'!$F$2:$F$60,MATCH(B1362,'Mapping'!$A$2:$A$60,0)),"")</f>
        <v/>
      </c>
    </row>
    <row r="1363">
      <c r="I1363" s="37">
        <f>G1363-H1363</f>
        <v/>
      </c>
      <c r="O1363" s="36">
        <f>IFERROR(INDEX('Mapping'!$F$2:$F$60,MATCH(B1363,'Mapping'!$A$2:$A$60,0)),"")</f>
        <v/>
      </c>
    </row>
    <row r="1364">
      <c r="I1364" s="37">
        <f>G1364-H1364</f>
        <v/>
      </c>
      <c r="O1364" s="36">
        <f>IFERROR(INDEX('Mapping'!$F$2:$F$60,MATCH(B1364,'Mapping'!$A$2:$A$60,0)),"")</f>
        <v/>
      </c>
    </row>
    <row r="1365">
      <c r="I1365" s="37">
        <f>G1365-H1365</f>
        <v/>
      </c>
      <c r="O1365" s="36">
        <f>IFERROR(INDEX('Mapping'!$F$2:$F$60,MATCH(B1365,'Mapping'!$A$2:$A$60,0)),"")</f>
        <v/>
      </c>
    </row>
    <row r="1366">
      <c r="I1366" s="37">
        <f>G1366-H1366</f>
        <v/>
      </c>
      <c r="O1366" s="36">
        <f>IFERROR(INDEX('Mapping'!$F$2:$F$60,MATCH(B1366,'Mapping'!$A$2:$A$60,0)),"")</f>
        <v/>
      </c>
    </row>
    <row r="1367">
      <c r="I1367" s="37">
        <f>G1367-H1367</f>
        <v/>
      </c>
      <c r="O1367" s="36">
        <f>IFERROR(INDEX('Mapping'!$F$2:$F$60,MATCH(B1367,'Mapping'!$A$2:$A$60,0)),"")</f>
        <v/>
      </c>
    </row>
    <row r="1368">
      <c r="I1368" s="37">
        <f>G1368-H1368</f>
        <v/>
      </c>
      <c r="O1368" s="36">
        <f>IFERROR(INDEX('Mapping'!$F$2:$F$60,MATCH(B1368,'Mapping'!$A$2:$A$60,0)),"")</f>
        <v/>
      </c>
    </row>
    <row r="1369">
      <c r="I1369" s="37">
        <f>G1369-H1369</f>
        <v/>
      </c>
      <c r="O1369" s="36">
        <f>IFERROR(INDEX('Mapping'!$F$2:$F$60,MATCH(B1369,'Mapping'!$A$2:$A$60,0)),"")</f>
        <v/>
      </c>
    </row>
    <row r="1370">
      <c r="I1370" s="37">
        <f>G1370-H1370</f>
        <v/>
      </c>
      <c r="O1370" s="36">
        <f>IFERROR(INDEX('Mapping'!$F$2:$F$60,MATCH(B1370,'Mapping'!$A$2:$A$60,0)),"")</f>
        <v/>
      </c>
    </row>
    <row r="1371">
      <c r="I1371" s="37">
        <f>G1371-H1371</f>
        <v/>
      </c>
      <c r="O1371" s="36">
        <f>IFERROR(INDEX('Mapping'!$F$2:$F$60,MATCH(B1371,'Mapping'!$A$2:$A$60,0)),"")</f>
        <v/>
      </c>
    </row>
    <row r="1372">
      <c r="I1372" s="37">
        <f>G1372-H1372</f>
        <v/>
      </c>
      <c r="O1372" s="36">
        <f>IFERROR(INDEX('Mapping'!$F$2:$F$60,MATCH(B1372,'Mapping'!$A$2:$A$60,0)),"")</f>
        <v/>
      </c>
    </row>
    <row r="1373">
      <c r="I1373" s="37">
        <f>G1373-H1373</f>
        <v/>
      </c>
      <c r="O1373" s="36">
        <f>IFERROR(INDEX('Mapping'!$F$2:$F$60,MATCH(B1373,'Mapping'!$A$2:$A$60,0)),"")</f>
        <v/>
      </c>
    </row>
    <row r="1374">
      <c r="I1374" s="37">
        <f>G1374-H1374</f>
        <v/>
      </c>
      <c r="O1374" s="36">
        <f>IFERROR(INDEX('Mapping'!$F$2:$F$60,MATCH(B1374,'Mapping'!$A$2:$A$60,0)),"")</f>
        <v/>
      </c>
    </row>
    <row r="1375">
      <c r="I1375" s="37">
        <f>G1375-H1375</f>
        <v/>
      </c>
      <c r="O1375" s="36">
        <f>IFERROR(INDEX('Mapping'!$F$2:$F$60,MATCH(B1375,'Mapping'!$A$2:$A$60,0)),"")</f>
        <v/>
      </c>
    </row>
    <row r="1376">
      <c r="I1376" s="37">
        <f>G1376-H1376</f>
        <v/>
      </c>
      <c r="O1376" s="36">
        <f>IFERROR(INDEX('Mapping'!$F$2:$F$60,MATCH(B1376,'Mapping'!$A$2:$A$60,0)),"")</f>
        <v/>
      </c>
    </row>
    <row r="1377">
      <c r="I1377" s="37">
        <f>G1377-H1377</f>
        <v/>
      </c>
      <c r="O1377" s="36">
        <f>IFERROR(INDEX('Mapping'!$F$2:$F$60,MATCH(B1377,'Mapping'!$A$2:$A$60,0)),"")</f>
        <v/>
      </c>
    </row>
    <row r="1378">
      <c r="I1378" s="37">
        <f>G1378-H1378</f>
        <v/>
      </c>
      <c r="O1378" s="36">
        <f>IFERROR(INDEX('Mapping'!$F$2:$F$60,MATCH(B1378,'Mapping'!$A$2:$A$60,0)),"")</f>
        <v/>
      </c>
    </row>
    <row r="1379">
      <c r="I1379" s="37">
        <f>G1379-H1379</f>
        <v/>
      </c>
      <c r="O1379" s="36">
        <f>IFERROR(INDEX('Mapping'!$F$2:$F$60,MATCH(B1379,'Mapping'!$A$2:$A$60,0)),"")</f>
        <v/>
      </c>
    </row>
    <row r="1380">
      <c r="I1380" s="37">
        <f>G1380-H1380</f>
        <v/>
      </c>
      <c r="O1380" s="36">
        <f>IFERROR(INDEX('Mapping'!$F$2:$F$60,MATCH(B1380,'Mapping'!$A$2:$A$60,0)),"")</f>
        <v/>
      </c>
    </row>
    <row r="1381">
      <c r="I1381" s="37">
        <f>G1381-H1381</f>
        <v/>
      </c>
      <c r="O1381" s="36">
        <f>IFERROR(INDEX('Mapping'!$F$2:$F$60,MATCH(B1381,'Mapping'!$A$2:$A$60,0)),"")</f>
        <v/>
      </c>
    </row>
    <row r="1382">
      <c r="I1382" s="37">
        <f>G1382-H1382</f>
        <v/>
      </c>
      <c r="O1382" s="36">
        <f>IFERROR(INDEX('Mapping'!$F$2:$F$60,MATCH(B1382,'Mapping'!$A$2:$A$60,0)),"")</f>
        <v/>
      </c>
    </row>
    <row r="1383">
      <c r="I1383" s="37">
        <f>G1383-H1383</f>
        <v/>
      </c>
      <c r="O1383" s="36">
        <f>IFERROR(INDEX('Mapping'!$F$2:$F$60,MATCH(B1383,'Mapping'!$A$2:$A$60,0)),"")</f>
        <v/>
      </c>
    </row>
    <row r="1384">
      <c r="I1384" s="37">
        <f>G1384-H1384</f>
        <v/>
      </c>
      <c r="O1384" s="36">
        <f>IFERROR(INDEX('Mapping'!$F$2:$F$60,MATCH(B1384,'Mapping'!$A$2:$A$60,0)),"")</f>
        <v/>
      </c>
    </row>
    <row r="1385">
      <c r="I1385" s="37">
        <f>G1385-H1385</f>
        <v/>
      </c>
      <c r="O1385" s="36">
        <f>IFERROR(INDEX('Mapping'!$F$2:$F$60,MATCH(B1385,'Mapping'!$A$2:$A$60,0)),"")</f>
        <v/>
      </c>
    </row>
    <row r="1386">
      <c r="I1386" s="37">
        <f>G1386-H1386</f>
        <v/>
      </c>
      <c r="O1386" s="36">
        <f>IFERROR(INDEX('Mapping'!$F$2:$F$60,MATCH(B1386,'Mapping'!$A$2:$A$60,0)),"")</f>
        <v/>
      </c>
    </row>
    <row r="1387">
      <c r="I1387" s="37">
        <f>G1387-H1387</f>
        <v/>
      </c>
      <c r="O1387" s="36">
        <f>IFERROR(INDEX('Mapping'!$F$2:$F$60,MATCH(B1387,'Mapping'!$A$2:$A$60,0)),"")</f>
        <v/>
      </c>
    </row>
    <row r="1388">
      <c r="I1388" s="37">
        <f>G1388-H1388</f>
        <v/>
      </c>
      <c r="O1388" s="36">
        <f>IFERROR(INDEX('Mapping'!$F$2:$F$60,MATCH(B1388,'Mapping'!$A$2:$A$60,0)),"")</f>
        <v/>
      </c>
    </row>
    <row r="1389">
      <c r="I1389" s="37">
        <f>G1389-H1389</f>
        <v/>
      </c>
      <c r="O1389" s="36">
        <f>IFERROR(INDEX('Mapping'!$F$2:$F$60,MATCH(B1389,'Mapping'!$A$2:$A$60,0)),"")</f>
        <v/>
      </c>
    </row>
    <row r="1390">
      <c r="I1390" s="37">
        <f>G1390-H1390</f>
        <v/>
      </c>
      <c r="O1390" s="36">
        <f>IFERROR(INDEX('Mapping'!$F$2:$F$60,MATCH(B1390,'Mapping'!$A$2:$A$60,0)),"")</f>
        <v/>
      </c>
    </row>
    <row r="1391">
      <c r="I1391" s="37">
        <f>G1391-H1391</f>
        <v/>
      </c>
      <c r="O1391" s="36">
        <f>IFERROR(INDEX('Mapping'!$F$2:$F$60,MATCH(B1391,'Mapping'!$A$2:$A$60,0)),"")</f>
        <v/>
      </c>
    </row>
    <row r="1392">
      <c r="I1392" s="37">
        <f>G1392-H1392</f>
        <v/>
      </c>
      <c r="O1392" s="36">
        <f>IFERROR(INDEX('Mapping'!$F$2:$F$60,MATCH(B1392,'Mapping'!$A$2:$A$60,0)),"")</f>
        <v/>
      </c>
    </row>
    <row r="1393">
      <c r="I1393" s="37">
        <f>G1393-H1393</f>
        <v/>
      </c>
      <c r="O1393" s="36">
        <f>IFERROR(INDEX('Mapping'!$F$2:$F$60,MATCH(B1393,'Mapping'!$A$2:$A$60,0)),"")</f>
        <v/>
      </c>
    </row>
    <row r="1394">
      <c r="I1394" s="37">
        <f>G1394-H1394</f>
        <v/>
      </c>
      <c r="O1394" s="36">
        <f>IFERROR(INDEX('Mapping'!$F$2:$F$60,MATCH(B1394,'Mapping'!$A$2:$A$60,0)),"")</f>
        <v/>
      </c>
    </row>
    <row r="1395">
      <c r="I1395" s="37">
        <f>G1395-H1395</f>
        <v/>
      </c>
      <c r="O1395" s="36">
        <f>IFERROR(INDEX('Mapping'!$F$2:$F$60,MATCH(B1395,'Mapping'!$A$2:$A$60,0)),"")</f>
        <v/>
      </c>
    </row>
    <row r="1396">
      <c r="I1396" s="37">
        <f>G1396-H1396</f>
        <v/>
      </c>
      <c r="O1396" s="36">
        <f>IFERROR(INDEX('Mapping'!$F$2:$F$60,MATCH(B1396,'Mapping'!$A$2:$A$60,0)),"")</f>
        <v/>
      </c>
    </row>
    <row r="1397">
      <c r="I1397" s="37">
        <f>G1397-H1397</f>
        <v/>
      </c>
      <c r="O1397" s="36">
        <f>IFERROR(INDEX('Mapping'!$F$2:$F$60,MATCH(B1397,'Mapping'!$A$2:$A$60,0)),"")</f>
        <v/>
      </c>
    </row>
    <row r="1398">
      <c r="I1398" s="37">
        <f>G1398-H1398</f>
        <v/>
      </c>
      <c r="O1398" s="36">
        <f>IFERROR(INDEX('Mapping'!$F$2:$F$60,MATCH(B1398,'Mapping'!$A$2:$A$60,0)),"")</f>
        <v/>
      </c>
    </row>
    <row r="1399">
      <c r="I1399" s="37">
        <f>G1399-H1399</f>
        <v/>
      </c>
      <c r="O1399" s="36">
        <f>IFERROR(INDEX('Mapping'!$F$2:$F$60,MATCH(B1399,'Mapping'!$A$2:$A$60,0)),"")</f>
        <v/>
      </c>
    </row>
    <row r="1400">
      <c r="I1400" s="37">
        <f>G1400-H1400</f>
        <v/>
      </c>
      <c r="O1400" s="36">
        <f>IFERROR(INDEX('Mapping'!$F$2:$F$60,MATCH(B1400,'Mapping'!$A$2:$A$60,0)),"")</f>
        <v/>
      </c>
    </row>
    <row r="1401">
      <c r="I1401" s="37">
        <f>G1401-H1401</f>
        <v/>
      </c>
      <c r="O1401" s="36">
        <f>IFERROR(INDEX('Mapping'!$F$2:$F$60,MATCH(B1401,'Mapping'!$A$2:$A$60,0)),"")</f>
        <v/>
      </c>
    </row>
    <row r="1402">
      <c r="I1402" s="37">
        <f>G1402-H1402</f>
        <v/>
      </c>
      <c r="O1402" s="36">
        <f>IFERROR(INDEX('Mapping'!$F$2:$F$60,MATCH(B1402,'Mapping'!$A$2:$A$60,0)),"")</f>
        <v/>
      </c>
    </row>
    <row r="1403">
      <c r="I1403" s="37">
        <f>G1403-H1403</f>
        <v/>
      </c>
      <c r="O1403" s="36">
        <f>IFERROR(INDEX('Mapping'!$F$2:$F$60,MATCH(B1403,'Mapping'!$A$2:$A$60,0)),"")</f>
        <v/>
      </c>
    </row>
    <row r="1404">
      <c r="I1404" s="37">
        <f>G1404-H1404</f>
        <v/>
      </c>
      <c r="O1404" s="36">
        <f>IFERROR(INDEX('Mapping'!$F$2:$F$60,MATCH(B1404,'Mapping'!$A$2:$A$60,0)),"")</f>
        <v/>
      </c>
    </row>
    <row r="1405">
      <c r="I1405" s="37">
        <f>G1405-H1405</f>
        <v/>
      </c>
      <c r="O1405" s="36">
        <f>IFERROR(INDEX('Mapping'!$F$2:$F$60,MATCH(B1405,'Mapping'!$A$2:$A$60,0)),"")</f>
        <v/>
      </c>
    </row>
    <row r="1406">
      <c r="I1406" s="37">
        <f>G1406-H1406</f>
        <v/>
      </c>
      <c r="O1406" s="36">
        <f>IFERROR(INDEX('Mapping'!$F$2:$F$60,MATCH(B1406,'Mapping'!$A$2:$A$60,0)),"")</f>
        <v/>
      </c>
    </row>
    <row r="1407">
      <c r="I1407" s="37">
        <f>G1407-H1407</f>
        <v/>
      </c>
      <c r="O1407" s="36">
        <f>IFERROR(INDEX('Mapping'!$F$2:$F$60,MATCH(B1407,'Mapping'!$A$2:$A$60,0)),"")</f>
        <v/>
      </c>
    </row>
    <row r="1408">
      <c r="I1408" s="37">
        <f>G1408-H1408</f>
        <v/>
      </c>
      <c r="O1408" s="36">
        <f>IFERROR(INDEX('Mapping'!$F$2:$F$60,MATCH(B1408,'Mapping'!$A$2:$A$60,0)),"")</f>
        <v/>
      </c>
    </row>
    <row r="1409">
      <c r="I1409" s="37">
        <f>G1409-H1409</f>
        <v/>
      </c>
      <c r="O1409" s="36">
        <f>IFERROR(INDEX('Mapping'!$F$2:$F$60,MATCH(B1409,'Mapping'!$A$2:$A$60,0)),"")</f>
        <v/>
      </c>
    </row>
    <row r="1410">
      <c r="I1410" s="37">
        <f>G1410-H1410</f>
        <v/>
      </c>
      <c r="O1410" s="36">
        <f>IFERROR(INDEX('Mapping'!$F$2:$F$60,MATCH(B1410,'Mapping'!$A$2:$A$60,0)),"")</f>
        <v/>
      </c>
    </row>
    <row r="1411">
      <c r="I1411" s="37">
        <f>G1411-H1411</f>
        <v/>
      </c>
      <c r="O1411" s="36">
        <f>IFERROR(INDEX('Mapping'!$F$2:$F$60,MATCH(B1411,'Mapping'!$A$2:$A$60,0)),"")</f>
        <v/>
      </c>
    </row>
    <row r="1412">
      <c r="I1412" s="37">
        <f>G1412-H1412</f>
        <v/>
      </c>
      <c r="O1412" s="36">
        <f>IFERROR(INDEX('Mapping'!$F$2:$F$60,MATCH(B1412,'Mapping'!$A$2:$A$60,0)),"")</f>
        <v/>
      </c>
    </row>
    <row r="1413">
      <c r="I1413" s="37">
        <f>G1413-H1413</f>
        <v/>
      </c>
      <c r="O1413" s="36">
        <f>IFERROR(INDEX('Mapping'!$F$2:$F$60,MATCH(B1413,'Mapping'!$A$2:$A$60,0)),"")</f>
        <v/>
      </c>
    </row>
    <row r="1414">
      <c r="I1414" s="37">
        <f>G1414-H1414</f>
        <v/>
      </c>
      <c r="O1414" s="36">
        <f>IFERROR(INDEX('Mapping'!$F$2:$F$60,MATCH(B1414,'Mapping'!$A$2:$A$60,0)),"")</f>
        <v/>
      </c>
    </row>
    <row r="1415">
      <c r="I1415" s="37">
        <f>G1415-H1415</f>
        <v/>
      </c>
      <c r="O1415" s="36">
        <f>IFERROR(INDEX('Mapping'!$F$2:$F$60,MATCH(B1415,'Mapping'!$A$2:$A$60,0)),"")</f>
        <v/>
      </c>
    </row>
    <row r="1416">
      <c r="I1416" s="37">
        <f>G1416-H1416</f>
        <v/>
      </c>
      <c r="O1416" s="36">
        <f>IFERROR(INDEX('Mapping'!$F$2:$F$60,MATCH(B1416,'Mapping'!$A$2:$A$60,0)),"")</f>
        <v/>
      </c>
    </row>
    <row r="1417">
      <c r="I1417" s="37">
        <f>G1417-H1417</f>
        <v/>
      </c>
      <c r="O1417" s="36">
        <f>IFERROR(INDEX('Mapping'!$F$2:$F$60,MATCH(B1417,'Mapping'!$A$2:$A$60,0)),"")</f>
        <v/>
      </c>
    </row>
    <row r="1418">
      <c r="I1418" s="37">
        <f>G1418-H1418</f>
        <v/>
      </c>
      <c r="O1418" s="36">
        <f>IFERROR(INDEX('Mapping'!$F$2:$F$60,MATCH(B1418,'Mapping'!$A$2:$A$60,0)),"")</f>
        <v/>
      </c>
    </row>
    <row r="1419">
      <c r="I1419" s="37">
        <f>G1419-H1419</f>
        <v/>
      </c>
      <c r="O1419" s="36">
        <f>IFERROR(INDEX('Mapping'!$F$2:$F$60,MATCH(B1419,'Mapping'!$A$2:$A$60,0)),"")</f>
        <v/>
      </c>
    </row>
    <row r="1420">
      <c r="I1420" s="37">
        <f>G1420-H1420</f>
        <v/>
      </c>
      <c r="O1420" s="36">
        <f>IFERROR(INDEX('Mapping'!$F$2:$F$60,MATCH(B1420,'Mapping'!$A$2:$A$60,0)),"")</f>
        <v/>
      </c>
    </row>
    <row r="1421">
      <c r="I1421" s="37">
        <f>G1421-H1421</f>
        <v/>
      </c>
      <c r="O1421" s="36">
        <f>IFERROR(INDEX('Mapping'!$F$2:$F$60,MATCH(B1421,'Mapping'!$A$2:$A$60,0)),"")</f>
        <v/>
      </c>
    </row>
    <row r="1422">
      <c r="I1422" s="37">
        <f>G1422-H1422</f>
        <v/>
      </c>
      <c r="O1422" s="36">
        <f>IFERROR(INDEX('Mapping'!$F$2:$F$60,MATCH(B1422,'Mapping'!$A$2:$A$60,0)),"")</f>
        <v/>
      </c>
    </row>
    <row r="1423">
      <c r="I1423" s="37">
        <f>G1423-H1423</f>
        <v/>
      </c>
      <c r="O1423" s="36">
        <f>IFERROR(INDEX('Mapping'!$F$2:$F$60,MATCH(B1423,'Mapping'!$A$2:$A$60,0)),"")</f>
        <v/>
      </c>
    </row>
    <row r="1424">
      <c r="I1424" s="37">
        <f>G1424-H1424</f>
        <v/>
      </c>
      <c r="O1424" s="36">
        <f>IFERROR(INDEX('Mapping'!$F$2:$F$60,MATCH(B1424,'Mapping'!$A$2:$A$60,0)),"")</f>
        <v/>
      </c>
    </row>
    <row r="1425">
      <c r="I1425" s="37">
        <f>G1425-H1425</f>
        <v/>
      </c>
      <c r="O1425" s="36">
        <f>IFERROR(INDEX('Mapping'!$F$2:$F$60,MATCH(B1425,'Mapping'!$A$2:$A$60,0)),"")</f>
        <v/>
      </c>
    </row>
    <row r="1426">
      <c r="I1426" s="37">
        <f>G1426-H1426</f>
        <v/>
      </c>
      <c r="O1426" s="36">
        <f>IFERROR(INDEX('Mapping'!$F$2:$F$60,MATCH(B1426,'Mapping'!$A$2:$A$60,0)),"")</f>
        <v/>
      </c>
    </row>
    <row r="1427">
      <c r="I1427" s="37">
        <f>G1427-H1427</f>
        <v/>
      </c>
      <c r="O1427" s="36">
        <f>IFERROR(INDEX('Mapping'!$F$2:$F$60,MATCH(B1427,'Mapping'!$A$2:$A$60,0)),"")</f>
        <v/>
      </c>
    </row>
    <row r="1428">
      <c r="I1428" s="37">
        <f>G1428-H1428</f>
        <v/>
      </c>
      <c r="O1428" s="36">
        <f>IFERROR(INDEX('Mapping'!$F$2:$F$60,MATCH(B1428,'Mapping'!$A$2:$A$60,0)),"")</f>
        <v/>
      </c>
    </row>
    <row r="1429">
      <c r="I1429" s="37">
        <f>G1429-H1429</f>
        <v/>
      </c>
      <c r="O1429" s="36">
        <f>IFERROR(INDEX('Mapping'!$F$2:$F$60,MATCH(B1429,'Mapping'!$A$2:$A$60,0)),"")</f>
        <v/>
      </c>
    </row>
    <row r="1430">
      <c r="I1430" s="37">
        <f>G1430-H1430</f>
        <v/>
      </c>
      <c r="O1430" s="36">
        <f>IFERROR(INDEX('Mapping'!$F$2:$F$60,MATCH(B1430,'Mapping'!$A$2:$A$60,0)),"")</f>
        <v/>
      </c>
    </row>
    <row r="1431">
      <c r="I1431" s="37">
        <f>G1431-H1431</f>
        <v/>
      </c>
      <c r="O1431" s="36">
        <f>IFERROR(INDEX('Mapping'!$F$2:$F$60,MATCH(B1431,'Mapping'!$A$2:$A$60,0)),"")</f>
        <v/>
      </c>
    </row>
    <row r="1432">
      <c r="I1432" s="37">
        <f>G1432-H1432</f>
        <v/>
      </c>
      <c r="O1432" s="36">
        <f>IFERROR(INDEX('Mapping'!$F$2:$F$60,MATCH(B1432,'Mapping'!$A$2:$A$60,0)),"")</f>
        <v/>
      </c>
    </row>
    <row r="1433">
      <c r="I1433" s="37">
        <f>G1433-H1433</f>
        <v/>
      </c>
      <c r="O1433" s="36">
        <f>IFERROR(INDEX('Mapping'!$F$2:$F$60,MATCH(B1433,'Mapping'!$A$2:$A$60,0)),"")</f>
        <v/>
      </c>
    </row>
    <row r="1434">
      <c r="I1434" s="37">
        <f>G1434-H1434</f>
        <v/>
      </c>
      <c r="O1434" s="36">
        <f>IFERROR(INDEX('Mapping'!$F$2:$F$60,MATCH(B1434,'Mapping'!$A$2:$A$60,0)),"")</f>
        <v/>
      </c>
    </row>
    <row r="1435">
      <c r="I1435" s="37">
        <f>G1435-H1435</f>
        <v/>
      </c>
      <c r="O1435" s="36">
        <f>IFERROR(INDEX('Mapping'!$F$2:$F$60,MATCH(B1435,'Mapping'!$A$2:$A$60,0)),"")</f>
        <v/>
      </c>
    </row>
    <row r="1436">
      <c r="I1436" s="37">
        <f>G1436-H1436</f>
        <v/>
      </c>
      <c r="O1436" s="36">
        <f>IFERROR(INDEX('Mapping'!$F$2:$F$60,MATCH(B1436,'Mapping'!$A$2:$A$60,0)),"")</f>
        <v/>
      </c>
    </row>
    <row r="1437">
      <c r="I1437" s="37">
        <f>G1437-H1437</f>
        <v/>
      </c>
      <c r="O1437" s="36">
        <f>IFERROR(INDEX('Mapping'!$F$2:$F$60,MATCH(B1437,'Mapping'!$A$2:$A$60,0)),"")</f>
        <v/>
      </c>
    </row>
    <row r="1438">
      <c r="I1438" s="37">
        <f>G1438-H1438</f>
        <v/>
      </c>
      <c r="O1438" s="36">
        <f>IFERROR(INDEX('Mapping'!$F$2:$F$60,MATCH(B1438,'Mapping'!$A$2:$A$60,0)),"")</f>
        <v/>
      </c>
    </row>
    <row r="1439">
      <c r="I1439" s="37">
        <f>G1439-H1439</f>
        <v/>
      </c>
      <c r="O1439" s="36">
        <f>IFERROR(INDEX('Mapping'!$F$2:$F$60,MATCH(B1439,'Mapping'!$A$2:$A$60,0)),"")</f>
        <v/>
      </c>
    </row>
    <row r="1440">
      <c r="I1440" s="37">
        <f>G1440-H1440</f>
        <v/>
      </c>
      <c r="O1440" s="36">
        <f>IFERROR(INDEX('Mapping'!$F$2:$F$60,MATCH(B1440,'Mapping'!$A$2:$A$60,0)),"")</f>
        <v/>
      </c>
    </row>
    <row r="1441">
      <c r="I1441" s="37">
        <f>G1441-H1441</f>
        <v/>
      </c>
      <c r="O1441" s="36">
        <f>IFERROR(INDEX('Mapping'!$F$2:$F$60,MATCH(B1441,'Mapping'!$A$2:$A$60,0)),"")</f>
        <v/>
      </c>
    </row>
    <row r="1442">
      <c r="I1442" s="37">
        <f>G1442-H1442</f>
        <v/>
      </c>
      <c r="O1442" s="36">
        <f>IFERROR(INDEX('Mapping'!$F$2:$F$60,MATCH(B1442,'Mapping'!$A$2:$A$60,0)),"")</f>
        <v/>
      </c>
    </row>
    <row r="1443">
      <c r="I1443" s="37">
        <f>G1443-H1443</f>
        <v/>
      </c>
      <c r="O1443" s="36">
        <f>IFERROR(INDEX('Mapping'!$F$2:$F$60,MATCH(B1443,'Mapping'!$A$2:$A$60,0)),"")</f>
        <v/>
      </c>
    </row>
    <row r="1444">
      <c r="I1444" s="37">
        <f>G1444-H1444</f>
        <v/>
      </c>
      <c r="O1444" s="36">
        <f>IFERROR(INDEX('Mapping'!$F$2:$F$60,MATCH(B1444,'Mapping'!$A$2:$A$60,0)),"")</f>
        <v/>
      </c>
    </row>
    <row r="1445">
      <c r="I1445" s="37">
        <f>G1445-H1445</f>
        <v/>
      </c>
      <c r="O1445" s="36">
        <f>IFERROR(INDEX('Mapping'!$F$2:$F$60,MATCH(B1445,'Mapping'!$A$2:$A$60,0)),"")</f>
        <v/>
      </c>
    </row>
    <row r="1446">
      <c r="I1446" s="37">
        <f>G1446-H1446</f>
        <v/>
      </c>
      <c r="O1446" s="36">
        <f>IFERROR(INDEX('Mapping'!$F$2:$F$60,MATCH(B1446,'Mapping'!$A$2:$A$60,0)),"")</f>
        <v/>
      </c>
    </row>
    <row r="1447">
      <c r="I1447" s="37">
        <f>G1447-H1447</f>
        <v/>
      </c>
      <c r="O1447" s="36">
        <f>IFERROR(INDEX('Mapping'!$F$2:$F$60,MATCH(B1447,'Mapping'!$A$2:$A$60,0)),"")</f>
        <v/>
      </c>
    </row>
    <row r="1448">
      <c r="I1448" s="37">
        <f>G1448-H1448</f>
        <v/>
      </c>
      <c r="O1448" s="36">
        <f>IFERROR(INDEX('Mapping'!$F$2:$F$60,MATCH(B1448,'Mapping'!$A$2:$A$60,0)),"")</f>
        <v/>
      </c>
    </row>
    <row r="1449">
      <c r="I1449" s="37">
        <f>G1449-H1449</f>
        <v/>
      </c>
      <c r="O1449" s="36">
        <f>IFERROR(INDEX('Mapping'!$F$2:$F$60,MATCH(B1449,'Mapping'!$A$2:$A$60,0)),"")</f>
        <v/>
      </c>
    </row>
    <row r="1450">
      <c r="I1450" s="37">
        <f>G1450-H1450</f>
        <v/>
      </c>
      <c r="O1450" s="36">
        <f>IFERROR(INDEX('Mapping'!$F$2:$F$60,MATCH(B1450,'Mapping'!$A$2:$A$60,0)),"")</f>
        <v/>
      </c>
    </row>
    <row r="1451">
      <c r="I1451" s="37">
        <f>G1451-H1451</f>
        <v/>
      </c>
      <c r="O1451" s="36">
        <f>IFERROR(INDEX('Mapping'!$F$2:$F$60,MATCH(B1451,'Mapping'!$A$2:$A$60,0)),"")</f>
        <v/>
      </c>
    </row>
    <row r="1452">
      <c r="I1452" s="37">
        <f>G1452-H1452</f>
        <v/>
      </c>
      <c r="O1452" s="36">
        <f>IFERROR(INDEX('Mapping'!$F$2:$F$60,MATCH(B1452,'Mapping'!$A$2:$A$60,0)),"")</f>
        <v/>
      </c>
    </row>
    <row r="1453">
      <c r="I1453" s="37">
        <f>G1453-H1453</f>
        <v/>
      </c>
      <c r="O1453" s="36">
        <f>IFERROR(INDEX('Mapping'!$F$2:$F$60,MATCH(B1453,'Mapping'!$A$2:$A$60,0)),"")</f>
        <v/>
      </c>
    </row>
    <row r="1454">
      <c r="I1454" s="37">
        <f>G1454-H1454</f>
        <v/>
      </c>
      <c r="O1454" s="36">
        <f>IFERROR(INDEX('Mapping'!$F$2:$F$60,MATCH(B1454,'Mapping'!$A$2:$A$60,0)),"")</f>
        <v/>
      </c>
    </row>
    <row r="1455">
      <c r="I1455" s="37">
        <f>G1455-H1455</f>
        <v/>
      </c>
      <c r="O1455" s="36">
        <f>IFERROR(INDEX('Mapping'!$F$2:$F$60,MATCH(B1455,'Mapping'!$A$2:$A$60,0)),"")</f>
        <v/>
      </c>
    </row>
    <row r="1456">
      <c r="I1456" s="37">
        <f>G1456-H1456</f>
        <v/>
      </c>
      <c r="O1456" s="36">
        <f>IFERROR(INDEX('Mapping'!$F$2:$F$60,MATCH(B1456,'Mapping'!$A$2:$A$60,0)),"")</f>
        <v/>
      </c>
    </row>
    <row r="1457">
      <c r="I1457" s="37">
        <f>G1457-H1457</f>
        <v/>
      </c>
      <c r="O1457" s="36">
        <f>IFERROR(INDEX('Mapping'!$F$2:$F$60,MATCH(B1457,'Mapping'!$A$2:$A$60,0)),"")</f>
        <v/>
      </c>
    </row>
    <row r="1458">
      <c r="I1458" s="37">
        <f>G1458-H1458</f>
        <v/>
      </c>
      <c r="O1458" s="36">
        <f>IFERROR(INDEX('Mapping'!$F$2:$F$60,MATCH(B1458,'Mapping'!$A$2:$A$60,0)),"")</f>
        <v/>
      </c>
    </row>
    <row r="1459">
      <c r="I1459" s="37">
        <f>G1459-H1459</f>
        <v/>
      </c>
      <c r="O1459" s="36">
        <f>IFERROR(INDEX('Mapping'!$F$2:$F$60,MATCH(B1459,'Mapping'!$A$2:$A$60,0)),"")</f>
        <v/>
      </c>
    </row>
    <row r="1460">
      <c r="I1460" s="37">
        <f>G1460-H1460</f>
        <v/>
      </c>
      <c r="O1460" s="36">
        <f>IFERROR(INDEX('Mapping'!$F$2:$F$60,MATCH(B1460,'Mapping'!$A$2:$A$60,0)),"")</f>
        <v/>
      </c>
    </row>
    <row r="1461">
      <c r="I1461" s="37">
        <f>G1461-H1461</f>
        <v/>
      </c>
      <c r="O1461" s="36">
        <f>IFERROR(INDEX('Mapping'!$F$2:$F$60,MATCH(B1461,'Mapping'!$A$2:$A$60,0)),"")</f>
        <v/>
      </c>
    </row>
    <row r="1462">
      <c r="I1462" s="37">
        <f>G1462-H1462</f>
        <v/>
      </c>
      <c r="O1462" s="36">
        <f>IFERROR(INDEX('Mapping'!$F$2:$F$60,MATCH(B1462,'Mapping'!$A$2:$A$60,0)),"")</f>
        <v/>
      </c>
    </row>
    <row r="1463">
      <c r="I1463" s="37">
        <f>G1463-H1463</f>
        <v/>
      </c>
      <c r="O1463" s="36">
        <f>IFERROR(INDEX('Mapping'!$F$2:$F$60,MATCH(B1463,'Mapping'!$A$2:$A$60,0)),"")</f>
        <v/>
      </c>
    </row>
    <row r="1464">
      <c r="I1464" s="37">
        <f>G1464-H1464</f>
        <v/>
      </c>
      <c r="O1464" s="36">
        <f>IFERROR(INDEX('Mapping'!$F$2:$F$60,MATCH(B1464,'Mapping'!$A$2:$A$60,0)),"")</f>
        <v/>
      </c>
    </row>
    <row r="1465">
      <c r="I1465" s="37">
        <f>G1465-H1465</f>
        <v/>
      </c>
      <c r="O1465" s="36">
        <f>IFERROR(INDEX('Mapping'!$F$2:$F$60,MATCH(B1465,'Mapping'!$A$2:$A$60,0)),"")</f>
        <v/>
      </c>
    </row>
    <row r="1466">
      <c r="I1466" s="37">
        <f>G1466-H1466</f>
        <v/>
      </c>
      <c r="O1466" s="36">
        <f>IFERROR(INDEX('Mapping'!$F$2:$F$60,MATCH(B1466,'Mapping'!$A$2:$A$60,0)),"")</f>
        <v/>
      </c>
    </row>
    <row r="1467">
      <c r="I1467" s="37">
        <f>G1467-H1467</f>
        <v/>
      </c>
      <c r="O1467" s="36">
        <f>IFERROR(INDEX('Mapping'!$F$2:$F$60,MATCH(B1467,'Mapping'!$A$2:$A$60,0)),"")</f>
        <v/>
      </c>
    </row>
    <row r="1468">
      <c r="I1468" s="37">
        <f>G1468-H1468</f>
        <v/>
      </c>
      <c r="O1468" s="36">
        <f>IFERROR(INDEX('Mapping'!$F$2:$F$60,MATCH(B1468,'Mapping'!$A$2:$A$60,0)),"")</f>
        <v/>
      </c>
    </row>
    <row r="1469">
      <c r="I1469" s="37">
        <f>G1469-H1469</f>
        <v/>
      </c>
      <c r="O1469" s="36">
        <f>IFERROR(INDEX('Mapping'!$F$2:$F$60,MATCH(B1469,'Mapping'!$A$2:$A$60,0)),"")</f>
        <v/>
      </c>
    </row>
    <row r="1470">
      <c r="I1470" s="37">
        <f>G1470-H1470</f>
        <v/>
      </c>
      <c r="O1470" s="36">
        <f>IFERROR(INDEX('Mapping'!$F$2:$F$60,MATCH(B1470,'Mapping'!$A$2:$A$60,0)),"")</f>
        <v/>
      </c>
    </row>
    <row r="1471">
      <c r="I1471" s="37">
        <f>G1471-H1471</f>
        <v/>
      </c>
      <c r="O1471" s="36">
        <f>IFERROR(INDEX('Mapping'!$F$2:$F$60,MATCH(B1471,'Mapping'!$A$2:$A$60,0)),"")</f>
        <v/>
      </c>
    </row>
    <row r="1472">
      <c r="I1472" s="37">
        <f>G1472-H1472</f>
        <v/>
      </c>
      <c r="O1472" s="36">
        <f>IFERROR(INDEX('Mapping'!$F$2:$F$60,MATCH(B1472,'Mapping'!$A$2:$A$60,0)),"")</f>
        <v/>
      </c>
    </row>
    <row r="1473">
      <c r="I1473" s="37">
        <f>G1473-H1473</f>
        <v/>
      </c>
      <c r="O1473" s="36">
        <f>IFERROR(INDEX('Mapping'!$F$2:$F$60,MATCH(B1473,'Mapping'!$A$2:$A$60,0)),"")</f>
        <v/>
      </c>
    </row>
    <row r="1474">
      <c r="I1474" s="37">
        <f>G1474-H1474</f>
        <v/>
      </c>
      <c r="O1474" s="36">
        <f>IFERROR(INDEX('Mapping'!$F$2:$F$60,MATCH(B1474,'Mapping'!$A$2:$A$60,0)),"")</f>
        <v/>
      </c>
    </row>
    <row r="1475">
      <c r="I1475" s="37">
        <f>G1475-H1475</f>
        <v/>
      </c>
      <c r="O1475" s="36">
        <f>IFERROR(INDEX('Mapping'!$F$2:$F$60,MATCH(B1475,'Mapping'!$A$2:$A$60,0)),"")</f>
        <v/>
      </c>
    </row>
    <row r="1476">
      <c r="I1476" s="37">
        <f>G1476-H1476</f>
        <v/>
      </c>
      <c r="O1476" s="36">
        <f>IFERROR(INDEX('Mapping'!$F$2:$F$60,MATCH(B1476,'Mapping'!$A$2:$A$60,0)),"")</f>
        <v/>
      </c>
    </row>
    <row r="1477">
      <c r="I1477" s="37">
        <f>G1477-H1477</f>
        <v/>
      </c>
      <c r="O1477" s="36">
        <f>IFERROR(INDEX('Mapping'!$F$2:$F$60,MATCH(B1477,'Mapping'!$A$2:$A$60,0)),"")</f>
        <v/>
      </c>
    </row>
    <row r="1478">
      <c r="I1478" s="37">
        <f>G1478-H1478</f>
        <v/>
      </c>
      <c r="O1478" s="36">
        <f>IFERROR(INDEX('Mapping'!$F$2:$F$60,MATCH(B1478,'Mapping'!$A$2:$A$60,0)),"")</f>
        <v/>
      </c>
    </row>
    <row r="1479">
      <c r="I1479" s="37">
        <f>G1479-H1479</f>
        <v/>
      </c>
      <c r="O1479" s="36">
        <f>IFERROR(INDEX('Mapping'!$F$2:$F$60,MATCH(B1479,'Mapping'!$A$2:$A$60,0)),"")</f>
        <v/>
      </c>
    </row>
    <row r="1480">
      <c r="I1480" s="37">
        <f>G1480-H1480</f>
        <v/>
      </c>
      <c r="O1480" s="36">
        <f>IFERROR(INDEX('Mapping'!$F$2:$F$60,MATCH(B1480,'Mapping'!$A$2:$A$60,0)),"")</f>
        <v/>
      </c>
    </row>
    <row r="1481">
      <c r="I1481" s="37">
        <f>G1481-H1481</f>
        <v/>
      </c>
      <c r="O1481" s="36">
        <f>IFERROR(INDEX('Mapping'!$F$2:$F$60,MATCH(B1481,'Mapping'!$A$2:$A$60,0)),"")</f>
        <v/>
      </c>
    </row>
    <row r="1482">
      <c r="I1482" s="37">
        <f>G1482-H1482</f>
        <v/>
      </c>
      <c r="O1482" s="36">
        <f>IFERROR(INDEX('Mapping'!$F$2:$F$60,MATCH(B1482,'Mapping'!$A$2:$A$60,0)),"")</f>
        <v/>
      </c>
    </row>
    <row r="1483">
      <c r="I1483" s="37">
        <f>G1483-H1483</f>
        <v/>
      </c>
      <c r="O1483" s="36">
        <f>IFERROR(INDEX('Mapping'!$F$2:$F$60,MATCH(B1483,'Mapping'!$A$2:$A$60,0)),"")</f>
        <v/>
      </c>
    </row>
    <row r="1484">
      <c r="I1484" s="37">
        <f>G1484-H1484</f>
        <v/>
      </c>
      <c r="O1484" s="36">
        <f>IFERROR(INDEX('Mapping'!$F$2:$F$60,MATCH(B1484,'Mapping'!$A$2:$A$60,0)),"")</f>
        <v/>
      </c>
    </row>
    <row r="1485">
      <c r="I1485" s="37">
        <f>G1485-H1485</f>
        <v/>
      </c>
      <c r="O1485" s="36">
        <f>IFERROR(INDEX('Mapping'!$F$2:$F$60,MATCH(B1485,'Mapping'!$A$2:$A$60,0)),"")</f>
        <v/>
      </c>
    </row>
    <row r="1486">
      <c r="I1486" s="37">
        <f>G1486-H1486</f>
        <v/>
      </c>
      <c r="O1486" s="36">
        <f>IFERROR(INDEX('Mapping'!$F$2:$F$60,MATCH(B1486,'Mapping'!$A$2:$A$60,0)),"")</f>
        <v/>
      </c>
    </row>
    <row r="1487">
      <c r="I1487" s="37">
        <f>G1487-H1487</f>
        <v/>
      </c>
      <c r="O1487" s="36">
        <f>IFERROR(INDEX('Mapping'!$F$2:$F$60,MATCH(B1487,'Mapping'!$A$2:$A$60,0)),"")</f>
        <v/>
      </c>
    </row>
    <row r="1488">
      <c r="I1488" s="37">
        <f>G1488-H1488</f>
        <v/>
      </c>
      <c r="O1488" s="36">
        <f>IFERROR(INDEX('Mapping'!$F$2:$F$60,MATCH(B1488,'Mapping'!$A$2:$A$60,0)),"")</f>
        <v/>
      </c>
    </row>
    <row r="1489">
      <c r="I1489" s="37">
        <f>G1489-H1489</f>
        <v/>
      </c>
      <c r="O1489" s="36">
        <f>IFERROR(INDEX('Mapping'!$F$2:$F$60,MATCH(B1489,'Mapping'!$A$2:$A$60,0)),"")</f>
        <v/>
      </c>
    </row>
    <row r="1490">
      <c r="I1490" s="37">
        <f>G1490-H1490</f>
        <v/>
      </c>
      <c r="O1490" s="36">
        <f>IFERROR(INDEX('Mapping'!$F$2:$F$60,MATCH(B1490,'Mapping'!$A$2:$A$60,0)),"")</f>
        <v/>
      </c>
    </row>
    <row r="1491">
      <c r="I1491" s="37">
        <f>G1491-H1491</f>
        <v/>
      </c>
      <c r="O1491" s="36">
        <f>IFERROR(INDEX('Mapping'!$F$2:$F$60,MATCH(B1491,'Mapping'!$A$2:$A$60,0)),"")</f>
        <v/>
      </c>
    </row>
    <row r="1492">
      <c r="I1492" s="37">
        <f>G1492-H1492</f>
        <v/>
      </c>
      <c r="O1492" s="36">
        <f>IFERROR(INDEX('Mapping'!$F$2:$F$60,MATCH(B1492,'Mapping'!$A$2:$A$60,0)),"")</f>
        <v/>
      </c>
    </row>
    <row r="1493">
      <c r="I1493" s="37">
        <f>G1493-H1493</f>
        <v/>
      </c>
      <c r="O1493" s="36">
        <f>IFERROR(INDEX('Mapping'!$F$2:$F$60,MATCH(B1493,'Mapping'!$A$2:$A$60,0)),"")</f>
        <v/>
      </c>
    </row>
    <row r="1494">
      <c r="I1494" s="37">
        <f>G1494-H1494</f>
        <v/>
      </c>
      <c r="O1494" s="36">
        <f>IFERROR(INDEX('Mapping'!$F$2:$F$60,MATCH(B1494,'Mapping'!$A$2:$A$60,0)),"")</f>
        <v/>
      </c>
    </row>
    <row r="1495">
      <c r="I1495" s="37">
        <f>G1495-H1495</f>
        <v/>
      </c>
      <c r="O1495" s="36">
        <f>IFERROR(INDEX('Mapping'!$F$2:$F$60,MATCH(B1495,'Mapping'!$A$2:$A$60,0)),"")</f>
        <v/>
      </c>
    </row>
    <row r="1496">
      <c r="I1496" s="37">
        <f>G1496-H1496</f>
        <v/>
      </c>
      <c r="O1496" s="36">
        <f>IFERROR(INDEX('Mapping'!$F$2:$F$60,MATCH(B1496,'Mapping'!$A$2:$A$60,0)),"")</f>
        <v/>
      </c>
    </row>
    <row r="1497">
      <c r="I1497" s="37">
        <f>G1497-H1497</f>
        <v/>
      </c>
      <c r="O1497" s="36">
        <f>IFERROR(INDEX('Mapping'!$F$2:$F$60,MATCH(B1497,'Mapping'!$A$2:$A$60,0)),"")</f>
        <v/>
      </c>
    </row>
    <row r="1498">
      <c r="I1498" s="37">
        <f>G1498-H1498</f>
        <v/>
      </c>
      <c r="O1498" s="36">
        <f>IFERROR(INDEX('Mapping'!$F$2:$F$60,MATCH(B1498,'Mapping'!$A$2:$A$60,0)),"")</f>
        <v/>
      </c>
    </row>
    <row r="1499">
      <c r="I1499" s="37">
        <f>G1499-H1499</f>
        <v/>
      </c>
      <c r="O1499" s="36">
        <f>IFERROR(INDEX('Mapping'!$F$2:$F$60,MATCH(B1499,'Mapping'!$A$2:$A$60,0)),"")</f>
        <v/>
      </c>
    </row>
    <row r="1500">
      <c r="I1500" s="37">
        <f>G1500-H1500</f>
        <v/>
      </c>
      <c r="O1500" s="36">
        <f>IFERROR(INDEX('Mapping'!$F$2:$F$60,MATCH(B1500,'Mapping'!$A$2:$A$60,0)),"")</f>
        <v/>
      </c>
    </row>
    <row r="1501">
      <c r="I1501" s="37">
        <f>G1501-H1501</f>
        <v/>
      </c>
      <c r="O1501" s="36">
        <f>IFERROR(INDEX('Mapping'!$F$2:$F$60,MATCH(B1501,'Mapping'!$A$2:$A$60,0)),"")</f>
        <v/>
      </c>
    </row>
    <row r="1502">
      <c r="I1502" s="37">
        <f>G1502-H1502</f>
        <v/>
      </c>
      <c r="O1502" s="36">
        <f>IFERROR(INDEX('Mapping'!$F$2:$F$60,MATCH(B1502,'Mapping'!$A$2:$A$60,0)),"")</f>
        <v/>
      </c>
    </row>
    <row r="1503">
      <c r="I1503" s="37">
        <f>G1503-H1503</f>
        <v/>
      </c>
      <c r="O1503" s="36">
        <f>IFERROR(INDEX('Mapping'!$F$2:$F$60,MATCH(B1503,'Mapping'!$A$2:$A$60,0)),"")</f>
        <v/>
      </c>
    </row>
    <row r="1504">
      <c r="I1504" s="37">
        <f>G1504-H1504</f>
        <v/>
      </c>
      <c r="O1504" s="36">
        <f>IFERROR(INDEX('Mapping'!$F$2:$F$60,MATCH(B1504,'Mapping'!$A$2:$A$60,0)),"")</f>
        <v/>
      </c>
    </row>
  </sheetData>
  <mergeCells count="2">
    <mergeCell ref="A1:O1"/>
    <mergeCell ref="A2:O2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0C5F42"/>
    <outlinePr summaryBelow="1" summaryRight="1"/>
    <pageSetUpPr/>
  </sheetPr>
  <dimension ref="A1:F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24" customWidth="1" min="3" max="3"/>
    <col width="22" customWidth="1" min="4" max="4"/>
    <col width="22" customWidth="1" min="5" max="5"/>
    <col width="22" customWidth="1" min="6" max="6"/>
  </cols>
  <sheetData>
    <row r="1" ht="26" customHeight="1">
      <c r="A1" s="29" t="inlineStr">
        <is>
          <t>MAPPING GROOTBOEK → DASHBOARDCATEGORIE</t>
        </is>
      </c>
    </row>
    <row r="2">
      <c r="A2" s="30" t="inlineStr">
        <is>
          <t>Vrij aanpasbaar. Elke grootboekrekening koppelt aan één dashboardcategorie.</t>
        </is>
      </c>
    </row>
    <row r="4">
      <c r="A4" s="38" t="inlineStr">
        <is>
          <t>Grootboek</t>
        </is>
      </c>
      <c r="B4" s="38" t="inlineStr">
        <is>
          <t>Omschrijving</t>
        </is>
      </c>
      <c r="C4" s="38" t="inlineStr">
        <is>
          <t>Balans/W&amp;V</t>
        </is>
      </c>
      <c r="D4" s="38" t="inlineStr">
        <is>
          <t>Hoofdcategorie</t>
        </is>
      </c>
      <c r="E4" s="38" t="inlineStr">
        <is>
          <t>Subcategorie</t>
        </is>
      </c>
      <c r="F4" s="38" t="inlineStr">
        <is>
          <t>Dashboardcategorie</t>
        </is>
      </c>
    </row>
    <row r="5">
      <c r="A5" s="39" t="n">
        <v>8000</v>
      </c>
      <c r="B5" s="40" t="inlineStr">
        <is>
          <t>Omzet handelsgoederen hoog</t>
        </is>
      </c>
      <c r="C5" s="40" t="inlineStr">
        <is>
          <t>Winst- en verliesrekening</t>
        </is>
      </c>
      <c r="D5" s="40" t="inlineStr">
        <is>
          <t>Netto-omzet</t>
        </is>
      </c>
      <c r="E5" s="40" t="inlineStr">
        <is>
          <t>Handel hoog tarief</t>
        </is>
      </c>
      <c r="F5" s="41" t="inlineStr">
        <is>
          <t>Omzet</t>
        </is>
      </c>
    </row>
    <row r="6">
      <c r="A6" s="42" t="n">
        <v>8010</v>
      </c>
      <c r="B6" s="43" t="inlineStr">
        <is>
          <t>Omzet handelsgoederen laag</t>
        </is>
      </c>
      <c r="C6" s="43" t="inlineStr">
        <is>
          <t>Winst- en verliesrekening</t>
        </is>
      </c>
      <c r="D6" s="43" t="inlineStr">
        <is>
          <t>Netto-omzet</t>
        </is>
      </c>
      <c r="E6" s="43" t="inlineStr">
        <is>
          <t>Handel laag tarief</t>
        </is>
      </c>
      <c r="F6" s="44" t="inlineStr">
        <is>
          <t>Omzet</t>
        </is>
      </c>
    </row>
    <row r="7">
      <c r="A7" s="39" t="n">
        <v>8020</v>
      </c>
      <c r="B7" s="40" t="inlineStr">
        <is>
          <t>Omzet dienstverlening</t>
        </is>
      </c>
      <c r="C7" s="40" t="inlineStr">
        <is>
          <t>Winst- en verliesrekening</t>
        </is>
      </c>
      <c r="D7" s="40" t="inlineStr">
        <is>
          <t>Netto-omzet</t>
        </is>
      </c>
      <c r="E7" s="40" t="inlineStr">
        <is>
          <t>Diensten</t>
        </is>
      </c>
      <c r="F7" s="41" t="inlineStr">
        <is>
          <t>Omzet</t>
        </is>
      </c>
    </row>
    <row r="8">
      <c r="A8" s="42" t="n">
        <v>7000</v>
      </c>
      <c r="B8" s="43" t="inlineStr">
        <is>
          <t>Inkoopwaarde handelsgoederen</t>
        </is>
      </c>
      <c r="C8" s="43" t="inlineStr">
        <is>
          <t>Winst- en verliesrekening</t>
        </is>
      </c>
      <c r="D8" s="43" t="inlineStr">
        <is>
          <t>Kostprijs omzet</t>
        </is>
      </c>
      <c r="E8" s="43" t="inlineStr">
        <is>
          <t>Inkoop goederen</t>
        </is>
      </c>
      <c r="F8" s="44" t="inlineStr">
        <is>
          <t>Inkoopwaarde</t>
        </is>
      </c>
    </row>
    <row r="9">
      <c r="A9" s="39" t="n">
        <v>7010</v>
      </c>
      <c r="B9" s="40" t="inlineStr">
        <is>
          <t>Inkoopkosten en vracht</t>
        </is>
      </c>
      <c r="C9" s="40" t="inlineStr">
        <is>
          <t>Winst- en verliesrekening</t>
        </is>
      </c>
      <c r="D9" s="40" t="inlineStr">
        <is>
          <t>Kostprijs omzet</t>
        </is>
      </c>
      <c r="E9" s="40" t="inlineStr">
        <is>
          <t>Vracht en inkoop</t>
        </is>
      </c>
      <c r="F9" s="41" t="inlineStr">
        <is>
          <t>Inkoopwaarde</t>
        </is>
      </c>
    </row>
    <row r="10">
      <c r="A10" s="42" t="n">
        <v>4000</v>
      </c>
      <c r="B10" s="43" t="inlineStr">
        <is>
          <t>Brutolonen</t>
        </is>
      </c>
      <c r="C10" s="43" t="inlineStr">
        <is>
          <t>Winst- en verliesrekening</t>
        </is>
      </c>
      <c r="D10" s="43" t="inlineStr">
        <is>
          <t>Personeelskosten</t>
        </is>
      </c>
      <c r="E10" s="43" t="inlineStr">
        <is>
          <t>Lonen</t>
        </is>
      </c>
      <c r="F10" s="44" t="inlineStr">
        <is>
          <t>Personeelskosten</t>
        </is>
      </c>
    </row>
    <row r="11">
      <c r="A11" s="39" t="n">
        <v>4010</v>
      </c>
      <c r="B11" s="40" t="inlineStr">
        <is>
          <t>Sociale lasten</t>
        </is>
      </c>
      <c r="C11" s="40" t="inlineStr">
        <is>
          <t>Winst- en verliesrekening</t>
        </is>
      </c>
      <c r="D11" s="40" t="inlineStr">
        <is>
          <t>Personeelskosten</t>
        </is>
      </c>
      <c r="E11" s="40" t="inlineStr">
        <is>
          <t>Sociale lasten</t>
        </is>
      </c>
      <c r="F11" s="41" t="inlineStr">
        <is>
          <t>Personeelskosten</t>
        </is>
      </c>
    </row>
    <row r="12">
      <c r="A12" s="42" t="n">
        <v>4020</v>
      </c>
      <c r="B12" s="43" t="inlineStr">
        <is>
          <t>Pensioenlasten</t>
        </is>
      </c>
      <c r="C12" s="43" t="inlineStr">
        <is>
          <t>Winst- en verliesrekening</t>
        </is>
      </c>
      <c r="D12" s="43" t="inlineStr">
        <is>
          <t>Personeelskosten</t>
        </is>
      </c>
      <c r="E12" s="43" t="inlineStr">
        <is>
          <t>Pensioen</t>
        </is>
      </c>
      <c r="F12" s="44" t="inlineStr">
        <is>
          <t>Personeelskosten</t>
        </is>
      </c>
    </row>
    <row r="13">
      <c r="A13" s="39" t="n">
        <v>4030</v>
      </c>
      <c r="B13" s="40" t="inlineStr">
        <is>
          <t>Overige personeelskosten</t>
        </is>
      </c>
      <c r="C13" s="40" t="inlineStr">
        <is>
          <t>Winst- en verliesrekening</t>
        </is>
      </c>
      <c r="D13" s="40" t="inlineStr">
        <is>
          <t>Personeelskosten</t>
        </is>
      </c>
      <c r="E13" s="40" t="inlineStr">
        <is>
          <t>Overig personeel</t>
        </is>
      </c>
      <c r="F13" s="41" t="inlineStr">
        <is>
          <t>Personeelskosten</t>
        </is>
      </c>
    </row>
    <row r="14">
      <c r="A14" s="42" t="n">
        <v>4100</v>
      </c>
      <c r="B14" s="43" t="inlineStr">
        <is>
          <t>Huur bedrijfspand</t>
        </is>
      </c>
      <c r="C14" s="43" t="inlineStr">
        <is>
          <t>Winst- en verliesrekening</t>
        </is>
      </c>
      <c r="D14" s="43" t="inlineStr">
        <is>
          <t>Huisvestingskosten</t>
        </is>
      </c>
      <c r="E14" s="43" t="inlineStr">
        <is>
          <t>Huur</t>
        </is>
      </c>
      <c r="F14" s="44" t="inlineStr">
        <is>
          <t>Huisvesting</t>
        </is>
      </c>
    </row>
    <row r="15">
      <c r="A15" s="39" t="n">
        <v>4110</v>
      </c>
      <c r="B15" s="40" t="inlineStr">
        <is>
          <t>Energie en water</t>
        </is>
      </c>
      <c r="C15" s="40" t="inlineStr">
        <is>
          <t>Winst- en verliesrekening</t>
        </is>
      </c>
      <c r="D15" s="40" t="inlineStr">
        <is>
          <t>Huisvestingskosten</t>
        </is>
      </c>
      <c r="E15" s="40" t="inlineStr">
        <is>
          <t>Energie</t>
        </is>
      </c>
      <c r="F15" s="41" t="inlineStr">
        <is>
          <t>Huisvesting</t>
        </is>
      </c>
    </row>
    <row r="16">
      <c r="A16" s="42" t="n">
        <v>4120</v>
      </c>
      <c r="B16" s="43" t="inlineStr">
        <is>
          <t>Onderhoud pand</t>
        </is>
      </c>
      <c r="C16" s="43" t="inlineStr">
        <is>
          <t>Winst- en verliesrekening</t>
        </is>
      </c>
      <c r="D16" s="43" t="inlineStr">
        <is>
          <t>Huisvestingskosten</t>
        </is>
      </c>
      <c r="E16" s="43" t="inlineStr">
        <is>
          <t>Onderhoud</t>
        </is>
      </c>
      <c r="F16" s="44" t="inlineStr">
        <is>
          <t>Huisvesting</t>
        </is>
      </c>
    </row>
    <row r="17">
      <c r="A17" s="39" t="n">
        <v>4200</v>
      </c>
      <c r="B17" s="40" t="inlineStr">
        <is>
          <t>Brandstofkosten</t>
        </is>
      </c>
      <c r="C17" s="40" t="inlineStr">
        <is>
          <t>Winst- en verliesrekening</t>
        </is>
      </c>
      <c r="D17" s="40" t="inlineStr">
        <is>
          <t>Autokosten</t>
        </is>
      </c>
      <c r="E17" s="40" t="inlineStr">
        <is>
          <t>Brandstof</t>
        </is>
      </c>
      <c r="F17" s="41" t="inlineStr">
        <is>
          <t>Autokosten</t>
        </is>
      </c>
    </row>
    <row r="18">
      <c r="A18" s="42" t="n">
        <v>4210</v>
      </c>
      <c r="B18" s="43" t="inlineStr">
        <is>
          <t>Onderhoud vervoermiddelen</t>
        </is>
      </c>
      <c r="C18" s="43" t="inlineStr">
        <is>
          <t>Winst- en verliesrekening</t>
        </is>
      </c>
      <c r="D18" s="43" t="inlineStr">
        <is>
          <t>Autokosten</t>
        </is>
      </c>
      <c r="E18" s="43" t="inlineStr">
        <is>
          <t>Onderhoud auto</t>
        </is>
      </c>
      <c r="F18" s="44" t="inlineStr">
        <is>
          <t>Autokosten</t>
        </is>
      </c>
    </row>
    <row r="19">
      <c r="A19" s="39" t="n">
        <v>4220</v>
      </c>
      <c r="B19" s="40" t="inlineStr">
        <is>
          <t>Leasekosten</t>
        </is>
      </c>
      <c r="C19" s="40" t="inlineStr">
        <is>
          <t>Winst- en verliesrekening</t>
        </is>
      </c>
      <c r="D19" s="40" t="inlineStr">
        <is>
          <t>Autokosten</t>
        </is>
      </c>
      <c r="E19" s="40" t="inlineStr">
        <is>
          <t>Lease</t>
        </is>
      </c>
      <c r="F19" s="41" t="inlineStr">
        <is>
          <t>Autokosten</t>
        </is>
      </c>
    </row>
    <row r="20">
      <c r="A20" s="42" t="n">
        <v>4300</v>
      </c>
      <c r="B20" s="43" t="inlineStr">
        <is>
          <t>Reclame en marketing</t>
        </is>
      </c>
      <c r="C20" s="43" t="inlineStr">
        <is>
          <t>Winst- en verliesrekening</t>
        </is>
      </c>
      <c r="D20" s="43" t="inlineStr">
        <is>
          <t>Verkoopkosten</t>
        </is>
      </c>
      <c r="E20" s="43" t="inlineStr">
        <is>
          <t>Reclame</t>
        </is>
      </c>
      <c r="F20" s="44" t="inlineStr">
        <is>
          <t>Verkoopkosten</t>
        </is>
      </c>
    </row>
    <row r="21">
      <c r="A21" s="39" t="n">
        <v>4310</v>
      </c>
      <c r="B21" s="40" t="inlineStr">
        <is>
          <t>Representatiekosten</t>
        </is>
      </c>
      <c r="C21" s="40" t="inlineStr">
        <is>
          <t>Winst- en verliesrekening</t>
        </is>
      </c>
      <c r="D21" s="40" t="inlineStr">
        <is>
          <t>Verkoopkosten</t>
        </is>
      </c>
      <c r="E21" s="40" t="inlineStr">
        <is>
          <t>Representatie</t>
        </is>
      </c>
      <c r="F21" s="41" t="inlineStr">
        <is>
          <t>Verkoopkosten</t>
        </is>
      </c>
    </row>
    <row r="22">
      <c r="A22" s="42" t="n">
        <v>4400</v>
      </c>
      <c r="B22" s="43" t="inlineStr">
        <is>
          <t>Kantoorbenodigdheden</t>
        </is>
      </c>
      <c r="C22" s="43" t="inlineStr">
        <is>
          <t>Winst- en verliesrekening</t>
        </is>
      </c>
      <c r="D22" s="43" t="inlineStr">
        <is>
          <t>Kantoorkosten</t>
        </is>
      </c>
      <c r="E22" s="43" t="inlineStr">
        <is>
          <t>Kantoor</t>
        </is>
      </c>
      <c r="F22" s="44" t="inlineStr">
        <is>
          <t>Kantoorkosten</t>
        </is>
      </c>
    </row>
    <row r="23">
      <c r="A23" s="39" t="n">
        <v>4410</v>
      </c>
      <c r="B23" s="40" t="inlineStr">
        <is>
          <t>Automatisering en ICT</t>
        </is>
      </c>
      <c r="C23" s="40" t="inlineStr">
        <is>
          <t>Winst- en verliesrekening</t>
        </is>
      </c>
      <c r="D23" s="40" t="inlineStr">
        <is>
          <t>Kantoorkosten</t>
        </is>
      </c>
      <c r="E23" s="40" t="inlineStr">
        <is>
          <t>ICT</t>
        </is>
      </c>
      <c r="F23" s="41" t="inlineStr">
        <is>
          <t>Kantoorkosten</t>
        </is>
      </c>
    </row>
    <row r="24">
      <c r="A24" s="42" t="n">
        <v>4420</v>
      </c>
      <c r="B24" s="43" t="inlineStr">
        <is>
          <t>Telefoon en internet</t>
        </is>
      </c>
      <c r="C24" s="43" t="inlineStr">
        <is>
          <t>Winst- en verliesrekening</t>
        </is>
      </c>
      <c r="D24" s="43" t="inlineStr">
        <is>
          <t>Kantoorkosten</t>
        </is>
      </c>
      <c r="E24" s="43" t="inlineStr">
        <is>
          <t>Telefonie</t>
        </is>
      </c>
      <c r="F24" s="44" t="inlineStr">
        <is>
          <t>Kantoorkosten</t>
        </is>
      </c>
    </row>
    <row r="25">
      <c r="A25" s="39" t="n">
        <v>4500</v>
      </c>
      <c r="B25" s="40" t="inlineStr">
        <is>
          <t>Accountants- en advieskosten</t>
        </is>
      </c>
      <c r="C25" s="40" t="inlineStr">
        <is>
          <t>Winst- en verliesrekening</t>
        </is>
      </c>
      <c r="D25" s="40" t="inlineStr">
        <is>
          <t>Algemene kosten</t>
        </is>
      </c>
      <c r="E25" s="40" t="inlineStr">
        <is>
          <t>Advies</t>
        </is>
      </c>
      <c r="F25" s="41" t="inlineStr">
        <is>
          <t>Algemene kosten</t>
        </is>
      </c>
    </row>
    <row r="26">
      <c r="A26" s="42" t="n">
        <v>4510</v>
      </c>
      <c r="B26" s="43" t="inlineStr">
        <is>
          <t>Verzekeringen</t>
        </is>
      </c>
      <c r="C26" s="43" t="inlineStr">
        <is>
          <t>Winst- en verliesrekening</t>
        </is>
      </c>
      <c r="D26" s="43" t="inlineStr">
        <is>
          <t>Algemene kosten</t>
        </is>
      </c>
      <c r="E26" s="43" t="inlineStr">
        <is>
          <t>Verzekering</t>
        </is>
      </c>
      <c r="F26" s="44" t="inlineStr">
        <is>
          <t>Algemene kosten</t>
        </is>
      </c>
    </row>
    <row r="27">
      <c r="A27" s="39" t="n">
        <v>4520</v>
      </c>
      <c r="B27" s="40" t="inlineStr">
        <is>
          <t>Overige algemene kosten</t>
        </is>
      </c>
      <c r="C27" s="40" t="inlineStr">
        <is>
          <t>Winst- en verliesrekening</t>
        </is>
      </c>
      <c r="D27" s="40" t="inlineStr">
        <is>
          <t>Algemene kosten</t>
        </is>
      </c>
      <c r="E27" s="40" t="inlineStr">
        <is>
          <t>Overig</t>
        </is>
      </c>
      <c r="F27" s="41" t="inlineStr">
        <is>
          <t>Algemene kosten</t>
        </is>
      </c>
    </row>
    <row r="28">
      <c r="A28" s="42" t="n">
        <v>4600</v>
      </c>
      <c r="B28" s="43" t="inlineStr">
        <is>
          <t>Afschrijving inventaris</t>
        </is>
      </c>
      <c r="C28" s="43" t="inlineStr">
        <is>
          <t>Winst- en verliesrekening</t>
        </is>
      </c>
      <c r="D28" s="43" t="inlineStr">
        <is>
          <t>Afschrijvingen</t>
        </is>
      </c>
      <c r="E28" s="43" t="inlineStr">
        <is>
          <t>Afschr. inventaris</t>
        </is>
      </c>
      <c r="F28" s="44" t="inlineStr">
        <is>
          <t>Afschrijvingen</t>
        </is>
      </c>
    </row>
    <row r="29">
      <c r="A29" s="39" t="n">
        <v>4610</v>
      </c>
      <c r="B29" s="40" t="inlineStr">
        <is>
          <t>Afschrijving vervoermiddelen</t>
        </is>
      </c>
      <c r="C29" s="40" t="inlineStr">
        <is>
          <t>Winst- en verliesrekening</t>
        </is>
      </c>
      <c r="D29" s="40" t="inlineStr">
        <is>
          <t>Afschrijvingen</t>
        </is>
      </c>
      <c r="E29" s="40" t="inlineStr">
        <is>
          <t>Afschr. auto</t>
        </is>
      </c>
      <c r="F29" s="41" t="inlineStr">
        <is>
          <t>Afschrijvingen</t>
        </is>
      </c>
    </row>
    <row r="30">
      <c r="A30" s="42" t="n">
        <v>4700</v>
      </c>
      <c r="B30" s="43" t="inlineStr">
        <is>
          <t>Rentelasten</t>
        </is>
      </c>
      <c r="C30" s="43" t="inlineStr">
        <is>
          <t>Winst- en verliesrekening</t>
        </is>
      </c>
      <c r="D30" s="43" t="inlineStr">
        <is>
          <t>Financiele baten en lasten</t>
        </is>
      </c>
      <c r="E30" s="43" t="inlineStr">
        <is>
          <t>Rentelasten</t>
        </is>
      </c>
      <c r="F30" s="44" t="inlineStr">
        <is>
          <t>Financiele baten en lasten</t>
        </is>
      </c>
    </row>
    <row r="31">
      <c r="A31" s="39" t="n">
        <v>4710</v>
      </c>
      <c r="B31" s="40" t="inlineStr">
        <is>
          <t>Rentebaten</t>
        </is>
      </c>
      <c r="C31" s="40" t="inlineStr">
        <is>
          <t>Winst- en verliesrekening</t>
        </is>
      </c>
      <c r="D31" s="40" t="inlineStr">
        <is>
          <t>Financiele baten en lasten</t>
        </is>
      </c>
      <c r="E31" s="40" t="inlineStr">
        <is>
          <t>Rentebaten</t>
        </is>
      </c>
      <c r="F31" s="41" t="inlineStr">
        <is>
          <t>Financiele baten en lasten</t>
        </is>
      </c>
    </row>
    <row r="32">
      <c r="A32" s="42" t="n">
        <v>150</v>
      </c>
      <c r="B32" s="43" t="inlineStr">
        <is>
          <t>Bedrijfsinventaris</t>
        </is>
      </c>
      <c r="C32" s="43" t="inlineStr">
        <is>
          <t>Balans</t>
        </is>
      </c>
      <c r="D32" s="43" t="inlineStr">
        <is>
          <t>Materiele vaste activa</t>
        </is>
      </c>
      <c r="E32" s="43" t="inlineStr">
        <is>
          <t>Inventaris</t>
        </is>
      </c>
      <c r="F32" s="44" t="inlineStr">
        <is>
          <t>Materiele vaste activa</t>
        </is>
      </c>
    </row>
    <row r="33">
      <c r="A33" s="39" t="n">
        <v>160</v>
      </c>
      <c r="B33" s="40" t="inlineStr">
        <is>
          <t>Vervoermiddelen</t>
        </is>
      </c>
      <c r="C33" s="40" t="inlineStr">
        <is>
          <t>Balans</t>
        </is>
      </c>
      <c r="D33" s="40" t="inlineStr">
        <is>
          <t>Materiele vaste activa</t>
        </is>
      </c>
      <c r="E33" s="40" t="inlineStr">
        <is>
          <t>Vervoermiddelen</t>
        </is>
      </c>
      <c r="F33" s="41" t="inlineStr">
        <is>
          <t>Materiele vaste activa</t>
        </is>
      </c>
    </row>
    <row r="34">
      <c r="A34" s="42" t="n">
        <v>100</v>
      </c>
      <c r="B34" s="43" t="inlineStr">
        <is>
          <t>Goodwill</t>
        </is>
      </c>
      <c r="C34" s="43" t="inlineStr">
        <is>
          <t>Balans</t>
        </is>
      </c>
      <c r="D34" s="43" t="inlineStr">
        <is>
          <t>Immateriele vaste activa</t>
        </is>
      </c>
      <c r="E34" s="43" t="inlineStr">
        <is>
          <t>Goodwill</t>
        </is>
      </c>
      <c r="F34" s="44" t="inlineStr">
        <is>
          <t>Immateriele vaste activa</t>
        </is>
      </c>
    </row>
    <row r="35">
      <c r="A35" s="39" t="n">
        <v>3000</v>
      </c>
      <c r="B35" s="40" t="inlineStr">
        <is>
          <t>Voorraad handelsgoederen</t>
        </is>
      </c>
      <c r="C35" s="40" t="inlineStr">
        <is>
          <t>Balans</t>
        </is>
      </c>
      <c r="D35" s="40" t="inlineStr">
        <is>
          <t>Voorraden</t>
        </is>
      </c>
      <c r="E35" s="40" t="inlineStr">
        <is>
          <t>Handelsvoorraad</t>
        </is>
      </c>
      <c r="F35" s="41" t="inlineStr">
        <is>
          <t>Voorraden</t>
        </is>
      </c>
    </row>
    <row r="36">
      <c r="A36" s="42" t="n">
        <v>1300</v>
      </c>
      <c r="B36" s="43" t="inlineStr">
        <is>
          <t>Debiteuren</t>
        </is>
      </c>
      <c r="C36" s="43" t="inlineStr">
        <is>
          <t>Balans</t>
        </is>
      </c>
      <c r="D36" s="43" t="inlineStr">
        <is>
          <t>Vorderingen</t>
        </is>
      </c>
      <c r="E36" s="43" t="inlineStr">
        <is>
          <t>Handelsdebiteuren</t>
        </is>
      </c>
      <c r="F36" s="44" t="inlineStr">
        <is>
          <t>Debiteuren</t>
        </is>
      </c>
    </row>
    <row r="37">
      <c r="A37" s="39" t="n">
        <v>1500</v>
      </c>
      <c r="B37" s="40" t="inlineStr">
        <is>
          <t>Overige vorderingen</t>
        </is>
      </c>
      <c r="C37" s="40" t="inlineStr">
        <is>
          <t>Balans</t>
        </is>
      </c>
      <c r="D37" s="40" t="inlineStr">
        <is>
          <t>Vorderingen</t>
        </is>
      </c>
      <c r="E37" s="40" t="inlineStr">
        <is>
          <t>Overlopende activa</t>
        </is>
      </c>
      <c r="F37" s="41" t="inlineStr">
        <is>
          <t>Overige vorderingen</t>
        </is>
      </c>
    </row>
    <row r="38">
      <c r="A38" s="42" t="n">
        <v>1100</v>
      </c>
      <c r="B38" s="43" t="inlineStr">
        <is>
          <t>Bank</t>
        </is>
      </c>
      <c r="C38" s="43" t="inlineStr">
        <is>
          <t>Balans</t>
        </is>
      </c>
      <c r="D38" s="43" t="inlineStr">
        <is>
          <t>Liquide middelen</t>
        </is>
      </c>
      <c r="E38" s="43" t="inlineStr">
        <is>
          <t>Bank</t>
        </is>
      </c>
      <c r="F38" s="44" t="inlineStr">
        <is>
          <t>Liquide middelen</t>
        </is>
      </c>
    </row>
    <row r="39">
      <c r="A39" s="39" t="n">
        <v>1000</v>
      </c>
      <c r="B39" s="40" t="inlineStr">
        <is>
          <t>Kas</t>
        </is>
      </c>
      <c r="C39" s="40" t="inlineStr">
        <is>
          <t>Balans</t>
        </is>
      </c>
      <c r="D39" s="40" t="inlineStr">
        <is>
          <t>Liquide middelen</t>
        </is>
      </c>
      <c r="E39" s="40" t="inlineStr">
        <is>
          <t>Kas</t>
        </is>
      </c>
      <c r="F39" s="41" t="inlineStr">
        <is>
          <t>Liquide middelen</t>
        </is>
      </c>
    </row>
    <row r="40">
      <c r="A40" s="42" t="n">
        <v>500</v>
      </c>
      <c r="B40" s="43" t="inlineStr">
        <is>
          <t>Eigen vermogen</t>
        </is>
      </c>
      <c r="C40" s="43" t="inlineStr">
        <is>
          <t>Balans</t>
        </is>
      </c>
      <c r="D40" s="43" t="inlineStr">
        <is>
          <t>Eigen vermogen</t>
        </is>
      </c>
      <c r="E40" s="43" t="inlineStr">
        <is>
          <t>Kapitaal</t>
        </is>
      </c>
      <c r="F40" s="44" t="inlineStr">
        <is>
          <t>Eigen vermogen</t>
        </is>
      </c>
    </row>
    <row r="41">
      <c r="A41" s="39" t="n">
        <v>700</v>
      </c>
      <c r="B41" s="40" t="inlineStr">
        <is>
          <t>Langlopende leningen</t>
        </is>
      </c>
      <c r="C41" s="40" t="inlineStr">
        <is>
          <t>Balans</t>
        </is>
      </c>
      <c r="D41" s="40" t="inlineStr">
        <is>
          <t>Langlopende schulden</t>
        </is>
      </c>
      <c r="E41" s="40" t="inlineStr">
        <is>
          <t>Bankleningen</t>
        </is>
      </c>
      <c r="F41" s="41" t="inlineStr">
        <is>
          <t>Langlopende schulden</t>
        </is>
      </c>
    </row>
    <row r="42">
      <c r="A42" s="42" t="n">
        <v>1600</v>
      </c>
      <c r="B42" s="43" t="inlineStr">
        <is>
          <t>Crediteuren</t>
        </is>
      </c>
      <c r="C42" s="43" t="inlineStr">
        <is>
          <t>Balans</t>
        </is>
      </c>
      <c r="D42" s="43" t="inlineStr">
        <is>
          <t>Kortlopende schulden</t>
        </is>
      </c>
      <c r="E42" s="43" t="inlineStr">
        <is>
          <t>Handelscrediteuren</t>
        </is>
      </c>
      <c r="F42" s="44" t="inlineStr">
        <is>
          <t>Crediteuren</t>
        </is>
      </c>
    </row>
    <row r="43">
      <c r="A43" s="39" t="n">
        <v>1620</v>
      </c>
      <c r="B43" s="40" t="inlineStr">
        <is>
          <t>Af te dragen omzetbelasting</t>
        </is>
      </c>
      <c r="C43" s="40" t="inlineStr">
        <is>
          <t>Balans</t>
        </is>
      </c>
      <c r="D43" s="40" t="inlineStr">
        <is>
          <t>Kortlopende schulden</t>
        </is>
      </c>
      <c r="E43" s="40" t="inlineStr">
        <is>
          <t>Omzetbelasting</t>
        </is>
      </c>
      <c r="F43" s="41" t="inlineStr">
        <is>
          <t>Overige schulden</t>
        </is>
      </c>
    </row>
    <row r="44">
      <c r="A44" s="42" t="n">
        <v>1700</v>
      </c>
      <c r="B44" s="43" t="inlineStr">
        <is>
          <t>Overige schulden</t>
        </is>
      </c>
      <c r="C44" s="43" t="inlineStr">
        <is>
          <t>Balans</t>
        </is>
      </c>
      <c r="D44" s="43" t="inlineStr">
        <is>
          <t>Kortlopende schulden</t>
        </is>
      </c>
      <c r="E44" s="43" t="inlineStr">
        <is>
          <t>Overlopende passiva</t>
        </is>
      </c>
      <c r="F44" s="44" t="inlineStr">
        <is>
          <t>Overige schulden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CE175"/>
    <outlinePr summaryBelow="1" summaryRight="1"/>
    <pageSetUpPr/>
  </sheetPr>
  <dimension ref="A1:V18"/>
  <sheetViews>
    <sheetView showGridLines="0" workbookViewId="0">
      <selection activeCell="A1" sqref="A1"/>
    </sheetView>
  </sheetViews>
  <sheetFormatPr baseColWidth="8" defaultRowHeight="15"/>
  <cols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 ht="30" customHeight="1">
      <c r="A1" s="14" t="inlineStr">
        <is>
          <t>MANAGEMENTDASHBOARD</t>
        </is>
      </c>
    </row>
    <row r="2" ht="18" customHeight="1">
      <c r="A2" s="15" t="inlineStr">
        <is>
          <t>Start</t>
        </is>
      </c>
      <c r="C2" s="15" t="inlineStr">
        <is>
          <t>Dashboard</t>
        </is>
      </c>
      <c r="E2" s="15" t="inlineStr">
        <is>
          <t>Resultaat</t>
        </is>
      </c>
      <c r="G2" s="15" t="inlineStr">
        <is>
          <t>Balans</t>
        </is>
      </c>
      <c r="I2" s="15" t="inlineStr">
        <is>
          <t>Ratio's</t>
        </is>
      </c>
      <c r="K2" s="15" t="inlineStr">
        <is>
          <t>Debiteuren</t>
        </is>
      </c>
      <c r="M2" s="15" t="inlineStr">
        <is>
          <t>Crediteuren</t>
        </is>
      </c>
      <c r="O2" s="15" t="inlineStr">
        <is>
          <t>Voorraad</t>
        </is>
      </c>
      <c r="Q2" s="15" t="inlineStr">
        <is>
          <t>Trend</t>
        </is>
      </c>
      <c r="S2" s="15" t="inlineStr">
        <is>
          <t>Signalering</t>
        </is>
      </c>
      <c r="U2" s="15" t="inlineStr">
        <is>
          <t>Samenvatting</t>
        </is>
      </c>
    </row>
    <row r="3">
      <c r="A3" s="45">
        <f>('Instellingen'!$D$6)&amp;"   ·   Boekjaar "&amp;('Instellingen'!$D$8)&amp;"   ·   Periode t/m "&amp;('Instellingen'!$D$17)&amp;"   ·   Bedragen in "&amp;('Instellingen'!$G$22)</f>
        <v/>
      </c>
    </row>
    <row r="5" ht="15" customHeight="1">
      <c r="B5" s="46" t="inlineStr">
        <is>
          <t>OMZET</t>
        </is>
      </c>
      <c r="C5" s="47" t="n"/>
      <c r="D5" s="48" t="n"/>
      <c r="E5" s="46" t="inlineStr">
        <is>
          <t>BRUTOWINST</t>
        </is>
      </c>
      <c r="F5" s="47" t="n"/>
      <c r="G5" s="48" t="n"/>
      <c r="H5" s="46" t="inlineStr">
        <is>
          <t>BRUTOMARGE</t>
        </is>
      </c>
      <c r="I5" s="47" t="n"/>
      <c r="J5" s="48" t="n"/>
      <c r="K5" s="46" t="inlineStr">
        <is>
          <t>EBITDA</t>
        </is>
      </c>
      <c r="L5" s="47" t="n"/>
      <c r="M5" s="48" t="n"/>
    </row>
    <row r="6" ht="15" customHeight="1">
      <c r="B6" s="49">
        <f>'Resultatenrekening'!$C$7/'Instellingen'!$F$22</f>
        <v/>
      </c>
      <c r="C6" s="50" t="n"/>
      <c r="D6" s="50" t="n"/>
      <c r="E6" s="49">
        <f>'Resultatenrekening'!$C$9/'Instellingen'!$F$22</f>
        <v/>
      </c>
      <c r="F6" s="50" t="n"/>
      <c r="G6" s="50" t="n"/>
      <c r="H6" s="51">
        <f>'Resultatenrekening'!$C$24</f>
        <v/>
      </c>
      <c r="I6" s="50" t="n"/>
      <c r="J6" s="50" t="n"/>
      <c r="K6" s="49">
        <f>'Resultatenrekening'!$C$23/'Instellingen'!$F$22</f>
        <v/>
      </c>
      <c r="L6" s="50" t="n"/>
      <c r="M6" s="50" t="n"/>
    </row>
    <row r="7" ht="15" customHeight="1">
      <c r="B7" s="50" t="n"/>
      <c r="C7" s="50" t="n"/>
      <c r="D7" s="50" t="n"/>
      <c r="E7" s="50" t="n"/>
      <c r="F7" s="50" t="n"/>
      <c r="G7" s="50" t="n"/>
      <c r="H7" s="50" t="n"/>
      <c r="I7" s="50" t="n"/>
      <c r="J7" s="50" t="n"/>
      <c r="K7" s="50" t="n"/>
      <c r="L7" s="50" t="n"/>
      <c r="M7" s="50" t="n"/>
    </row>
    <row r="8" ht="15" customHeight="1">
      <c r="B8" s="52">
        <f>IFERROR((('Resultatenrekening'!$C$7)-('Resultatenrekening'!$D$7))/ABS('Resultatenrekening'!$D$7),0)</f>
        <v/>
      </c>
      <c r="C8" s="53" t="n"/>
      <c r="D8" s="53" t="n"/>
      <c r="E8" s="52">
        <f>IFERROR((('Resultatenrekening'!$C$9)-('Resultatenrekening'!$D$9))/ABS('Resultatenrekening'!$D$9),0)</f>
        <v/>
      </c>
      <c r="F8" s="53" t="n"/>
      <c r="G8" s="53" t="n"/>
      <c r="H8" s="52">
        <f>IFERROR(('Resultatenrekening'!$C$24)-('Resultatenrekening'!$D$24),0)</f>
        <v/>
      </c>
      <c r="I8" s="53" t="n"/>
      <c r="J8" s="53" t="n"/>
      <c r="K8" s="52">
        <f>IFERROR((('Resultatenrekening'!$C$23)-('Resultatenrekening'!$D$23))/ABS('Resultatenrekening'!$D$23),0)</f>
        <v/>
      </c>
      <c r="L8" s="53" t="n"/>
      <c r="M8" s="53" t="n"/>
    </row>
    <row r="10" ht="15" customHeight="1">
      <c r="B10" s="46" t="inlineStr">
        <is>
          <t>NETTO RESULTAAT</t>
        </is>
      </c>
      <c r="C10" s="47" t="n"/>
      <c r="D10" s="48" t="n"/>
      <c r="E10" s="46" t="inlineStr">
        <is>
          <t>LIQUIDITEIT (CR)</t>
        </is>
      </c>
      <c r="F10" s="47" t="n"/>
      <c r="G10" s="48" t="n"/>
      <c r="H10" s="46" t="inlineStr">
        <is>
          <t>WERKKAPITAAL</t>
        </is>
      </c>
      <c r="I10" s="47" t="n"/>
      <c r="J10" s="48" t="n"/>
      <c r="K10" s="46" t="inlineStr">
        <is>
          <t>EIGEN VERMOGEN</t>
        </is>
      </c>
      <c r="L10" s="47" t="n"/>
      <c r="M10" s="48" t="n"/>
    </row>
    <row r="11" ht="15" customHeight="1">
      <c r="B11" s="49">
        <f>'Resultatenrekening'!$C$21/'Instellingen'!$F$22</f>
        <v/>
      </c>
      <c r="C11" s="50" t="n"/>
      <c r="D11" s="50" t="n"/>
      <c r="E11" s="54">
        <f>IFERROR('Balans'!$C$16/'Balans'!$C$24,0)</f>
        <v/>
      </c>
      <c r="F11" s="50" t="n"/>
      <c r="G11" s="50" t="n"/>
      <c r="H11" s="49">
        <f>('Balans'!$C$16-'Balans'!$C$24)/'Instellingen'!$F$22</f>
        <v/>
      </c>
      <c r="I11" s="50" t="n"/>
      <c r="J11" s="50" t="n"/>
      <c r="K11" s="49">
        <f>'Balans'!$C$20/'Instellingen'!$F$22</f>
        <v/>
      </c>
      <c r="L11" s="50" t="n"/>
      <c r="M11" s="50" t="n"/>
    </row>
    <row r="12" ht="15" customHeight="1">
      <c r="B12" s="50" t="n"/>
      <c r="C12" s="50" t="n"/>
      <c r="D12" s="50" t="n"/>
      <c r="E12" s="50" t="n"/>
      <c r="F12" s="50" t="n"/>
      <c r="G12" s="50" t="n"/>
      <c r="H12" s="50" t="n"/>
      <c r="I12" s="50" t="n"/>
      <c r="J12" s="50" t="n"/>
      <c r="K12" s="50" t="n"/>
      <c r="L12" s="50" t="n"/>
      <c r="M12" s="50" t="n"/>
    </row>
    <row r="13" ht="15" customHeight="1">
      <c r="B13" s="52">
        <f>IFERROR((('Resultatenrekening'!$C$21)-('Resultatenrekening'!$D$21))/ABS('Resultatenrekening'!$D$21),0)</f>
        <v/>
      </c>
      <c r="C13" s="53" t="n"/>
      <c r="D13" s="53" t="n"/>
      <c r="E13" s="52">
        <f>IFERROR((IFERROR('Balans'!$C$16/'Balans'!$C$24,0))-(IFERROR('Balans'!$D$16/'Balans'!$D$24,0)),0)</f>
        <v/>
      </c>
      <c r="F13" s="53" t="n"/>
      <c r="G13" s="53" t="n"/>
      <c r="H13" s="52">
        <f>IFERROR(((('Balans'!$C$16-'Balans'!$C$24))-(('Balans'!$D$16-'Balans'!$D$24)))/ABS(('Balans'!$D$16-'Balans'!$D$24)),0)</f>
        <v/>
      </c>
      <c r="I13" s="53" t="n"/>
      <c r="J13" s="53" t="n"/>
      <c r="K13" s="52">
        <f>IFERROR((('Balans'!$C$20)-('Balans'!$D$20))/ABS('Balans'!$D$20),0)</f>
        <v/>
      </c>
      <c r="L13" s="53" t="n"/>
      <c r="M13" s="53" t="n"/>
    </row>
    <row r="15" ht="15" customHeight="1">
      <c r="B15" s="46" t="inlineStr">
        <is>
          <t>VOORRAAD</t>
        </is>
      </c>
      <c r="C15" s="47" t="n"/>
      <c r="D15" s="48" t="n"/>
      <c r="E15" s="46" t="inlineStr">
        <is>
          <t>DEBITEUREN</t>
        </is>
      </c>
      <c r="F15" s="47" t="n"/>
      <c r="G15" s="48" t="n"/>
      <c r="H15" s="46" t="inlineStr">
        <is>
          <t>CREDITEUREN</t>
        </is>
      </c>
      <c r="I15" s="47" t="n"/>
      <c r="J15" s="48" t="n"/>
      <c r="K15" s="46" t="inlineStr">
        <is>
          <t>CASHPOSITIE</t>
        </is>
      </c>
      <c r="L15" s="47" t="n"/>
      <c r="M15" s="48" t="n"/>
    </row>
    <row r="16" ht="15" customHeight="1">
      <c r="B16" s="49">
        <f>'Balans'!$C$12/'Instellingen'!$F$22</f>
        <v/>
      </c>
      <c r="C16" s="50" t="n"/>
      <c r="D16" s="50" t="n"/>
      <c r="E16" s="49">
        <f>'Balans'!$C$13/'Instellingen'!$F$22</f>
        <v/>
      </c>
      <c r="F16" s="50" t="n"/>
      <c r="G16" s="50" t="n"/>
      <c r="H16" s="49">
        <f>'Balans'!$C$22/'Instellingen'!$F$22</f>
        <v/>
      </c>
      <c r="I16" s="50" t="n"/>
      <c r="J16" s="50" t="n"/>
      <c r="K16" s="49">
        <f>'Balans'!$C$15/'Instellingen'!$F$22</f>
        <v/>
      </c>
      <c r="L16" s="50" t="n"/>
      <c r="M16" s="50" t="n"/>
    </row>
    <row r="17" ht="15" customHeight="1">
      <c r="B17" s="50" t="n"/>
      <c r="C17" s="50" t="n"/>
      <c r="D17" s="50" t="n"/>
      <c r="E17" s="50" t="n"/>
      <c r="F17" s="50" t="n"/>
      <c r="G17" s="50" t="n"/>
      <c r="H17" s="50" t="n"/>
      <c r="I17" s="50" t="n"/>
      <c r="J17" s="50" t="n"/>
      <c r="K17" s="50" t="n"/>
      <c r="L17" s="50" t="n"/>
      <c r="M17" s="50" t="n"/>
    </row>
    <row r="18" ht="15" customHeight="1">
      <c r="B18" s="52">
        <f>IFERROR((('Balans'!$C$12)-('Balans'!$D$12))/ABS('Balans'!$D$12),0)</f>
        <v/>
      </c>
      <c r="C18" s="53" t="n"/>
      <c r="D18" s="53" t="n"/>
      <c r="E18" s="52">
        <f>IFERROR((('Balans'!$C$13)-('Balans'!$D$13))/ABS('Balans'!$D$13),0)</f>
        <v/>
      </c>
      <c r="F18" s="53" t="n"/>
      <c r="G18" s="53" t="n"/>
      <c r="H18" s="52">
        <f>IFERROR((('Balans'!$C$22)-('Balans'!$D$22))/ABS('Balans'!$D$22),0)</f>
        <v/>
      </c>
      <c r="I18" s="53" t="n"/>
      <c r="J18" s="53" t="n"/>
      <c r="K18" s="52">
        <f>IFERROR((('Balans'!$C$15)-('Balans'!$D$15))/ABS('Balans'!$D$15),0)</f>
        <v/>
      </c>
      <c r="L18" s="53" t="n"/>
      <c r="M18" s="53" t="n"/>
    </row>
  </sheetData>
  <mergeCells count="48">
    <mergeCell ref="E10:G10"/>
    <mergeCell ref="E16:G17"/>
    <mergeCell ref="E13:G13"/>
    <mergeCell ref="G2:H2"/>
    <mergeCell ref="I2:J2"/>
    <mergeCell ref="B8:D8"/>
    <mergeCell ref="B13:D13"/>
    <mergeCell ref="E15:G15"/>
    <mergeCell ref="K16:M17"/>
    <mergeCell ref="K6:M7"/>
    <mergeCell ref="B10:D10"/>
    <mergeCell ref="B16:D17"/>
    <mergeCell ref="K8:M8"/>
    <mergeCell ref="M2:N2"/>
    <mergeCell ref="S2:T2"/>
    <mergeCell ref="U2:V2"/>
    <mergeCell ref="H13:J13"/>
    <mergeCell ref="B15:D15"/>
    <mergeCell ref="H15:J15"/>
    <mergeCell ref="H6:J7"/>
    <mergeCell ref="A2:B2"/>
    <mergeCell ref="B5:D5"/>
    <mergeCell ref="B11:D12"/>
    <mergeCell ref="C2:D2"/>
    <mergeCell ref="H11:J12"/>
    <mergeCell ref="K10:M10"/>
    <mergeCell ref="E2:F2"/>
    <mergeCell ref="A1:V1"/>
    <mergeCell ref="K2:L2"/>
    <mergeCell ref="H5:J5"/>
    <mergeCell ref="K13:M13"/>
    <mergeCell ref="H18:J18"/>
    <mergeCell ref="H8:J8"/>
    <mergeCell ref="K11:M12"/>
    <mergeCell ref="E18:G18"/>
    <mergeCell ref="K18:M18"/>
    <mergeCell ref="K15:M15"/>
    <mergeCell ref="E6:G7"/>
    <mergeCell ref="O2:P2"/>
    <mergeCell ref="H10:J10"/>
    <mergeCell ref="Q2:R2"/>
    <mergeCell ref="B6:D7"/>
    <mergeCell ref="E5:G5"/>
    <mergeCell ref="K5:M5"/>
    <mergeCell ref="E11:G12"/>
    <mergeCell ref="E8:G8"/>
    <mergeCell ref="B18:D18"/>
    <mergeCell ref="H16:J17"/>
  </mergeCells>
  <hyperlinks>
    <hyperlink ref="A2" location="'Start'!A1" display="Start"/>
    <hyperlink ref="C2" location="'Dashboard'!A1" display="Dashboard"/>
    <hyperlink ref="E2" location="'Resultatenrekening'!A1" display="Resultaat"/>
    <hyperlink ref="G2" location="'Balans'!A1" display="Balans"/>
    <hyperlink ref="I2" location="'Ratios'!A1" display="Ratio's"/>
    <hyperlink ref="K2" location="'Debiteuren'!A1" display="Debiteuren"/>
    <hyperlink ref="M2" location="'Crediteuren'!A1" display="Crediteuren"/>
    <hyperlink ref="O2" location="'Voorraad'!A1" display="Voorraad"/>
    <hyperlink ref="Q2" location="'Trendanalyse'!A1" display="Trend"/>
    <hyperlink ref="S2" location="'Signalering'!A1" display="Signalering"/>
    <hyperlink ref="U2" location="'Samenvatting'!A1" display="Samenvatting"/>
  </hyperlink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0C5F42"/>
    <outlinePr summaryBelow="1" summaryRight="1"/>
    <pageSetUpPr/>
  </sheetPr>
  <dimension ref="A1:V2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8" customWidth="1" min="3" max="3"/>
    <col width="16" customWidth="1" min="4" max="4"/>
    <col width="15" customWidth="1" min="5" max="5"/>
    <col width="13" customWidth="1" min="6" max="6"/>
    <col width="13" customWidth="1" min="7" max="7"/>
  </cols>
  <sheetData>
    <row r="1" ht="30" customHeight="1">
      <c r="A1" s="14" t="inlineStr">
        <is>
          <t>RESULTATENREKENING</t>
        </is>
      </c>
    </row>
    <row r="2" ht="18" customHeight="1">
      <c r="A2" s="15" t="inlineStr">
        <is>
          <t>Start</t>
        </is>
      </c>
      <c r="C2" s="15" t="inlineStr">
        <is>
          <t>Dashboard</t>
        </is>
      </c>
      <c r="E2" s="15" t="inlineStr">
        <is>
          <t>Resultaat</t>
        </is>
      </c>
      <c r="G2" s="15" t="inlineStr">
        <is>
          <t>Balans</t>
        </is>
      </c>
      <c r="I2" s="15" t="inlineStr">
        <is>
          <t>Ratio's</t>
        </is>
      </c>
      <c r="K2" s="15" t="inlineStr">
        <is>
          <t>Debiteuren</t>
        </is>
      </c>
      <c r="M2" s="15" t="inlineStr">
        <is>
          <t>Crediteuren</t>
        </is>
      </c>
      <c r="O2" s="15" t="inlineStr">
        <is>
          <t>Voorraad</t>
        </is>
      </c>
      <c r="Q2" s="15" t="inlineStr">
        <is>
          <t>Trend</t>
        </is>
      </c>
      <c r="S2" s="15" t="inlineStr">
        <is>
          <t>Signalering</t>
        </is>
      </c>
      <c r="U2" s="15" t="inlineStr">
        <is>
          <t>Samenvatting</t>
        </is>
      </c>
    </row>
    <row r="3">
      <c r="A3" s="45">
        <f>('Instellingen'!$D$6)&amp;"  ·  t/m "&amp;('Instellingen'!$D$17)&amp;" "&amp;('Instellingen'!$D$8)&amp;"  (vergelijking: "&amp;('Instellingen'!$D$12)&amp;")"</f>
        <v/>
      </c>
    </row>
    <row r="6">
      <c r="B6" s="55" t="inlineStr">
        <is>
          <t>Post</t>
        </is>
      </c>
      <c r="C6" s="38" t="inlineStr">
        <is>
          <t>Huidig (t/m periode)</t>
        </is>
      </c>
      <c r="D6" s="38" t="inlineStr">
        <is>
          <t>Vorig jaar</t>
        </is>
      </c>
      <c r="E6" s="38" t="inlineStr">
        <is>
          <t>Verschil €</t>
        </is>
      </c>
      <c r="F6" s="38" t="inlineStr">
        <is>
          <t>Verschil %</t>
        </is>
      </c>
      <c r="G6" s="38" t="inlineStr">
        <is>
          <t>% van omzet</t>
        </is>
      </c>
    </row>
    <row r="7">
      <c r="B7" s="56" t="inlineStr">
        <is>
          <t>Netto-omzet</t>
        </is>
      </c>
      <c r="C7" s="57">
        <f>-SUMIFS('Brondata'!$I$5:$I$1504,'Brondata'!$O$5:$O$1504,"Omzet",'Brondata'!$J$5:$J$1504,'Instellingen'!$D$8,'Brondata'!$K$5:$K$1504,"&gt;=1",'Brondata'!$K$5:$K$1504,"&lt;="&amp;'Instellingen'!$F$17)</f>
        <v/>
      </c>
      <c r="D7" s="57">
        <f>-SUMIFS('Brondata'!$I$5:$I$1504,'Brondata'!$O$5:$O$1504,"Omzet",'Brondata'!$J$5:$J$1504,'Instellingen'!$D$12,'Brondata'!$K$5:$K$1504,"&gt;=1",'Brondata'!$K$5:$K$1504,"&lt;="&amp;'Instellingen'!$F$17)</f>
        <v/>
      </c>
      <c r="E7" s="57">
        <f>C7-D7</f>
        <v/>
      </c>
      <c r="F7" s="58">
        <f>IFERROR((C7-D7)/ABS(D7),0)</f>
        <v/>
      </c>
      <c r="G7" s="59">
        <f>IFERROR(C7/C$7,0)</f>
        <v/>
      </c>
    </row>
    <row r="8">
      <c r="B8" s="60" t="inlineStr">
        <is>
          <t>Inkoopwaarde van de omzet</t>
        </is>
      </c>
      <c r="C8" s="61">
        <f>SUMIFS('Brondata'!$I$5:$I$1504,'Brondata'!$O$5:$O$1504,"Inkoopwaarde",'Brondata'!$J$5:$J$1504,'Instellingen'!$D$8,'Brondata'!$K$5:$K$1504,"&gt;=1",'Brondata'!$K$5:$K$1504,"&lt;="&amp;'Instellingen'!$F$17)</f>
        <v/>
      </c>
      <c r="D8" s="61">
        <f>SUMIFS('Brondata'!$I$5:$I$1504,'Brondata'!$O$5:$O$1504,"Inkoopwaarde",'Brondata'!$J$5:$J$1504,'Instellingen'!$D$12,'Brondata'!$K$5:$K$1504,"&gt;=1",'Brondata'!$K$5:$K$1504,"&lt;="&amp;'Instellingen'!$F$17)</f>
        <v/>
      </c>
      <c r="E8" s="61">
        <f>C8-D8</f>
        <v/>
      </c>
      <c r="F8" s="62">
        <f>IFERROR((C8-D8)/ABS(D8),0)</f>
        <v/>
      </c>
      <c r="G8" s="63">
        <f>IFERROR(C8/C$7,0)</f>
        <v/>
      </c>
    </row>
    <row r="9">
      <c r="B9" s="64" t="inlineStr">
        <is>
          <t>Brutowinst</t>
        </is>
      </c>
      <c r="C9" s="65">
        <f>C7-C8</f>
        <v/>
      </c>
      <c r="D9" s="65">
        <f>D7-D8</f>
        <v/>
      </c>
      <c r="E9" s="65">
        <f>C9-D9</f>
        <v/>
      </c>
      <c r="F9" s="66">
        <f>IFERROR((C9-D9)/ABS(D9),0)</f>
        <v/>
      </c>
      <c r="G9" s="67">
        <f>IFERROR(C9/C$7,0)</f>
        <v/>
      </c>
    </row>
    <row r="11">
      <c r="B11" s="60" t="inlineStr">
        <is>
          <t>Personeelskosten</t>
        </is>
      </c>
      <c r="C11" s="61">
        <f>SUMIFS('Brondata'!$I$5:$I$1504,'Brondata'!$O$5:$O$1504,"Personeelskosten",'Brondata'!$J$5:$J$1504,'Instellingen'!$D$8,'Brondata'!$K$5:$K$1504,"&gt;=1",'Brondata'!$K$5:$K$1504,"&lt;="&amp;'Instellingen'!$F$17)</f>
        <v/>
      </c>
      <c r="D11" s="61">
        <f>SUMIFS('Brondata'!$I$5:$I$1504,'Brondata'!$O$5:$O$1504,"Personeelskosten",'Brondata'!$J$5:$J$1504,'Instellingen'!$D$12,'Brondata'!$K$5:$K$1504,"&gt;=1",'Brondata'!$K$5:$K$1504,"&lt;="&amp;'Instellingen'!$F$17)</f>
        <v/>
      </c>
      <c r="E11" s="61">
        <f>C11-D11</f>
        <v/>
      </c>
      <c r="F11" s="62">
        <f>IFERROR((C11-D11)/ABS(D11),0)</f>
        <v/>
      </c>
      <c r="G11" s="63">
        <f>IFERROR(C11/C$7,0)</f>
        <v/>
      </c>
    </row>
    <row r="12">
      <c r="B12" s="60" t="inlineStr">
        <is>
          <t>Huisvestingskosten</t>
        </is>
      </c>
      <c r="C12" s="61">
        <f>SUMIFS('Brondata'!$I$5:$I$1504,'Brondata'!$O$5:$O$1504,"Huisvesting",'Brondata'!$J$5:$J$1504,'Instellingen'!$D$8,'Brondata'!$K$5:$K$1504,"&gt;=1",'Brondata'!$K$5:$K$1504,"&lt;="&amp;'Instellingen'!$F$17)</f>
        <v/>
      </c>
      <c r="D12" s="61">
        <f>SUMIFS('Brondata'!$I$5:$I$1504,'Brondata'!$O$5:$O$1504,"Huisvesting",'Brondata'!$J$5:$J$1504,'Instellingen'!$D$12,'Brondata'!$K$5:$K$1504,"&gt;=1",'Brondata'!$K$5:$K$1504,"&lt;="&amp;'Instellingen'!$F$17)</f>
        <v/>
      </c>
      <c r="E12" s="61">
        <f>C12-D12</f>
        <v/>
      </c>
      <c r="F12" s="62">
        <f>IFERROR((C12-D12)/ABS(D12),0)</f>
        <v/>
      </c>
      <c r="G12" s="63">
        <f>IFERROR(C12/C$7,0)</f>
        <v/>
      </c>
    </row>
    <row r="13">
      <c r="B13" s="60" t="inlineStr">
        <is>
          <t>Autokosten</t>
        </is>
      </c>
      <c r="C13" s="61">
        <f>SUMIFS('Brondata'!$I$5:$I$1504,'Brondata'!$O$5:$O$1504,"Autokosten",'Brondata'!$J$5:$J$1504,'Instellingen'!$D$8,'Brondata'!$K$5:$K$1504,"&gt;=1",'Brondata'!$K$5:$K$1504,"&lt;="&amp;'Instellingen'!$F$17)</f>
        <v/>
      </c>
      <c r="D13" s="61">
        <f>SUMIFS('Brondata'!$I$5:$I$1504,'Brondata'!$O$5:$O$1504,"Autokosten",'Brondata'!$J$5:$J$1504,'Instellingen'!$D$12,'Brondata'!$K$5:$K$1504,"&gt;=1",'Brondata'!$K$5:$K$1504,"&lt;="&amp;'Instellingen'!$F$17)</f>
        <v/>
      </c>
      <c r="E13" s="61">
        <f>C13-D13</f>
        <v/>
      </c>
      <c r="F13" s="62">
        <f>IFERROR((C13-D13)/ABS(D13),0)</f>
        <v/>
      </c>
      <c r="G13" s="63">
        <f>IFERROR(C13/C$7,0)</f>
        <v/>
      </c>
    </row>
    <row r="14">
      <c r="B14" s="60" t="inlineStr">
        <is>
          <t>Verkoopkosten</t>
        </is>
      </c>
      <c r="C14" s="61">
        <f>SUMIFS('Brondata'!$I$5:$I$1504,'Brondata'!$O$5:$O$1504,"Verkoopkosten",'Brondata'!$J$5:$J$1504,'Instellingen'!$D$8,'Brondata'!$K$5:$K$1504,"&gt;=1",'Brondata'!$K$5:$K$1504,"&lt;="&amp;'Instellingen'!$F$17)</f>
        <v/>
      </c>
      <c r="D14" s="61">
        <f>SUMIFS('Brondata'!$I$5:$I$1504,'Brondata'!$O$5:$O$1504,"Verkoopkosten",'Brondata'!$J$5:$J$1504,'Instellingen'!$D$12,'Brondata'!$K$5:$K$1504,"&gt;=1",'Brondata'!$K$5:$K$1504,"&lt;="&amp;'Instellingen'!$F$17)</f>
        <v/>
      </c>
      <c r="E14" s="61">
        <f>C14-D14</f>
        <v/>
      </c>
      <c r="F14" s="62">
        <f>IFERROR((C14-D14)/ABS(D14),0)</f>
        <v/>
      </c>
      <c r="G14" s="63">
        <f>IFERROR(C14/C$7,0)</f>
        <v/>
      </c>
    </row>
    <row r="15">
      <c r="B15" s="60" t="inlineStr">
        <is>
          <t>Kantoorkosten</t>
        </is>
      </c>
      <c r="C15" s="61">
        <f>SUMIFS('Brondata'!$I$5:$I$1504,'Brondata'!$O$5:$O$1504,"Kantoorkosten",'Brondata'!$J$5:$J$1504,'Instellingen'!$D$8,'Brondata'!$K$5:$K$1504,"&gt;=1",'Brondata'!$K$5:$K$1504,"&lt;="&amp;'Instellingen'!$F$17)</f>
        <v/>
      </c>
      <c r="D15" s="61">
        <f>SUMIFS('Brondata'!$I$5:$I$1504,'Brondata'!$O$5:$O$1504,"Kantoorkosten",'Brondata'!$J$5:$J$1504,'Instellingen'!$D$12,'Brondata'!$K$5:$K$1504,"&gt;=1",'Brondata'!$K$5:$K$1504,"&lt;="&amp;'Instellingen'!$F$17)</f>
        <v/>
      </c>
      <c r="E15" s="61">
        <f>C15-D15</f>
        <v/>
      </c>
      <c r="F15" s="62">
        <f>IFERROR((C15-D15)/ABS(D15),0)</f>
        <v/>
      </c>
      <c r="G15" s="63">
        <f>IFERROR(C15/C$7,0)</f>
        <v/>
      </c>
    </row>
    <row r="16">
      <c r="B16" s="60" t="inlineStr">
        <is>
          <t>Algemene kosten</t>
        </is>
      </c>
      <c r="C16" s="61">
        <f>SUMIFS('Brondata'!$I$5:$I$1504,'Brondata'!$O$5:$O$1504,"Algemene kosten",'Brondata'!$J$5:$J$1504,'Instellingen'!$D$8,'Brondata'!$K$5:$K$1504,"&gt;=1",'Brondata'!$K$5:$K$1504,"&lt;="&amp;'Instellingen'!$F$17)</f>
        <v/>
      </c>
      <c r="D16" s="61">
        <f>SUMIFS('Brondata'!$I$5:$I$1504,'Brondata'!$O$5:$O$1504,"Algemene kosten",'Brondata'!$J$5:$J$1504,'Instellingen'!$D$12,'Brondata'!$K$5:$K$1504,"&gt;=1",'Brondata'!$K$5:$K$1504,"&lt;="&amp;'Instellingen'!$F$17)</f>
        <v/>
      </c>
      <c r="E16" s="61">
        <f>C16-D16</f>
        <v/>
      </c>
      <c r="F16" s="62">
        <f>IFERROR((C16-D16)/ABS(D16),0)</f>
        <v/>
      </c>
      <c r="G16" s="63">
        <f>IFERROR(C16/C$7,0)</f>
        <v/>
      </c>
    </row>
    <row r="17">
      <c r="B17" s="60" t="inlineStr">
        <is>
          <t>Afschrijvingen</t>
        </is>
      </c>
      <c r="C17" s="61">
        <f>SUMIFS('Brondata'!$I$5:$I$1504,'Brondata'!$O$5:$O$1504,"Afschrijvingen",'Brondata'!$J$5:$J$1504,'Instellingen'!$D$8,'Brondata'!$K$5:$K$1504,"&gt;=1",'Brondata'!$K$5:$K$1504,"&lt;="&amp;'Instellingen'!$F$17)</f>
        <v/>
      </c>
      <c r="D17" s="61">
        <f>SUMIFS('Brondata'!$I$5:$I$1504,'Brondata'!$O$5:$O$1504,"Afschrijvingen",'Brondata'!$J$5:$J$1504,'Instellingen'!$D$12,'Brondata'!$K$5:$K$1504,"&gt;=1",'Brondata'!$K$5:$K$1504,"&lt;="&amp;'Instellingen'!$F$17)</f>
        <v/>
      </c>
      <c r="E17" s="61">
        <f>C17-D17</f>
        <v/>
      </c>
      <c r="F17" s="62">
        <f>IFERROR((C17-D17)/ABS(D17),0)</f>
        <v/>
      </c>
      <c r="G17" s="63">
        <f>IFERROR(C17/C$7,0)</f>
        <v/>
      </c>
    </row>
    <row r="18">
      <c r="B18" s="64" t="inlineStr">
        <is>
          <t>Totaal bedrijfslasten</t>
        </is>
      </c>
      <c r="C18" s="65">
        <f>SUM(C11:C17)</f>
        <v/>
      </c>
      <c r="D18" s="65">
        <f>SUM(D11:D17)</f>
        <v/>
      </c>
      <c r="E18" s="65">
        <f>C18-D18</f>
        <v/>
      </c>
      <c r="F18" s="66">
        <f>IFERROR((C18-D18)/ABS(D18),0)</f>
        <v/>
      </c>
      <c r="G18" s="67">
        <f>IFERROR(C18/C$7,0)</f>
        <v/>
      </c>
    </row>
    <row r="19">
      <c r="B19" s="56" t="inlineStr">
        <is>
          <t>Bedrijfsresultaat (EBIT)</t>
        </is>
      </c>
      <c r="C19" s="57">
        <f>C9-C18</f>
        <v/>
      </c>
      <c r="D19" s="57">
        <f>D9-D18</f>
        <v/>
      </c>
      <c r="E19" s="57">
        <f>C19-D19</f>
        <v/>
      </c>
      <c r="F19" s="58">
        <f>IFERROR((C19-D19)/ABS(D19),0)</f>
        <v/>
      </c>
      <c r="G19" s="59">
        <f>IFERROR(C19/C$7,0)</f>
        <v/>
      </c>
    </row>
    <row r="20">
      <c r="B20" s="60" t="inlineStr">
        <is>
          <t>Financiële baten en lasten</t>
        </is>
      </c>
      <c r="C20" s="61">
        <f>SUMIFS('Brondata'!$I$5:$I$1504,'Brondata'!$O$5:$O$1504,"Financiele baten en lasten",'Brondata'!$J$5:$J$1504,'Instellingen'!$D$8,'Brondata'!$K$5:$K$1504,"&gt;=1",'Brondata'!$K$5:$K$1504,"&lt;="&amp;'Instellingen'!$F$17)</f>
        <v/>
      </c>
      <c r="D20" s="61">
        <f>SUMIFS('Brondata'!$I$5:$I$1504,'Brondata'!$O$5:$O$1504,"Financiele baten en lasten",'Brondata'!$J$5:$J$1504,'Instellingen'!$D$12,'Brondata'!$K$5:$K$1504,"&gt;=1",'Brondata'!$K$5:$K$1504,"&lt;="&amp;'Instellingen'!$F$17)</f>
        <v/>
      </c>
      <c r="E20" s="61">
        <f>C20-D20</f>
        <v/>
      </c>
      <c r="F20" s="62">
        <f>IFERROR((C20-D20)/ABS(D20),0)</f>
        <v/>
      </c>
      <c r="G20" s="63">
        <f>IFERROR(C20/C$7,0)</f>
        <v/>
      </c>
    </row>
    <row r="21">
      <c r="B21" s="64" t="inlineStr">
        <is>
          <t>Resultaat voor belasting</t>
        </is>
      </c>
      <c r="C21" s="65">
        <f>C19-C20</f>
        <v/>
      </c>
      <c r="D21" s="65">
        <f>D19-D20</f>
        <v/>
      </c>
      <c r="E21" s="65">
        <f>C21-D21</f>
        <v/>
      </c>
      <c r="F21" s="66">
        <f>IFERROR((C21-D21)/ABS(D21),0)</f>
        <v/>
      </c>
      <c r="G21" s="67">
        <f>IFERROR(C21/C$7,0)</f>
        <v/>
      </c>
    </row>
    <row r="23">
      <c r="B23" s="56" t="inlineStr">
        <is>
          <t>EBITDA (indicatief)</t>
        </is>
      </c>
      <c r="C23" s="57">
        <f>C19+C17</f>
        <v/>
      </c>
      <c r="D23" s="57">
        <f>D19+D17</f>
        <v/>
      </c>
      <c r="E23" s="57">
        <f>C23-D23</f>
        <v/>
      </c>
      <c r="F23" s="58">
        <f>IFERROR((C23-D23)/ABS(D23),0)</f>
        <v/>
      </c>
      <c r="G23" s="59">
        <f>IFERROR(C23/C$7,0)</f>
        <v/>
      </c>
    </row>
    <row r="24">
      <c r="B24" s="60" t="inlineStr">
        <is>
          <t>Brutomarge %</t>
        </is>
      </c>
      <c r="C24" s="68">
        <f>IFERROR(C9/C7,0)</f>
        <v/>
      </c>
      <c r="D24" s="68">
        <f>IFERROR(D9/D7,0)</f>
        <v/>
      </c>
      <c r="E24" s="68">
        <f>C24-D24</f>
        <v/>
      </c>
      <c r="F24" s="62" t="inlineStr"/>
      <c r="G24" s="63" t="inlineStr"/>
    </row>
  </sheetData>
  <mergeCells count="12">
    <mergeCell ref="O2:P2"/>
    <mergeCell ref="M2:N2"/>
    <mergeCell ref="A2:B2"/>
    <mergeCell ref="Q2:R2"/>
    <mergeCell ref="S2:T2"/>
    <mergeCell ref="C2:D2"/>
    <mergeCell ref="U2:V2"/>
    <mergeCell ref="G2:H2"/>
    <mergeCell ref="E2:F2"/>
    <mergeCell ref="A1:V1"/>
    <mergeCell ref="I2:J2"/>
    <mergeCell ref="K2:L2"/>
  </mergeCells>
  <hyperlinks>
    <hyperlink ref="A2" location="'Start'!A1" display="Start"/>
    <hyperlink ref="C2" location="'Dashboard'!A1" display="Dashboard"/>
    <hyperlink ref="E2" location="'Resultatenrekening'!A1" display="Resultaat"/>
    <hyperlink ref="G2" location="'Balans'!A1" display="Balans"/>
    <hyperlink ref="I2" location="'Ratios'!A1" display="Ratio's"/>
    <hyperlink ref="K2" location="'Debiteuren'!A1" display="Debiteuren"/>
    <hyperlink ref="M2" location="'Crediteuren'!A1" display="Crediteuren"/>
    <hyperlink ref="O2" location="'Voorraad'!A1" display="Voorraad"/>
    <hyperlink ref="Q2" location="'Trendanalyse'!A1" display="Trend"/>
    <hyperlink ref="S2" location="'Signalering'!A1" display="Signalering"/>
    <hyperlink ref="U2" location="'Samenvatting'!A1" display="Samenvatting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C5F42"/>
    <outlinePr summaryBelow="1" summaryRight="1"/>
    <pageSetUpPr/>
  </sheetPr>
  <dimension ref="A1:V2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 ht="30" customHeight="1">
      <c r="A1" s="14" t="inlineStr">
        <is>
          <t>BALANS</t>
        </is>
      </c>
    </row>
    <row r="2" ht="18" customHeight="1">
      <c r="A2" s="15" t="inlineStr">
        <is>
          <t>Start</t>
        </is>
      </c>
      <c r="C2" s="15" t="inlineStr">
        <is>
          <t>Dashboard</t>
        </is>
      </c>
      <c r="E2" s="15" t="inlineStr">
        <is>
          <t>Resultaat</t>
        </is>
      </c>
      <c r="G2" s="15" t="inlineStr">
        <is>
          <t>Balans</t>
        </is>
      </c>
      <c r="I2" s="15" t="inlineStr">
        <is>
          <t>Ratio's</t>
        </is>
      </c>
      <c r="K2" s="15" t="inlineStr">
        <is>
          <t>Debiteuren</t>
        </is>
      </c>
      <c r="M2" s="15" t="inlineStr">
        <is>
          <t>Crediteuren</t>
        </is>
      </c>
      <c r="O2" s="15" t="inlineStr">
        <is>
          <t>Voorraad</t>
        </is>
      </c>
      <c r="Q2" s="15" t="inlineStr">
        <is>
          <t>Trend</t>
        </is>
      </c>
      <c r="S2" s="15" t="inlineStr">
        <is>
          <t>Signalering</t>
        </is>
      </c>
      <c r="U2" s="15" t="inlineStr">
        <is>
          <t>Samenvatting</t>
        </is>
      </c>
    </row>
    <row r="3">
      <c r="A3" s="45">
        <f>('Instellingen'!$D$6)&amp;"  ·  per "&amp;TEXT('Instellingen'!$D$11,"dd-mm-yyyy")&amp;"  (vergelijking "&amp;('Instellingen'!$D$12)&amp;")"</f>
        <v/>
      </c>
    </row>
    <row r="6">
      <c r="B6" s="55" t="inlineStr">
        <is>
          <t>Post</t>
        </is>
      </c>
      <c r="C6" s="38" t="inlineStr">
        <is>
          <t>Huidig</t>
        </is>
      </c>
      <c r="D6" s="38" t="inlineStr">
        <is>
          <t>Vorig jaar</t>
        </is>
      </c>
      <c r="E6" s="38" t="inlineStr">
        <is>
          <t>Mutatie €</t>
        </is>
      </c>
      <c r="F6" s="38" t="inlineStr">
        <is>
          <t>Mutatie %</t>
        </is>
      </c>
    </row>
    <row r="7">
      <c r="B7" s="10" t="inlineStr">
        <is>
          <t>VASTE ACTIVA</t>
        </is>
      </c>
    </row>
    <row r="8">
      <c r="B8" s="60" t="inlineStr">
        <is>
          <t>Materiële vaste activa</t>
        </is>
      </c>
      <c r="C8" s="61">
        <f>SUMIFS('Brondata'!$I$5:$I$1504,'Brondata'!$O$5:$O$1504,"Materiele vaste activa",'Brondata'!$J$5:$J$1504,'Instellingen'!$D$8,'Brondata'!$K$5:$K$1504,"&lt;="&amp;'Instellingen'!$F$17)</f>
        <v/>
      </c>
      <c r="D8" s="61">
        <f>SUMIFS('Brondata'!$I$5:$I$1504,'Brondata'!$O$5:$O$1504,"Materiele vaste activa",'Brondata'!$J$5:$J$1504,'Instellingen'!$D$12,'Brondata'!$K$5:$K$1504,"&lt;="&amp;'Instellingen'!$F$17)</f>
        <v/>
      </c>
      <c r="E8" s="61">
        <f>C8-D8</f>
        <v/>
      </c>
      <c r="F8" s="62">
        <f>IFERROR((C8-D8)/ABS(D8),0)</f>
        <v/>
      </c>
    </row>
    <row r="9">
      <c r="B9" s="60" t="inlineStr">
        <is>
          <t>Immateriële vaste activa</t>
        </is>
      </c>
      <c r="C9" s="61">
        <f>SUMIFS('Brondata'!$I$5:$I$1504,'Brondata'!$O$5:$O$1504,"Immateriele vaste activa",'Brondata'!$J$5:$J$1504,'Instellingen'!$D$8,'Brondata'!$K$5:$K$1504,"&lt;="&amp;'Instellingen'!$F$17)</f>
        <v/>
      </c>
      <c r="D9" s="61">
        <f>SUMIFS('Brondata'!$I$5:$I$1504,'Brondata'!$O$5:$O$1504,"Immateriele vaste activa",'Brondata'!$J$5:$J$1504,'Instellingen'!$D$12,'Brondata'!$K$5:$K$1504,"&lt;="&amp;'Instellingen'!$F$17)</f>
        <v/>
      </c>
      <c r="E9" s="61">
        <f>C9-D9</f>
        <v/>
      </c>
      <c r="F9" s="62">
        <f>IFERROR((C9-D9)/ABS(D9),0)</f>
        <v/>
      </c>
    </row>
    <row r="10">
      <c r="B10" s="64" t="inlineStr">
        <is>
          <t>Totaal vaste activa</t>
        </is>
      </c>
      <c r="C10" s="65">
        <f>C8+C9</f>
        <v/>
      </c>
      <c r="D10" s="65">
        <f>D8+D9</f>
        <v/>
      </c>
      <c r="E10" s="65">
        <f>C10-D10</f>
        <v/>
      </c>
      <c r="F10" s="66">
        <f>IFERROR((C10-D10)/ABS(D10),0)</f>
        <v/>
      </c>
    </row>
    <row r="11">
      <c r="B11" s="10" t="inlineStr">
        <is>
          <t>VLOTTENDE ACTIVA</t>
        </is>
      </c>
    </row>
    <row r="12">
      <c r="B12" s="60" t="inlineStr">
        <is>
          <t>Voorraden</t>
        </is>
      </c>
      <c r="C12" s="61">
        <f>SUMIFS('Brondata'!$I$5:$I$1504,'Brondata'!$O$5:$O$1504,"Voorraden",'Brondata'!$J$5:$J$1504,'Instellingen'!$D$8,'Brondata'!$K$5:$K$1504,"&lt;="&amp;'Instellingen'!$F$17)</f>
        <v/>
      </c>
      <c r="D12" s="61">
        <f>SUMIFS('Brondata'!$I$5:$I$1504,'Brondata'!$O$5:$O$1504,"Voorraden",'Brondata'!$J$5:$J$1504,'Instellingen'!$D$12,'Brondata'!$K$5:$K$1504,"&lt;="&amp;'Instellingen'!$F$17)</f>
        <v/>
      </c>
      <c r="E12" s="61">
        <f>C12-D12</f>
        <v/>
      </c>
      <c r="F12" s="62">
        <f>IFERROR((C12-D12)/ABS(D12),0)</f>
        <v/>
      </c>
    </row>
    <row r="13">
      <c r="B13" s="60" t="inlineStr">
        <is>
          <t>Debiteuren</t>
        </is>
      </c>
      <c r="C13" s="61">
        <f>SUMIFS('Brondata'!$I$5:$I$1504,'Brondata'!$O$5:$O$1504,"Debiteuren",'Brondata'!$J$5:$J$1504,'Instellingen'!$D$8,'Brondata'!$K$5:$K$1504,"&lt;="&amp;'Instellingen'!$F$17)</f>
        <v/>
      </c>
      <c r="D13" s="61">
        <f>SUMIFS('Brondata'!$I$5:$I$1504,'Brondata'!$O$5:$O$1504,"Debiteuren",'Brondata'!$J$5:$J$1504,'Instellingen'!$D$12,'Brondata'!$K$5:$K$1504,"&lt;="&amp;'Instellingen'!$F$17)</f>
        <v/>
      </c>
      <c r="E13" s="61">
        <f>C13-D13</f>
        <v/>
      </c>
      <c r="F13" s="62">
        <f>IFERROR((C13-D13)/ABS(D13),0)</f>
        <v/>
      </c>
    </row>
    <row r="14">
      <c r="B14" s="60" t="inlineStr">
        <is>
          <t>Overige vorderingen</t>
        </is>
      </c>
      <c r="C14" s="61">
        <f>SUMIFS('Brondata'!$I$5:$I$1504,'Brondata'!$O$5:$O$1504,"Overige vorderingen",'Brondata'!$J$5:$J$1504,'Instellingen'!$D$8,'Brondata'!$K$5:$K$1504,"&lt;="&amp;'Instellingen'!$F$17)</f>
        <v/>
      </c>
      <c r="D14" s="61">
        <f>SUMIFS('Brondata'!$I$5:$I$1504,'Brondata'!$O$5:$O$1504,"Overige vorderingen",'Brondata'!$J$5:$J$1504,'Instellingen'!$D$12,'Brondata'!$K$5:$K$1504,"&lt;="&amp;'Instellingen'!$F$17)</f>
        <v/>
      </c>
      <c r="E14" s="61">
        <f>C14-D14</f>
        <v/>
      </c>
      <c r="F14" s="62">
        <f>IFERROR((C14-D14)/ABS(D14),0)</f>
        <v/>
      </c>
    </row>
    <row r="15">
      <c r="B15" s="60" t="inlineStr">
        <is>
          <t>Liquide middelen</t>
        </is>
      </c>
      <c r="C15" s="61">
        <f>SUMIFS('Brondata'!$I$5:$I$1504,'Brondata'!$O$5:$O$1504,"Liquide middelen",'Brondata'!$J$5:$J$1504,'Instellingen'!$D$8,'Brondata'!$K$5:$K$1504,"&lt;="&amp;'Instellingen'!$F$17)</f>
        <v/>
      </c>
      <c r="D15" s="61">
        <f>SUMIFS('Brondata'!$I$5:$I$1504,'Brondata'!$O$5:$O$1504,"Liquide middelen",'Brondata'!$J$5:$J$1504,'Instellingen'!$D$12,'Brondata'!$K$5:$K$1504,"&lt;="&amp;'Instellingen'!$F$17)</f>
        <v/>
      </c>
      <c r="E15" s="61">
        <f>C15-D15</f>
        <v/>
      </c>
      <c r="F15" s="62">
        <f>IFERROR((C15-D15)/ABS(D15),0)</f>
        <v/>
      </c>
    </row>
    <row r="16">
      <c r="B16" s="64" t="inlineStr">
        <is>
          <t>Totaal vlottende activa</t>
        </is>
      </c>
      <c r="C16" s="65">
        <f>SUM(C12:C15)</f>
        <v/>
      </c>
      <c r="D16" s="65">
        <f>SUM(D12:D15)</f>
        <v/>
      </c>
      <c r="E16" s="65">
        <f>C16-D16</f>
        <v/>
      </c>
      <c r="F16" s="66">
        <f>IFERROR((C16-D16)/ABS(D16),0)</f>
        <v/>
      </c>
    </row>
    <row r="17">
      <c r="B17" s="64" t="inlineStr">
        <is>
          <t>TOTAAL ACTIVA</t>
        </is>
      </c>
      <c r="C17" s="65">
        <f>C10+C16</f>
        <v/>
      </c>
      <c r="D17" s="65">
        <f>D10+D16</f>
        <v/>
      </c>
      <c r="E17" s="65">
        <f>C17-D17</f>
        <v/>
      </c>
      <c r="F17" s="66">
        <f>IFERROR((C17-D17)/ABS(D17),0)</f>
        <v/>
      </c>
    </row>
    <row r="19">
      <c r="B19" s="10" t="inlineStr">
        <is>
          <t>PASSIVA</t>
        </is>
      </c>
    </row>
    <row r="20">
      <c r="B20" s="56" t="inlineStr">
        <is>
          <t>Eigen vermogen</t>
        </is>
      </c>
      <c r="C20" s="57">
        <f>-SUMIFS('Brondata'!$I$5:$I$1504,'Brondata'!$O$5:$O$1504,"Eigen vermogen",'Brondata'!$J$5:$J$1504,'Instellingen'!$D$8,'Brondata'!$K$5:$K$1504,"&lt;="&amp;'Instellingen'!$F$17)</f>
        <v/>
      </c>
      <c r="D20" s="57">
        <f>-SUMIFS('Brondata'!$I$5:$I$1504,'Brondata'!$O$5:$O$1504,"Eigen vermogen",'Brondata'!$J$5:$J$1504,'Instellingen'!$D$12,'Brondata'!$K$5:$K$1504,"&lt;="&amp;'Instellingen'!$F$17)</f>
        <v/>
      </c>
      <c r="E20" s="57">
        <f>C20-D20</f>
        <v/>
      </c>
      <c r="F20" s="58">
        <f>IFERROR((C20-D20)/ABS(D20),0)</f>
        <v/>
      </c>
    </row>
    <row r="21">
      <c r="B21" s="60" t="inlineStr">
        <is>
          <t>Langlopende schulden</t>
        </is>
      </c>
      <c r="C21" s="61">
        <f>-SUMIFS('Brondata'!$I$5:$I$1504,'Brondata'!$O$5:$O$1504,"Langlopende schulden",'Brondata'!$J$5:$J$1504,'Instellingen'!$D$8,'Brondata'!$K$5:$K$1504,"&lt;="&amp;'Instellingen'!$F$17)</f>
        <v/>
      </c>
      <c r="D21" s="61">
        <f>-SUMIFS('Brondata'!$I$5:$I$1504,'Brondata'!$O$5:$O$1504,"Langlopende schulden",'Brondata'!$J$5:$J$1504,'Instellingen'!$D$12,'Brondata'!$K$5:$K$1504,"&lt;="&amp;'Instellingen'!$F$17)</f>
        <v/>
      </c>
      <c r="E21" s="61">
        <f>C21-D21</f>
        <v/>
      </c>
      <c r="F21" s="62">
        <f>IFERROR((C21-D21)/ABS(D21),0)</f>
        <v/>
      </c>
    </row>
    <row r="22">
      <c r="B22" s="60" t="inlineStr">
        <is>
          <t>Crediteuren</t>
        </is>
      </c>
      <c r="C22" s="61">
        <f>-SUMIFS('Brondata'!$I$5:$I$1504,'Brondata'!$O$5:$O$1504,"Crediteuren",'Brondata'!$J$5:$J$1504,'Instellingen'!$D$8,'Brondata'!$K$5:$K$1504,"&lt;="&amp;'Instellingen'!$F$17)</f>
        <v/>
      </c>
      <c r="D22" s="61">
        <f>-SUMIFS('Brondata'!$I$5:$I$1504,'Brondata'!$O$5:$O$1504,"Crediteuren",'Brondata'!$J$5:$J$1504,'Instellingen'!$D$12,'Brondata'!$K$5:$K$1504,"&lt;="&amp;'Instellingen'!$F$17)</f>
        <v/>
      </c>
      <c r="E22" s="61">
        <f>C22-D22</f>
        <v/>
      </c>
      <c r="F22" s="62">
        <f>IFERROR((C22-D22)/ABS(D22),0)</f>
        <v/>
      </c>
    </row>
    <row r="23">
      <c r="B23" s="60" t="inlineStr">
        <is>
          <t>Overige schulden</t>
        </is>
      </c>
      <c r="C23" s="61">
        <f>-SUMIFS('Brondata'!$I$5:$I$1504,'Brondata'!$O$5:$O$1504,"Overige schulden",'Brondata'!$J$5:$J$1504,'Instellingen'!$D$8,'Brondata'!$K$5:$K$1504,"&lt;="&amp;'Instellingen'!$F$17)</f>
        <v/>
      </c>
      <c r="D23" s="61">
        <f>-SUMIFS('Brondata'!$I$5:$I$1504,'Brondata'!$O$5:$O$1504,"Overige schulden",'Brondata'!$J$5:$J$1504,'Instellingen'!$D$12,'Brondata'!$K$5:$K$1504,"&lt;="&amp;'Instellingen'!$F$17)</f>
        <v/>
      </c>
      <c r="E23" s="61">
        <f>C23-D23</f>
        <v/>
      </c>
      <c r="F23" s="62">
        <f>IFERROR((C23-D23)/ABS(D23),0)</f>
        <v/>
      </c>
    </row>
    <row r="24">
      <c r="B24" s="64" t="inlineStr">
        <is>
          <t>Totaal kortlopende schulden</t>
        </is>
      </c>
      <c r="C24" s="65">
        <f>C22+C23</f>
        <v/>
      </c>
      <c r="D24" s="65">
        <f>D22+D23</f>
        <v/>
      </c>
      <c r="E24" s="65">
        <f>C24-D24</f>
        <v/>
      </c>
      <c r="F24" s="66">
        <f>IFERROR((C24-D24)/ABS(D24),0)</f>
        <v/>
      </c>
    </row>
    <row r="25">
      <c r="B25" s="64" t="inlineStr">
        <is>
          <t>TOTAAL PASSIVA</t>
        </is>
      </c>
      <c r="C25" s="65">
        <f>C20+C21+C24</f>
        <v/>
      </c>
      <c r="D25" s="65">
        <f>D20+D21+D24</f>
        <v/>
      </c>
      <c r="E25" s="65">
        <f>C25-D25</f>
        <v/>
      </c>
      <c r="F25" s="66">
        <f>IFERROR((C25-D25)/ABS(D25),0)</f>
        <v/>
      </c>
    </row>
    <row r="26">
      <c r="B26" s="56" t="inlineStr">
        <is>
          <t>Balanscontrole (moet 0 zijn)</t>
        </is>
      </c>
      <c r="C26" s="57">
        <f>C17-C25</f>
        <v/>
      </c>
      <c r="D26" s="57">
        <f>D17-D25</f>
        <v/>
      </c>
      <c r="E26" s="57">
        <f>C26-D26</f>
        <v/>
      </c>
      <c r="F26" s="58">
        <f>IFERROR((C26-D26)/ABS(D26),0)</f>
        <v/>
      </c>
    </row>
  </sheetData>
  <mergeCells count="15">
    <mergeCell ref="O2:P2"/>
    <mergeCell ref="M2:N2"/>
    <mergeCell ref="A2:B2"/>
    <mergeCell ref="Q2:R2"/>
    <mergeCell ref="S2:T2"/>
    <mergeCell ref="C2:D2"/>
    <mergeCell ref="U2:V2"/>
    <mergeCell ref="G2:H2"/>
    <mergeCell ref="E2:F2"/>
    <mergeCell ref="A1:V1"/>
    <mergeCell ref="I2:J2"/>
    <mergeCell ref="K2:L2"/>
    <mergeCell ref="B11:F11"/>
    <mergeCell ref="B19:F19"/>
    <mergeCell ref="B7:F7"/>
  </mergeCells>
  <hyperlinks>
    <hyperlink ref="A2" location="'Start'!A1" display="Start"/>
    <hyperlink ref="C2" location="'Dashboard'!A1" display="Dashboard"/>
    <hyperlink ref="E2" location="'Resultatenrekening'!A1" display="Resultaat"/>
    <hyperlink ref="G2" location="'Balans'!A1" display="Balans"/>
    <hyperlink ref="I2" location="'Ratios'!A1" display="Ratio's"/>
    <hyperlink ref="K2" location="'Debiteuren'!A1" display="Debiteuren"/>
    <hyperlink ref="M2" location="'Crediteuren'!A1" display="Crediteuren"/>
    <hyperlink ref="O2" location="'Voorraad'!A1" display="Voorraad"/>
    <hyperlink ref="Q2" location="'Trendanalyse'!A1" display="Trend"/>
    <hyperlink ref="S2" location="'Signalering'!A1" display="Signalering"/>
    <hyperlink ref="U2" location="'Samenvatting'!A1" display="Samenvatting"/>
  </hyperlink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0C5F42"/>
    <outlinePr summaryBelow="1" summaryRight="1"/>
    <pageSetUpPr/>
  </sheetPr>
  <dimension ref="A1:V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16" customWidth="1" min="3" max="3"/>
    <col width="14" customWidth="1" min="4" max="4"/>
    <col width="14" customWidth="1" min="5" max="5"/>
    <col width="46" customWidth="1" min="6" max="6"/>
  </cols>
  <sheetData>
    <row r="1" ht="30" customHeight="1">
      <c r="A1" s="14" t="inlineStr">
        <is>
          <t>FINANCIËLE RATIO'S</t>
        </is>
      </c>
    </row>
    <row r="2" ht="18" customHeight="1">
      <c r="A2" s="15" t="inlineStr">
        <is>
          <t>Start</t>
        </is>
      </c>
      <c r="C2" s="15" t="inlineStr">
        <is>
          <t>Dashboard</t>
        </is>
      </c>
      <c r="E2" s="15" t="inlineStr">
        <is>
          <t>Resultaat</t>
        </is>
      </c>
      <c r="G2" s="15" t="inlineStr">
        <is>
          <t>Balans</t>
        </is>
      </c>
      <c r="I2" s="15" t="inlineStr">
        <is>
          <t>Ratio's</t>
        </is>
      </c>
      <c r="K2" s="15" t="inlineStr">
        <is>
          <t>Debiteuren</t>
        </is>
      </c>
      <c r="M2" s="15" t="inlineStr">
        <is>
          <t>Crediteuren</t>
        </is>
      </c>
      <c r="O2" s="15" t="inlineStr">
        <is>
          <t>Voorraad</t>
        </is>
      </c>
      <c r="Q2" s="15" t="inlineStr">
        <is>
          <t>Trend</t>
        </is>
      </c>
      <c r="S2" s="15" t="inlineStr">
        <is>
          <t>Signalering</t>
        </is>
      </c>
      <c r="U2" s="15" t="inlineStr">
        <is>
          <t>Samenvatting</t>
        </is>
      </c>
    </row>
    <row r="3">
      <c r="A3" s="45">
        <f>('Instellingen'!$D$6)&amp;"  ·  kengetallen t/m "&amp;('Instellingen'!$D$17)&amp;" "&amp;('Instellingen'!$D$8)</f>
        <v/>
      </c>
      <c r="I3" s="12" t="inlineStr">
        <is>
          <t>Annualisatie:</t>
        </is>
      </c>
      <c r="J3" s="69">
        <f>12/'Instellingen'!$F$17</f>
        <v/>
      </c>
    </row>
    <row r="6">
      <c r="B6" s="55" t="inlineStr">
        <is>
          <t>Kengetal</t>
        </is>
      </c>
      <c r="C6" s="38" t="inlineStr">
        <is>
          <t>Waarde</t>
        </is>
      </c>
      <c r="D6" s="38" t="inlineStr">
        <is>
          <t>Norm</t>
        </is>
      </c>
      <c r="E6" s="38" t="inlineStr">
        <is>
          <t>Status</t>
        </is>
      </c>
      <c r="F6" s="55" t="inlineStr">
        <is>
          <t>Toelichting</t>
        </is>
      </c>
    </row>
    <row r="7">
      <c r="B7" s="60" t="inlineStr">
        <is>
          <t>Current ratio</t>
        </is>
      </c>
      <c r="C7" s="70">
        <f>IFERROR('Balans'!$C$16/'Balans'!$C$24,0)</f>
        <v/>
      </c>
      <c r="D7" s="71">
        <f>'Instellingen'!$D$29</f>
        <v/>
      </c>
      <c r="E7" s="72">
        <f>IF(D7="-","—",IF(C7&gt;=D7,"Goed",IF(C7&gt;=0.9*D7,"Aandacht","Onder norm")))</f>
        <v/>
      </c>
      <c r="F7" s="73" t="inlineStr">
        <is>
          <t>Vlottende activa / kortlopende schulden</t>
        </is>
      </c>
    </row>
    <row r="8">
      <c r="B8" s="60" t="inlineStr">
        <is>
          <t>Quick ratio</t>
        </is>
      </c>
      <c r="C8" s="70">
        <f>IFERROR(('Balans'!$C$16-'Balans'!$C$12)/'Balans'!$C$24,0)</f>
        <v/>
      </c>
      <c r="D8" s="71">
        <f>'Instellingen'!$D$30</f>
        <v/>
      </c>
      <c r="E8" s="72">
        <f>IF(D8="-","—",IF(C8&gt;=D8,"Goed",IF(C8&gt;=0.9*D8,"Aandacht","Onder norm")))</f>
        <v/>
      </c>
      <c r="F8" s="73" t="inlineStr">
        <is>
          <t>(Vlottende activa -/- voorraad) / kortlopende schulden</t>
        </is>
      </c>
    </row>
    <row r="9">
      <c r="B9" s="60" t="inlineStr">
        <is>
          <t>Solvabiliteit</t>
        </is>
      </c>
      <c r="C9" s="74">
        <f>IFERROR('Balans'!$C$20/'Balans'!$C$25,0)</f>
        <v/>
      </c>
      <c r="D9" s="75">
        <f>'Instellingen'!$D$31</f>
        <v/>
      </c>
      <c r="E9" s="72">
        <f>IF(D9="-","—",IF(C9&gt;=D9,"Goed",IF(C9&gt;=0.9*D9,"Aandacht","Onder norm")))</f>
        <v/>
      </c>
      <c r="F9" s="73" t="inlineStr">
        <is>
          <t>Eigen vermogen / balanstotaal</t>
        </is>
      </c>
    </row>
    <row r="10">
      <c r="B10" s="60" t="inlineStr">
        <is>
          <t>Rentabiliteit eigen vermogen</t>
        </is>
      </c>
      <c r="C10" s="74">
        <f>IFERROR('Resultatenrekening'!$C$21*'Ratios'!$J$3/'Balans'!$C$20,0)</f>
        <v/>
      </c>
      <c r="D10" s="75">
        <f>'Instellingen'!$D$32</f>
        <v/>
      </c>
      <c r="E10" s="72">
        <f>IF(D10="-","—",IF(C10&gt;=D10,"Goed",IF(C10&gt;=0.9*D10,"Aandacht","Onder norm")))</f>
        <v/>
      </c>
      <c r="F10" s="73" t="inlineStr">
        <is>
          <t>Resultaat (geannualiseerd) / eigen vermogen</t>
        </is>
      </c>
    </row>
    <row r="11">
      <c r="B11" s="60" t="inlineStr">
        <is>
          <t>Rentabiliteit totaal vermogen</t>
        </is>
      </c>
      <c r="C11" s="74">
        <f>IFERROR('Resultatenrekening'!$C$19*'Ratios'!$J$3/'Balans'!$C$17,0)</f>
        <v/>
      </c>
      <c r="D11" s="72" t="inlineStr">
        <is>
          <t>-</t>
        </is>
      </c>
      <c r="E11" s="72">
        <f>"—"</f>
        <v/>
      </c>
      <c r="F11" s="73" t="inlineStr">
        <is>
          <t>Bedrijfsresultaat (geann.) / totaal vermogen</t>
        </is>
      </c>
    </row>
    <row r="12">
      <c r="B12" s="60" t="inlineStr">
        <is>
          <t>Brutomarge</t>
        </is>
      </c>
      <c r="C12" s="74">
        <f>'Resultatenrekening'!$C$24</f>
        <v/>
      </c>
      <c r="D12" s="75">
        <f>'Instellingen'!$D$27</f>
        <v/>
      </c>
      <c r="E12" s="72">
        <f>IF(D12="-","—",IF(C12&gt;=D12,"Goed",IF(C12&gt;=0.9*D12,"Aandacht","Onder norm")))</f>
        <v/>
      </c>
      <c r="F12" s="73" t="inlineStr">
        <is>
          <t>Brutowinst / omzet</t>
        </is>
      </c>
    </row>
    <row r="13">
      <c r="B13" s="60" t="inlineStr">
        <is>
          <t>Nettomarge</t>
        </is>
      </c>
      <c r="C13" s="74">
        <f>IFERROR('Resultatenrekening'!$C$21/'Resultatenrekening'!$C$7,0)</f>
        <v/>
      </c>
      <c r="D13" s="75">
        <f>'Instellingen'!$D$28</f>
        <v/>
      </c>
      <c r="E13" s="72">
        <f>IF(D13="-","—",IF(C13&gt;=D13,"Goed",IF(C13&gt;=0.9*D13,"Aandacht","Onder norm")))</f>
        <v/>
      </c>
      <c r="F13" s="73" t="inlineStr">
        <is>
          <t>Resultaat / omzet</t>
        </is>
      </c>
    </row>
    <row r="14">
      <c r="B14" s="60" t="inlineStr">
        <is>
          <t>Voorraadrotatie</t>
        </is>
      </c>
      <c r="C14" s="70">
        <f>IFERROR('Resultatenrekening'!$C$8*'Ratios'!$J$3/(('Balans'!$C$12+'Balans'!$D$12)/2),0)</f>
        <v/>
      </c>
      <c r="D14" s="71">
        <f>'Instellingen'!$D$33</f>
        <v/>
      </c>
      <c r="E14" s="72">
        <f>IF(D14="-","—",IF(C14&gt;=D14,"Goed",IF(C14&gt;=0.9*D14,"Aandacht","Onder norm")))</f>
        <v/>
      </c>
      <c r="F14" s="73" t="inlineStr">
        <is>
          <t>Inkoopwaarde (geann.) / gemiddelde voorraad</t>
        </is>
      </c>
    </row>
    <row r="15">
      <c r="B15" s="60" t="inlineStr">
        <is>
          <t>Omloopsnelheid debiteuren (DSO)</t>
        </is>
      </c>
      <c r="C15" s="76">
        <f>IFERROR('Balans'!$C$13/('Resultatenrekening'!$C$7*'Ratios'!$J$3)*365,0)</f>
        <v/>
      </c>
      <c r="D15" s="77">
        <f>'Instellingen'!$D$34</f>
        <v/>
      </c>
      <c r="E15" s="72">
        <f>IF(D15="-","—",IF(C15&lt;=D15,"Goed",IF(C15&lt;=1.1*D15,"Aandacht","Boven norm")))</f>
        <v/>
      </c>
      <c r="F15" s="73" t="inlineStr">
        <is>
          <t>Debiteuren / omzet × 365 dagen</t>
        </is>
      </c>
    </row>
    <row r="16">
      <c r="B16" s="60" t="inlineStr">
        <is>
          <t>Omloopsnelheid crediteuren (DPO)</t>
        </is>
      </c>
      <c r="C16" s="76">
        <f>IFERROR('Balans'!$C$22/('Resultatenrekening'!$C$8*'Ratios'!$J$3)*365,0)</f>
        <v/>
      </c>
      <c r="D16" s="77">
        <f>'Instellingen'!$D$35</f>
        <v/>
      </c>
      <c r="E16" s="72">
        <f>IF(D16="-","—",IF(C16&lt;=D16,"Goed",IF(C16&lt;=1.1*D16,"Aandacht","Boven norm")))</f>
        <v/>
      </c>
      <c r="F16" s="73" t="inlineStr">
        <is>
          <t>Crediteuren / inkoopwaarde × 365 dagen</t>
        </is>
      </c>
    </row>
    <row r="17">
      <c r="B17" s="60" t="inlineStr">
        <is>
          <t>Werkkapitaal</t>
        </is>
      </c>
      <c r="C17" s="78">
        <f>'Balans'!$C$16-'Balans'!$C$24</f>
        <v/>
      </c>
      <c r="D17" s="79">
        <f>'Instellingen'!$D$36</f>
        <v/>
      </c>
      <c r="E17" s="72">
        <f>IF(D17="-","—",IF(C17&gt;=D17,"Goed",IF(C17&gt;=0.9*D17,"Aandacht","Onder norm")))</f>
        <v/>
      </c>
      <c r="F17" s="73" t="inlineStr">
        <is>
          <t>Vlottende activa -/- kortlopende schulden</t>
        </is>
      </c>
    </row>
    <row r="18">
      <c r="B18" s="60" t="inlineStr">
        <is>
          <t>Cash conversion cycle</t>
        </is>
      </c>
      <c r="C18" s="76">
        <f>C15+IFERROR(365/C14,0)-C16</f>
        <v/>
      </c>
      <c r="D18" s="72" t="inlineStr">
        <is>
          <t>-</t>
        </is>
      </c>
      <c r="E18" s="72">
        <f>IF(D18="-","—",IF(C18&lt;=D18,"Goed",IF(C18&lt;=1.1*D18,"Aandacht","Boven norm")))</f>
        <v/>
      </c>
      <c r="F18" s="73" t="inlineStr">
        <is>
          <t>DSO + voorraaddagen -/- DPO</t>
        </is>
      </c>
    </row>
    <row r="19">
      <c r="B19" s="60" t="inlineStr">
        <is>
          <t>Interest coverage ratio</t>
        </is>
      </c>
      <c r="C19" s="70">
        <f>IFERROR('Resultatenrekening'!$C$19/'Resultatenrekening'!$C$20,0)</f>
        <v/>
      </c>
      <c r="D19" s="71" t="n">
        <v>4</v>
      </c>
      <c r="E19" s="72">
        <f>IF(D19="-","—",IF(C19&gt;=D19,"Goed",IF(C19&gt;=0.9*D19,"Aandacht","Onder norm")))</f>
        <v/>
      </c>
      <c r="F19" s="73" t="inlineStr">
        <is>
          <t>Bedrijfsresultaat / financiële lasten</t>
        </is>
      </c>
    </row>
  </sheetData>
  <mergeCells count="12">
    <mergeCell ref="O2:P2"/>
    <mergeCell ref="M2:N2"/>
    <mergeCell ref="A2:B2"/>
    <mergeCell ref="Q2:R2"/>
    <mergeCell ref="S2:T2"/>
    <mergeCell ref="C2:D2"/>
    <mergeCell ref="U2:V2"/>
    <mergeCell ref="G2:H2"/>
    <mergeCell ref="E2:F2"/>
    <mergeCell ref="A1:V1"/>
    <mergeCell ref="I2:J2"/>
    <mergeCell ref="K2:L2"/>
  </mergeCells>
  <conditionalFormatting sqref="E7">
    <cfRule type="expression" priority="1" dxfId="0">
      <formula>E7="Goed"</formula>
    </cfRule>
    <cfRule type="expression" priority="2" dxfId="1">
      <formula>E7="Aandacht"</formula>
    </cfRule>
    <cfRule type="expression" priority="3" dxfId="2">
      <formula>OR(E7="Onder norm",E7="Boven norm")</formula>
    </cfRule>
  </conditionalFormatting>
  <conditionalFormatting sqref="E8">
    <cfRule type="expression" priority="4" dxfId="0">
      <formula>E8="Goed"</formula>
    </cfRule>
    <cfRule type="expression" priority="5" dxfId="1">
      <formula>E8="Aandacht"</formula>
    </cfRule>
    <cfRule type="expression" priority="6" dxfId="2">
      <formula>OR(E8="Onder norm",E8="Boven norm")</formula>
    </cfRule>
  </conditionalFormatting>
  <conditionalFormatting sqref="E9">
    <cfRule type="expression" priority="7" dxfId="0">
      <formula>E9="Goed"</formula>
    </cfRule>
    <cfRule type="expression" priority="8" dxfId="1">
      <formula>E9="Aandacht"</formula>
    </cfRule>
    <cfRule type="expression" priority="9" dxfId="2">
      <formula>OR(E9="Onder norm",E9="Boven norm")</formula>
    </cfRule>
  </conditionalFormatting>
  <conditionalFormatting sqref="E10">
    <cfRule type="expression" priority="10" dxfId="0">
      <formula>E10="Goed"</formula>
    </cfRule>
    <cfRule type="expression" priority="11" dxfId="1">
      <formula>E10="Aandacht"</formula>
    </cfRule>
    <cfRule type="expression" priority="12" dxfId="2">
      <formula>OR(E10="Onder norm",E10="Boven norm")</formula>
    </cfRule>
  </conditionalFormatting>
  <conditionalFormatting sqref="E11">
    <cfRule type="expression" priority="13" dxfId="0">
      <formula>E11="Goed"</formula>
    </cfRule>
    <cfRule type="expression" priority="14" dxfId="1">
      <formula>E11="Aandacht"</formula>
    </cfRule>
    <cfRule type="expression" priority="15" dxfId="2">
      <formula>OR(E11="Onder norm",E11="Boven norm")</formula>
    </cfRule>
  </conditionalFormatting>
  <conditionalFormatting sqref="E12">
    <cfRule type="expression" priority="16" dxfId="0">
      <formula>E12="Goed"</formula>
    </cfRule>
    <cfRule type="expression" priority="17" dxfId="1">
      <formula>E12="Aandacht"</formula>
    </cfRule>
    <cfRule type="expression" priority="18" dxfId="2">
      <formula>OR(E12="Onder norm",E12="Boven norm")</formula>
    </cfRule>
  </conditionalFormatting>
  <conditionalFormatting sqref="E13">
    <cfRule type="expression" priority="19" dxfId="0">
      <formula>E13="Goed"</formula>
    </cfRule>
    <cfRule type="expression" priority="20" dxfId="1">
      <formula>E13="Aandacht"</formula>
    </cfRule>
    <cfRule type="expression" priority="21" dxfId="2">
      <formula>OR(E13="Onder norm",E13="Boven norm")</formula>
    </cfRule>
  </conditionalFormatting>
  <conditionalFormatting sqref="E14">
    <cfRule type="expression" priority="22" dxfId="0">
      <formula>E14="Goed"</formula>
    </cfRule>
    <cfRule type="expression" priority="23" dxfId="1">
      <formula>E14="Aandacht"</formula>
    </cfRule>
    <cfRule type="expression" priority="24" dxfId="2">
      <formula>OR(E14="Onder norm",E14="Boven norm")</formula>
    </cfRule>
  </conditionalFormatting>
  <conditionalFormatting sqref="E15">
    <cfRule type="expression" priority="25" dxfId="0">
      <formula>E15="Goed"</formula>
    </cfRule>
    <cfRule type="expression" priority="26" dxfId="1">
      <formula>E15="Aandacht"</formula>
    </cfRule>
    <cfRule type="expression" priority="27" dxfId="2">
      <formula>OR(E15="Onder norm",E15="Boven norm")</formula>
    </cfRule>
  </conditionalFormatting>
  <conditionalFormatting sqref="E16">
    <cfRule type="expression" priority="28" dxfId="0">
      <formula>E16="Goed"</formula>
    </cfRule>
    <cfRule type="expression" priority="29" dxfId="1">
      <formula>E16="Aandacht"</formula>
    </cfRule>
    <cfRule type="expression" priority="30" dxfId="2">
      <formula>OR(E16="Onder norm",E16="Boven norm")</formula>
    </cfRule>
  </conditionalFormatting>
  <conditionalFormatting sqref="E17">
    <cfRule type="expression" priority="31" dxfId="0">
      <formula>E17="Goed"</formula>
    </cfRule>
    <cfRule type="expression" priority="32" dxfId="1">
      <formula>E17="Aandacht"</formula>
    </cfRule>
    <cfRule type="expression" priority="33" dxfId="2">
      <formula>OR(E17="Onder norm",E17="Boven norm")</formula>
    </cfRule>
  </conditionalFormatting>
  <conditionalFormatting sqref="E18">
    <cfRule type="expression" priority="34" dxfId="0">
      <formula>E18="Goed"</formula>
    </cfRule>
    <cfRule type="expression" priority="35" dxfId="1">
      <formula>E18="Aandacht"</formula>
    </cfRule>
    <cfRule type="expression" priority="36" dxfId="2">
      <formula>OR(E18="Onder norm",E18="Boven norm")</formula>
    </cfRule>
  </conditionalFormatting>
  <conditionalFormatting sqref="E19">
    <cfRule type="expression" priority="37" dxfId="0">
      <formula>E19="Goed"</formula>
    </cfRule>
    <cfRule type="expression" priority="38" dxfId="1">
      <formula>E19="Aandacht"</formula>
    </cfRule>
    <cfRule type="expression" priority="39" dxfId="2">
      <formula>OR(E19="Onder norm",E19="Boven norm")</formula>
    </cfRule>
  </conditionalFormatting>
  <hyperlinks>
    <hyperlink ref="A2" location="'Start'!A1" display="Start"/>
    <hyperlink ref="C2" location="'Dashboard'!A1" display="Dashboard"/>
    <hyperlink ref="E2" location="'Resultatenrekening'!A1" display="Resultaat"/>
    <hyperlink ref="G2" location="'Balans'!A1" display="Balans"/>
    <hyperlink ref="I2" location="'Ratios'!A1" display="Ratio's"/>
    <hyperlink ref="K2" location="'Debiteuren'!A1" display="Debiteuren"/>
    <hyperlink ref="M2" location="'Crediteuren'!A1" display="Crediteuren"/>
    <hyperlink ref="O2" location="'Voorraad'!A1" display="Voorraad"/>
    <hyperlink ref="Q2" location="'Trendanalyse'!A1" display="Trend"/>
    <hyperlink ref="S2" location="'Signalering'!A1" display="Signalering"/>
    <hyperlink ref="U2" location="'Samenvatting'!A1" display="Samenvatting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0C5F42"/>
    <outlinePr summaryBelow="1" summaryRight="1"/>
    <pageSetUpPr/>
  </sheetPr>
  <dimension ref="A1:V3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22" customWidth="1" min="3" max="3"/>
    <col width="13" customWidth="1" min="4" max="4"/>
    <col width="13" customWidth="1" min="5" max="5"/>
    <col width="15" customWidth="1" min="6" max="6"/>
    <col width="14" customWidth="1" min="7" max="7"/>
    <col width="13" customWidth="1" min="8" max="8"/>
  </cols>
  <sheetData>
    <row r="1" ht="30" customHeight="1">
      <c r="A1" s="14" t="inlineStr">
        <is>
          <t>DEBITEURENANALYSE</t>
        </is>
      </c>
    </row>
    <row r="2" ht="18" customHeight="1">
      <c r="A2" s="15" t="inlineStr">
        <is>
          <t>Start</t>
        </is>
      </c>
      <c r="C2" s="15" t="inlineStr">
        <is>
          <t>Dashboard</t>
        </is>
      </c>
      <c r="E2" s="15" t="inlineStr">
        <is>
          <t>Resultaat</t>
        </is>
      </c>
      <c r="G2" s="15" t="inlineStr">
        <is>
          <t>Balans</t>
        </is>
      </c>
      <c r="I2" s="15" t="inlineStr">
        <is>
          <t>Ratio's</t>
        </is>
      </c>
      <c r="K2" s="15" t="inlineStr">
        <is>
          <t>Debiteuren</t>
        </is>
      </c>
      <c r="M2" s="15" t="inlineStr">
        <is>
          <t>Crediteuren</t>
        </is>
      </c>
      <c r="O2" s="15" t="inlineStr">
        <is>
          <t>Voorraad</t>
        </is>
      </c>
      <c r="Q2" s="15" t="inlineStr">
        <is>
          <t>Trend</t>
        </is>
      </c>
      <c r="S2" s="15" t="inlineStr">
        <is>
          <t>Signalering</t>
        </is>
      </c>
      <c r="U2" s="15" t="inlineStr">
        <is>
          <t>Samenvatting</t>
        </is>
      </c>
    </row>
    <row r="3">
      <c r="A3" s="16" t="inlineStr">
        <is>
          <t>Openstaande posten, ouderdomsanalyse en top-debiteuren. Peildatum = rapportagedatum.</t>
        </is>
      </c>
    </row>
    <row r="5">
      <c r="B5" s="80" t="inlineStr">
        <is>
          <t>Totaal openstaand</t>
        </is>
      </c>
      <c r="E5" s="80" t="inlineStr">
        <is>
          <t>Gem. betalingstermijn (DSO)</t>
        </is>
      </c>
      <c r="H5" s="80" t="inlineStr">
        <is>
          <t>Aantal openstaande posten</t>
        </is>
      </c>
      <c r="K5" s="80" t="inlineStr">
        <is>
          <t>% vervallen</t>
        </is>
      </c>
    </row>
    <row r="6">
      <c r="B6" s="81">
        <f>SUM(F9:F21)</f>
        <v/>
      </c>
      <c r="E6" s="82">
        <f>'Ratios'!$C$15</f>
        <v/>
      </c>
      <c r="H6" s="83">
        <f>COUNT(F9:F21)</f>
        <v/>
      </c>
      <c r="K6" s="84">
        <f>IFERROR(SUMIFS(F9:F21,G9:G21,"&gt;0")/SUM(F9:F21),0)</f>
        <v/>
      </c>
    </row>
    <row r="8">
      <c r="B8" s="55" t="inlineStr">
        <is>
          <t>Factuurnr</t>
        </is>
      </c>
      <c r="C8" s="55" t="inlineStr">
        <is>
          <t>Debiteur</t>
        </is>
      </c>
      <c r="D8" s="55" t="inlineStr">
        <is>
          <t>Factuurdatum</t>
        </is>
      </c>
      <c r="E8" s="55" t="inlineStr">
        <is>
          <t>Vervaldatum</t>
        </is>
      </c>
      <c r="F8" s="38" t="inlineStr">
        <is>
          <t>Openstaand (€)</t>
        </is>
      </c>
      <c r="G8" s="38" t="inlineStr">
        <is>
          <t>Dagen te laat</t>
        </is>
      </c>
      <c r="H8" s="38" t="inlineStr">
        <is>
          <t>Ouderdom</t>
        </is>
      </c>
    </row>
    <row r="9">
      <c r="B9" s="85" t="inlineStr">
        <is>
          <t>2025-1180</t>
        </is>
      </c>
      <c r="C9" s="85" t="inlineStr">
        <is>
          <t>Bouwgroep Jansen BV</t>
        </is>
      </c>
      <c r="D9" s="86" t="n">
        <v>45981</v>
      </c>
      <c r="E9" s="86" t="n">
        <v>46011</v>
      </c>
      <c r="F9" s="87" t="n">
        <v>92000</v>
      </c>
      <c r="G9" s="88">
        <f>'Instellingen'!$D$9-E9</f>
        <v/>
      </c>
      <c r="H9" s="89">
        <f>IF(G9&lt;=0,"Niet vervallen",IF(G9&lt;=30,"1-30 dgn",IF(G9&lt;=60,"31-60 dgn",IF(G9&lt;=90,"61-90 dgn","&gt;90 dgn"))))</f>
        <v/>
      </c>
    </row>
    <row r="10">
      <c r="B10" s="85" t="inlineStr">
        <is>
          <t>2025-1206</t>
        </is>
      </c>
      <c r="C10" s="85" t="inlineStr">
        <is>
          <t>Bouwgroep Jansen BV</t>
        </is>
      </c>
      <c r="D10" s="86" t="n">
        <v>45996</v>
      </c>
      <c r="E10" s="86" t="n">
        <v>46026</v>
      </c>
      <c r="F10" s="87" t="n">
        <v>68000</v>
      </c>
      <c r="G10" s="88">
        <f>'Instellingen'!$D$9-E10</f>
        <v/>
      </c>
      <c r="H10" s="89">
        <f>IF(G10&lt;=0,"Niet vervallen",IF(G10&lt;=30,"1-30 dgn",IF(G10&lt;=60,"31-60 dgn",IF(G10&lt;=90,"61-90 dgn","&gt;90 dgn"))))</f>
        <v/>
      </c>
    </row>
    <row r="11">
      <c r="B11" s="85" t="inlineStr">
        <is>
          <t>2025-1210</t>
        </is>
      </c>
      <c r="C11" s="85" t="inlineStr">
        <is>
          <t>Retail Noord NV</t>
        </is>
      </c>
      <c r="D11" s="86" t="n">
        <v>46001</v>
      </c>
      <c r="E11" s="86" t="n">
        <v>46031</v>
      </c>
      <c r="F11" s="87" t="n">
        <v>74000</v>
      </c>
      <c r="G11" s="88">
        <f>'Instellingen'!$D$9-E11</f>
        <v/>
      </c>
      <c r="H11" s="89">
        <f>IF(G11&lt;=0,"Niet vervallen",IF(G11&lt;=30,"1-30 dgn",IF(G11&lt;=60,"31-60 dgn",IF(G11&lt;=90,"61-90 dgn","&gt;90 dgn"))))</f>
        <v/>
      </c>
    </row>
    <row r="12">
      <c r="B12" s="85" t="inlineStr">
        <is>
          <t>2025-1015</t>
        </is>
      </c>
      <c r="C12" s="85" t="inlineStr">
        <is>
          <t>Retail Noord NV</t>
        </is>
      </c>
      <c r="D12" s="86" t="n">
        <v>45945</v>
      </c>
      <c r="E12" s="86" t="n">
        <v>45975</v>
      </c>
      <c r="F12" s="87" t="n">
        <v>41000</v>
      </c>
      <c r="G12" s="88">
        <f>'Instellingen'!$D$9-E12</f>
        <v/>
      </c>
      <c r="H12" s="89">
        <f>IF(G12&lt;=0,"Niet vervallen",IF(G12&lt;=30,"1-30 dgn",IF(G12&lt;=60,"31-60 dgn",IF(G12&lt;=90,"61-90 dgn","&gt;90 dgn"))))</f>
        <v/>
      </c>
    </row>
    <row r="13">
      <c r="B13" s="85" t="inlineStr">
        <is>
          <t>2025-1201</t>
        </is>
      </c>
      <c r="C13" s="85" t="inlineStr">
        <is>
          <t>TechniPro BV</t>
        </is>
      </c>
      <c r="D13" s="86" t="n">
        <v>45992</v>
      </c>
      <c r="E13" s="86" t="n">
        <v>46022</v>
      </c>
      <c r="F13" s="87" t="n">
        <v>55000</v>
      </c>
      <c r="G13" s="88">
        <f>'Instellingen'!$D$9-E13</f>
        <v/>
      </c>
      <c r="H13" s="89">
        <f>IF(G13&lt;=0,"Niet vervallen",IF(G13&lt;=30,"1-30 dgn",IF(G13&lt;=60,"31-60 dgn",IF(G13&lt;=90,"61-90 dgn","&gt;90 dgn"))))</f>
        <v/>
      </c>
    </row>
    <row r="14">
      <c r="B14" s="85" t="inlineStr">
        <is>
          <t>2025-1101</t>
        </is>
      </c>
      <c r="C14" s="85" t="inlineStr">
        <is>
          <t>TechniPro BV</t>
        </is>
      </c>
      <c r="D14" s="86" t="n">
        <v>45962</v>
      </c>
      <c r="E14" s="86" t="n">
        <v>45992</v>
      </c>
      <c r="F14" s="87" t="n">
        <v>39000</v>
      </c>
      <c r="G14" s="88">
        <f>'Instellingen'!$D$9-E14</f>
        <v/>
      </c>
      <c r="H14" s="89">
        <f>IF(G14&lt;=0,"Niet vervallen",IF(G14&lt;=30,"1-30 dgn",IF(G14&lt;=60,"31-60 dgn",IF(G14&lt;=90,"61-90 dgn","&gt;90 dgn"))))</f>
        <v/>
      </c>
    </row>
    <row r="15">
      <c r="B15" s="85" t="inlineStr">
        <is>
          <t>2025-0920</t>
        </is>
      </c>
      <c r="C15" s="85" t="inlineStr">
        <is>
          <t>De Vries Handel</t>
        </is>
      </c>
      <c r="D15" s="86" t="n">
        <v>45920</v>
      </c>
      <c r="E15" s="86" t="n">
        <v>45950</v>
      </c>
      <c r="F15" s="87" t="n">
        <v>28000</v>
      </c>
      <c r="G15" s="88">
        <f>'Instellingen'!$D$9-E15</f>
        <v/>
      </c>
      <c r="H15" s="89">
        <f>IF(G15&lt;=0,"Niet vervallen",IF(G15&lt;=30,"1-30 dgn",IF(G15&lt;=60,"31-60 dgn",IF(G15&lt;=90,"61-90 dgn","&gt;90 dgn"))))</f>
        <v/>
      </c>
    </row>
    <row r="16">
      <c r="B16" s="85" t="inlineStr">
        <is>
          <t>2025-1218</t>
        </is>
      </c>
      <c r="C16" s="85" t="inlineStr">
        <is>
          <t>De Vries Handel</t>
        </is>
      </c>
      <c r="D16" s="86" t="n">
        <v>46009</v>
      </c>
      <c r="E16" s="86" t="n">
        <v>46039</v>
      </c>
      <c r="F16" s="87" t="n">
        <v>47000</v>
      </c>
      <c r="G16" s="88">
        <f>'Instellingen'!$D$9-E16</f>
        <v/>
      </c>
      <c r="H16" s="89">
        <f>IF(G16&lt;=0,"Niet vervallen",IF(G16&lt;=30,"1-30 dgn",IF(G16&lt;=60,"31-60 dgn",IF(G16&lt;=90,"61-90 dgn","&gt;90 dgn"))))</f>
        <v/>
      </c>
    </row>
    <row r="17">
      <c r="B17" s="85" t="inlineStr">
        <is>
          <t>2025-1212</t>
        </is>
      </c>
      <c r="C17" s="85" t="inlineStr">
        <is>
          <t>Groothandel Zuid</t>
        </is>
      </c>
      <c r="D17" s="86" t="n">
        <v>46003</v>
      </c>
      <c r="E17" s="86" t="n">
        <v>46033</v>
      </c>
      <c r="F17" s="87" t="n">
        <v>63000</v>
      </c>
      <c r="G17" s="88">
        <f>'Instellingen'!$D$9-E17</f>
        <v/>
      </c>
      <c r="H17" s="89">
        <f>IF(G17&lt;=0,"Niet vervallen",IF(G17&lt;=30,"1-30 dgn",IF(G17&lt;=60,"31-60 dgn",IF(G17&lt;=90,"61-90 dgn","&gt;90 dgn"))))</f>
        <v/>
      </c>
    </row>
    <row r="18">
      <c r="B18" s="85" t="inlineStr">
        <is>
          <t>2025-1125</t>
        </is>
      </c>
      <c r="C18" s="85" t="inlineStr">
        <is>
          <t>Groothandel Zuid</t>
        </is>
      </c>
      <c r="D18" s="86" t="n">
        <v>45986</v>
      </c>
      <c r="E18" s="86" t="n">
        <v>46016</v>
      </c>
      <c r="F18" s="87" t="n">
        <v>31000</v>
      </c>
      <c r="G18" s="88">
        <f>'Instellingen'!$D$9-E18</f>
        <v/>
      </c>
      <c r="H18" s="89">
        <f>IF(G18&lt;=0,"Niet vervallen",IF(G18&lt;=30,"1-30 dgn",IF(G18&lt;=60,"31-60 dgn",IF(G18&lt;=90,"61-90 dgn","&gt;90 dgn"))))</f>
        <v/>
      </c>
    </row>
    <row r="19">
      <c r="B19" s="85" t="inlineStr">
        <is>
          <t>2025-0830</t>
        </is>
      </c>
      <c r="C19" s="85" t="inlineStr">
        <is>
          <t>Installatie Kort</t>
        </is>
      </c>
      <c r="D19" s="86" t="n">
        <v>45899</v>
      </c>
      <c r="E19" s="86" t="n">
        <v>45929</v>
      </c>
      <c r="F19" s="87" t="n">
        <v>18000</v>
      </c>
      <c r="G19" s="88">
        <f>'Instellingen'!$D$9-E19</f>
        <v/>
      </c>
      <c r="H19" s="89">
        <f>IF(G19&lt;=0,"Niet vervallen",IF(G19&lt;=30,"1-30 dgn",IF(G19&lt;=60,"31-60 dgn",IF(G19&lt;=90,"61-90 dgn","&gt;90 dgn"))))</f>
        <v/>
      </c>
    </row>
    <row r="20">
      <c r="B20" s="85" t="inlineStr">
        <is>
          <t>2025-1220</t>
        </is>
      </c>
      <c r="C20" s="85" t="inlineStr">
        <is>
          <t>Installatie Kort</t>
        </is>
      </c>
      <c r="D20" s="86" t="n">
        <v>46011</v>
      </c>
      <c r="E20" s="86" t="n">
        <v>46041</v>
      </c>
      <c r="F20" s="87" t="n">
        <v>25000</v>
      </c>
      <c r="G20" s="88">
        <f>'Instellingen'!$D$9-E20</f>
        <v/>
      </c>
      <c r="H20" s="89">
        <f>IF(G20&lt;=0,"Niet vervallen",IF(G20&lt;=30,"1-30 dgn",IF(G20&lt;=60,"31-60 dgn",IF(G20&lt;=90,"61-90 dgn","&gt;90 dgn"))))</f>
        <v/>
      </c>
    </row>
    <row r="21">
      <c r="B21" s="85" t="inlineStr">
        <is>
          <t>2025-1208</t>
        </is>
      </c>
      <c r="C21" s="85" t="inlineStr">
        <is>
          <t>Retail Noord NV</t>
        </is>
      </c>
      <c r="D21" s="86" t="n">
        <v>45999</v>
      </c>
      <c r="E21" s="86" t="n">
        <v>46029</v>
      </c>
      <c r="F21" s="87" t="n">
        <v>29000</v>
      </c>
      <c r="G21" s="88">
        <f>'Instellingen'!$D$9-E21</f>
        <v/>
      </c>
      <c r="H21" s="89">
        <f>IF(G21&lt;=0,"Niet vervallen",IF(G21&lt;=30,"1-30 dgn",IF(G21&lt;=60,"31-60 dgn",IF(G21&lt;=90,"61-90 dgn","&gt;90 dgn"))))</f>
        <v/>
      </c>
    </row>
    <row r="24">
      <c r="B24" s="90" t="inlineStr">
        <is>
          <t>Ouderdomsanalyse</t>
        </is>
      </c>
      <c r="F24" s="90" t="inlineStr">
        <is>
          <t>Top debiteuren</t>
        </is>
      </c>
    </row>
    <row r="25">
      <c r="B25" s="24" t="inlineStr">
        <is>
          <t>Ouderdom</t>
        </is>
      </c>
      <c r="C25" s="24" t="inlineStr">
        <is>
          <t>Bedrag</t>
        </is>
      </c>
      <c r="F25" s="24" t="inlineStr">
        <is>
          <t>Debiteur</t>
        </is>
      </c>
      <c r="G25" s="24" t="inlineStr">
        <is>
          <t>Openstaand</t>
        </is>
      </c>
    </row>
    <row r="26">
      <c r="B26" s="91" t="inlineStr">
        <is>
          <t>Niet vervallen</t>
        </is>
      </c>
      <c r="C26" s="92">
        <f>SUMIFS(F9:F21,G9:G21,"&lt;=0")</f>
        <v/>
      </c>
      <c r="F26" s="91" t="inlineStr">
        <is>
          <t>Bouwgroep Jansen BV</t>
        </is>
      </c>
      <c r="G26" s="92">
        <f>SUMIF(C9:C21,F26,F9:F21)</f>
        <v/>
      </c>
    </row>
    <row r="27">
      <c r="B27" s="91" t="inlineStr">
        <is>
          <t>1-30 dagen</t>
        </is>
      </c>
      <c r="C27" s="92">
        <f>SUMIFS(F9:F21,G9:G21,"&gt;0",G9:G21,"&lt;=30")</f>
        <v/>
      </c>
      <c r="F27" s="91" t="inlineStr">
        <is>
          <t>Retail Noord NV</t>
        </is>
      </c>
      <c r="G27" s="92">
        <f>SUMIF(C9:C21,F27,F9:F21)</f>
        <v/>
      </c>
    </row>
    <row r="28">
      <c r="B28" s="91" t="inlineStr">
        <is>
          <t>31-60 dagen</t>
        </is>
      </c>
      <c r="C28" s="92">
        <f>SUMIFS(F9:F21,G9:G21,"&gt;30",G9:G21,"&lt;=60")</f>
        <v/>
      </c>
      <c r="F28" s="91" t="inlineStr">
        <is>
          <t>TechniPro BV</t>
        </is>
      </c>
      <c r="G28" s="92">
        <f>SUMIF(C9:C21,F28,F9:F21)</f>
        <v/>
      </c>
    </row>
    <row r="29">
      <c r="B29" s="91" t="inlineStr">
        <is>
          <t>61-90 dagen</t>
        </is>
      </c>
      <c r="C29" s="92">
        <f>SUMIFS(F9:F21,G9:G21,"&gt;60",G9:G21,"&lt;=90")</f>
        <v/>
      </c>
      <c r="F29" s="91" t="inlineStr">
        <is>
          <t>De Vries Handel</t>
        </is>
      </c>
      <c r="G29" s="92">
        <f>SUMIF(C9:C21,F29,F9:F21)</f>
        <v/>
      </c>
    </row>
    <row r="30">
      <c r="B30" s="91" t="inlineStr">
        <is>
          <t>&gt; 90 dagen</t>
        </is>
      </c>
      <c r="C30" s="92">
        <f>SUMIFS(F9:F21,G9:G21,"&gt;90")</f>
        <v/>
      </c>
      <c r="F30" s="91" t="inlineStr">
        <is>
          <t>Groothandel Zuid</t>
        </is>
      </c>
      <c r="G30" s="92">
        <f>SUMIF(C9:C21,F30,F9:F21)</f>
        <v/>
      </c>
    </row>
    <row r="31">
      <c r="F31" s="91" t="inlineStr">
        <is>
          <t>Installatie Kort</t>
        </is>
      </c>
      <c r="G31" s="92">
        <f>SUMIF(C9:C21,F31,F9:F21)</f>
        <v/>
      </c>
    </row>
  </sheetData>
  <mergeCells count="21">
    <mergeCell ref="G2:H2"/>
    <mergeCell ref="I2:J2"/>
    <mergeCell ref="E6:G6"/>
    <mergeCell ref="M2:N2"/>
    <mergeCell ref="S2:T2"/>
    <mergeCell ref="U2:V2"/>
    <mergeCell ref="B6:D6"/>
    <mergeCell ref="A2:B2"/>
    <mergeCell ref="B5:D5"/>
    <mergeCell ref="C2:D2"/>
    <mergeCell ref="E2:F2"/>
    <mergeCell ref="A1:V1"/>
    <mergeCell ref="K2:L2"/>
    <mergeCell ref="H5:J5"/>
    <mergeCell ref="K6:M6"/>
    <mergeCell ref="O2:P2"/>
    <mergeCell ref="Q2:R2"/>
    <mergeCell ref="E5:G5"/>
    <mergeCell ref="K5:M5"/>
    <mergeCell ref="A3:V3"/>
    <mergeCell ref="H6:J6"/>
  </mergeCells>
  <hyperlinks>
    <hyperlink ref="A2" location="'Start'!A1" display="Start"/>
    <hyperlink ref="C2" location="'Dashboard'!A1" display="Dashboard"/>
    <hyperlink ref="E2" location="'Resultatenrekening'!A1" display="Resultaat"/>
    <hyperlink ref="G2" location="'Balans'!A1" display="Balans"/>
    <hyperlink ref="I2" location="'Ratios'!A1" display="Ratio's"/>
    <hyperlink ref="K2" location="'Debiteuren'!A1" display="Debiteuren"/>
    <hyperlink ref="M2" location="'Crediteuren'!A1" display="Crediteuren"/>
    <hyperlink ref="O2" location="'Voorraad'!A1" display="Voorraad"/>
    <hyperlink ref="Q2" location="'Trendanalyse'!A1" display="Trend"/>
    <hyperlink ref="S2" location="'Signalering'!A1" display="Signalering"/>
    <hyperlink ref="U2" location="'Samenvatting'!A1" display="Samenvatting"/>
  </hyperlink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tabColor rgb="000C5F42"/>
    <outlinePr summaryBelow="1" summaryRight="1"/>
    <pageSetUpPr/>
  </sheetPr>
  <dimension ref="A1:V2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22" customWidth="1" min="3" max="3"/>
    <col width="13" customWidth="1" min="4" max="4"/>
    <col width="13" customWidth="1" min="5" max="5"/>
    <col width="15" customWidth="1" min="6" max="6"/>
    <col width="15" customWidth="1" min="7" max="7"/>
    <col width="13" customWidth="1" min="8" max="8"/>
  </cols>
  <sheetData>
    <row r="1" ht="30" customHeight="1">
      <c r="A1" s="14" t="inlineStr">
        <is>
          <t>CREDITEURENANALYSE</t>
        </is>
      </c>
    </row>
    <row r="2" ht="18" customHeight="1">
      <c r="A2" s="15" t="inlineStr">
        <is>
          <t>Start</t>
        </is>
      </c>
      <c r="C2" s="15" t="inlineStr">
        <is>
          <t>Dashboard</t>
        </is>
      </c>
      <c r="E2" s="15" t="inlineStr">
        <is>
          <t>Resultaat</t>
        </is>
      </c>
      <c r="G2" s="15" t="inlineStr">
        <is>
          <t>Balans</t>
        </is>
      </c>
      <c r="I2" s="15" t="inlineStr">
        <is>
          <t>Ratio's</t>
        </is>
      </c>
      <c r="K2" s="15" t="inlineStr">
        <is>
          <t>Debiteuren</t>
        </is>
      </c>
      <c r="M2" s="15" t="inlineStr">
        <is>
          <t>Crediteuren</t>
        </is>
      </c>
      <c r="O2" s="15" t="inlineStr">
        <is>
          <t>Voorraad</t>
        </is>
      </c>
      <c r="Q2" s="15" t="inlineStr">
        <is>
          <t>Trend</t>
        </is>
      </c>
      <c r="S2" s="15" t="inlineStr">
        <is>
          <t>Signalering</t>
        </is>
      </c>
      <c r="U2" s="15" t="inlineStr">
        <is>
          <t>Samenvatting</t>
        </is>
      </c>
    </row>
    <row r="3">
      <c r="A3" s="16" t="inlineStr">
        <is>
          <t>Openstaande posten, betaaltermijn en top-crediteuren. Peildatum = rapportagedatum.</t>
        </is>
      </c>
    </row>
    <row r="5">
      <c r="B5" s="80" t="inlineStr">
        <is>
          <t>Totaal openstaand</t>
        </is>
      </c>
      <c r="E5" s="80" t="inlineStr">
        <is>
          <t>Gem. betaaltermijn (DPO)</t>
        </is>
      </c>
      <c r="H5" s="80" t="inlineStr">
        <is>
          <t>Aantal posten</t>
        </is>
      </c>
      <c r="K5" s="80" t="inlineStr">
        <is>
          <t>Grootste crediteur</t>
        </is>
      </c>
    </row>
    <row r="6">
      <c r="B6" s="81">
        <f>SUM(F9:F16)</f>
        <v/>
      </c>
      <c r="E6" s="82">
        <f>'Ratios'!$C$16</f>
        <v/>
      </c>
      <c r="H6" s="83">
        <f>COUNT(F9:F16)</f>
        <v/>
      </c>
      <c r="K6" s="90">
        <f>INDEX(C9:C16,MATCH(MAX(F9:F16),F9:F16,0))</f>
        <v/>
      </c>
    </row>
    <row r="8">
      <c r="B8" s="55" t="inlineStr">
        <is>
          <t>Factuurnr</t>
        </is>
      </c>
      <c r="C8" s="55" t="inlineStr">
        <is>
          <t>Crediteur</t>
        </is>
      </c>
      <c r="D8" s="55" t="inlineStr">
        <is>
          <t>Factuurdatum</t>
        </is>
      </c>
      <c r="E8" s="55" t="inlineStr">
        <is>
          <t>Vervaldatum</t>
        </is>
      </c>
      <c r="F8" s="38" t="inlineStr">
        <is>
          <t>Openstaand (€)</t>
        </is>
      </c>
      <c r="G8" s="38" t="inlineStr">
        <is>
          <t>Dagen tot verval</t>
        </is>
      </c>
      <c r="H8" s="38" t="inlineStr">
        <is>
          <t>Ouderdom</t>
        </is>
      </c>
    </row>
    <row r="9">
      <c r="B9" s="85" t="inlineStr">
        <is>
          <t>INK-2025-401</t>
        </is>
      </c>
      <c r="C9" s="85" t="inlineStr">
        <is>
          <t>Importeur Wong Ltd</t>
        </is>
      </c>
      <c r="D9" s="86" t="n">
        <v>46002</v>
      </c>
      <c r="E9" s="86" t="n">
        <v>46032</v>
      </c>
      <c r="F9" s="87" t="n">
        <v>120000</v>
      </c>
      <c r="G9" s="88">
        <f>E9-'Instellingen'!$D$9</f>
        <v/>
      </c>
      <c r="H9" s="89">
        <f>IF(G9&lt;0,"Vervallen",IF(G9&lt;=15,"0-15 dgn",IF(G9&lt;=30,"16-30 dgn","&gt;30 dgn")))</f>
        <v/>
      </c>
    </row>
    <row r="10">
      <c r="B10" s="85" t="inlineStr">
        <is>
          <t>INK-2025-388</t>
        </is>
      </c>
      <c r="C10" s="85" t="inlineStr">
        <is>
          <t>Importeur Wong Ltd</t>
        </is>
      </c>
      <c r="D10" s="86" t="n">
        <v>45989</v>
      </c>
      <c r="E10" s="86" t="n">
        <v>46019</v>
      </c>
      <c r="F10" s="87" t="n">
        <v>60000</v>
      </c>
      <c r="G10" s="88">
        <f>E10-'Instellingen'!$D$9</f>
        <v/>
      </c>
      <c r="H10" s="89">
        <f>IF(G10&lt;0,"Vervallen",IF(G10&lt;=15,"0-15 dgn",IF(G10&lt;=30,"16-30 dgn","&gt;30 dgn")))</f>
        <v/>
      </c>
    </row>
    <row r="11">
      <c r="B11" s="85" t="inlineStr">
        <is>
          <t>INK-2025-405</t>
        </is>
      </c>
      <c r="C11" s="85" t="inlineStr">
        <is>
          <t>Logistiek Partners BV</t>
        </is>
      </c>
      <c r="D11" s="86" t="n">
        <v>45997</v>
      </c>
      <c r="E11" s="86" t="n">
        <v>46027</v>
      </c>
      <c r="F11" s="87" t="n">
        <v>55000</v>
      </c>
      <c r="G11" s="88">
        <f>E11-'Instellingen'!$D$9</f>
        <v/>
      </c>
      <c r="H11" s="89">
        <f>IF(G11&lt;0,"Vervallen",IF(G11&lt;=15,"0-15 dgn",IF(G11&lt;=30,"16-30 dgn","&gt;30 dgn")))</f>
        <v/>
      </c>
    </row>
    <row r="12">
      <c r="B12" s="85" t="inlineStr">
        <is>
          <t>INK-2025-372</t>
        </is>
      </c>
      <c r="C12" s="85" t="inlineStr">
        <is>
          <t>Logistiek Partners BV</t>
        </is>
      </c>
      <c r="D12" s="86" t="n">
        <v>45976</v>
      </c>
      <c r="E12" s="86" t="n">
        <v>46006</v>
      </c>
      <c r="F12" s="87" t="n">
        <v>38000</v>
      </c>
      <c r="G12" s="88">
        <f>E12-'Instellingen'!$D$9</f>
        <v/>
      </c>
      <c r="H12" s="89">
        <f>IF(G12&lt;0,"Vervallen",IF(G12&lt;=15,"0-15 dgn",IF(G12&lt;=30,"16-30 dgn","&gt;30 dgn")))</f>
        <v/>
      </c>
    </row>
    <row r="13">
      <c r="B13" s="85" t="inlineStr">
        <is>
          <t>INK-2025-410</t>
        </is>
      </c>
      <c r="C13" s="85" t="inlineStr">
        <is>
          <t>Verpakking Totaal</t>
        </is>
      </c>
      <c r="D13" s="86" t="n">
        <v>46007</v>
      </c>
      <c r="E13" s="86" t="n">
        <v>46037</v>
      </c>
      <c r="F13" s="87" t="n">
        <v>47000</v>
      </c>
      <c r="G13" s="88">
        <f>E13-'Instellingen'!$D$9</f>
        <v/>
      </c>
      <c r="H13" s="89">
        <f>IF(G13&lt;0,"Vervallen",IF(G13&lt;=15,"0-15 dgn",IF(G13&lt;=30,"16-30 dgn","&gt;30 dgn")))</f>
        <v/>
      </c>
    </row>
    <row r="14">
      <c r="B14" s="85" t="inlineStr">
        <is>
          <t>INK-2025-360</t>
        </is>
      </c>
      <c r="C14" s="85" t="inlineStr">
        <is>
          <t>Energie Direct</t>
        </is>
      </c>
      <c r="D14" s="86" t="n">
        <v>45981</v>
      </c>
      <c r="E14" s="86" t="n">
        <v>46011</v>
      </c>
      <c r="F14" s="87" t="n">
        <v>22000</v>
      </c>
      <c r="G14" s="88">
        <f>E14-'Instellingen'!$D$9</f>
        <v/>
      </c>
      <c r="H14" s="89">
        <f>IF(G14&lt;0,"Vervallen",IF(G14&lt;=15,"0-15 dgn",IF(G14&lt;=30,"16-30 dgn","&gt;30 dgn")))</f>
        <v/>
      </c>
    </row>
    <row r="15">
      <c r="B15" s="85" t="inlineStr">
        <is>
          <t>INK-2025-408</t>
        </is>
      </c>
      <c r="C15" s="85" t="inlineStr">
        <is>
          <t>Kantoor &amp; Co</t>
        </is>
      </c>
      <c r="D15" s="86" t="n">
        <v>46000</v>
      </c>
      <c r="E15" s="86" t="n">
        <v>46030</v>
      </c>
      <c r="F15" s="87" t="n">
        <v>48000</v>
      </c>
      <c r="G15" s="88">
        <f>E15-'Instellingen'!$D$9</f>
        <v/>
      </c>
      <c r="H15" s="89">
        <f>IF(G15&lt;0,"Vervallen",IF(G15&lt;=15,"0-15 dgn",IF(G15&lt;=30,"16-30 dgn","&gt;30 dgn")))</f>
        <v/>
      </c>
    </row>
    <row r="16">
      <c r="B16" s="85" t="inlineStr">
        <is>
          <t>INK-2025-399</t>
        </is>
      </c>
      <c r="C16" s="85" t="inlineStr">
        <is>
          <t>Verpakking Totaal</t>
        </is>
      </c>
      <c r="D16" s="86" t="n">
        <v>45991</v>
      </c>
      <c r="E16" s="86" t="n">
        <v>46021</v>
      </c>
      <c r="F16" s="87" t="n">
        <v>40000</v>
      </c>
      <c r="G16" s="88">
        <f>E16-'Instellingen'!$D$9</f>
        <v/>
      </c>
      <c r="H16" s="89">
        <f>IF(G16&lt;0,"Vervallen",IF(G16&lt;=15,"0-15 dgn",IF(G16&lt;=30,"16-30 dgn","&gt;30 dgn")))</f>
        <v/>
      </c>
    </row>
    <row r="19">
      <c r="F19" s="90" t="inlineStr">
        <is>
          <t>Top crediteuren</t>
        </is>
      </c>
    </row>
    <row r="20">
      <c r="F20" s="24" t="inlineStr">
        <is>
          <t>Crediteur</t>
        </is>
      </c>
      <c r="G20" s="24" t="inlineStr">
        <is>
          <t>Openstaand</t>
        </is>
      </c>
    </row>
    <row r="21">
      <c r="F21" s="91" t="inlineStr">
        <is>
          <t>Importeur Wong Ltd</t>
        </is>
      </c>
      <c r="G21" s="92">
        <f>SUMIF(C9:C16,F21,F9:F16)</f>
        <v/>
      </c>
    </row>
    <row r="22">
      <c r="F22" s="91" t="inlineStr">
        <is>
          <t>Logistiek Partners BV</t>
        </is>
      </c>
      <c r="G22" s="92">
        <f>SUMIF(C9:C16,F22,F9:F16)</f>
        <v/>
      </c>
    </row>
    <row r="23">
      <c r="F23" s="91" t="inlineStr">
        <is>
          <t>Verpakking Totaal</t>
        </is>
      </c>
      <c r="G23" s="92">
        <f>SUMIF(C9:C16,F23,F9:F16)</f>
        <v/>
      </c>
    </row>
    <row r="24">
      <c r="F24" s="91" t="inlineStr">
        <is>
          <t>Energie Direct</t>
        </is>
      </c>
      <c r="G24" s="92">
        <f>SUMIF(C9:C16,F24,F9:F16)</f>
        <v/>
      </c>
    </row>
    <row r="25">
      <c r="F25" s="91" t="inlineStr">
        <is>
          <t>Kantoor &amp; Co</t>
        </is>
      </c>
      <c r="G25" s="92">
        <f>SUMIF(C9:C16,F25,F9:F16)</f>
        <v/>
      </c>
    </row>
  </sheetData>
  <mergeCells count="21">
    <mergeCell ref="G2:H2"/>
    <mergeCell ref="I2:J2"/>
    <mergeCell ref="E6:G6"/>
    <mergeCell ref="M2:N2"/>
    <mergeCell ref="S2:T2"/>
    <mergeCell ref="U2:V2"/>
    <mergeCell ref="B6:D6"/>
    <mergeCell ref="A2:B2"/>
    <mergeCell ref="B5:D5"/>
    <mergeCell ref="C2:D2"/>
    <mergeCell ref="E2:F2"/>
    <mergeCell ref="A1:V1"/>
    <mergeCell ref="K2:L2"/>
    <mergeCell ref="H5:J5"/>
    <mergeCell ref="K6:M6"/>
    <mergeCell ref="O2:P2"/>
    <mergeCell ref="Q2:R2"/>
    <mergeCell ref="E5:G5"/>
    <mergeCell ref="K5:M5"/>
    <mergeCell ref="A3:V3"/>
    <mergeCell ref="H6:J6"/>
  </mergeCells>
  <hyperlinks>
    <hyperlink ref="A2" location="'Start'!A1" display="Start"/>
    <hyperlink ref="C2" location="'Dashboard'!A1" display="Dashboard"/>
    <hyperlink ref="E2" location="'Resultatenrekening'!A1" display="Resultaat"/>
    <hyperlink ref="G2" location="'Balans'!A1" display="Balans"/>
    <hyperlink ref="I2" location="'Ratios'!A1" display="Ratio's"/>
    <hyperlink ref="K2" location="'Debiteuren'!A1" display="Debiteuren"/>
    <hyperlink ref="M2" location="'Crediteuren'!A1" display="Crediteuren"/>
    <hyperlink ref="O2" location="'Voorraad'!A1" display="Voorraad"/>
    <hyperlink ref="Q2" location="'Trendanalyse'!A1" display="Trend"/>
    <hyperlink ref="S2" location="'Signalering'!A1" display="Signalering"/>
    <hyperlink ref="U2" location="'Samenvatting'!A1" display="Samenvatting"/>
  </hyperlink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tabColor rgb="000C5F42"/>
    <outlinePr summaryBelow="1" summaryRight="1"/>
    <pageSetUpPr/>
  </sheetPr>
  <dimension ref="A1:V2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2" customWidth="1" min="8" max="8"/>
  </cols>
  <sheetData>
    <row r="1" ht="30" customHeight="1">
      <c r="A1" s="14" t="inlineStr">
        <is>
          <t>VOORRAADANALYSE</t>
        </is>
      </c>
    </row>
    <row r="2" ht="18" customHeight="1">
      <c r="A2" s="15" t="inlineStr">
        <is>
          <t>Start</t>
        </is>
      </c>
      <c r="C2" s="15" t="inlineStr">
        <is>
          <t>Dashboard</t>
        </is>
      </c>
      <c r="E2" s="15" t="inlineStr">
        <is>
          <t>Resultaat</t>
        </is>
      </c>
      <c r="G2" s="15" t="inlineStr">
        <is>
          <t>Balans</t>
        </is>
      </c>
      <c r="I2" s="15" t="inlineStr">
        <is>
          <t>Ratio's</t>
        </is>
      </c>
      <c r="K2" s="15" t="inlineStr">
        <is>
          <t>Debiteuren</t>
        </is>
      </c>
      <c r="M2" s="15" t="inlineStr">
        <is>
          <t>Crediteuren</t>
        </is>
      </c>
      <c r="O2" s="15" t="inlineStr">
        <is>
          <t>Voorraad</t>
        </is>
      </c>
      <c r="Q2" s="15" t="inlineStr">
        <is>
          <t>Trend</t>
        </is>
      </c>
      <c r="S2" s="15" t="inlineStr">
        <is>
          <t>Signalering</t>
        </is>
      </c>
      <c r="U2" s="15" t="inlineStr">
        <is>
          <t>Samenvatting</t>
        </is>
      </c>
    </row>
    <row r="3">
      <c r="A3" s="45">
        <f>('Instellingen'!$D$6)&amp;"  ·  voorraadpositie t/m "&amp;('Instellingen'!$D$17)&amp;" "&amp;('Instellingen'!$D$8)</f>
        <v/>
      </c>
    </row>
    <row r="5">
      <c r="B5" s="80" t="inlineStr">
        <is>
          <t>Voorraad (eind)</t>
        </is>
      </c>
      <c r="E5" s="80" t="inlineStr">
        <is>
          <t>Voorraadrotatie</t>
        </is>
      </c>
      <c r="H5" s="80" t="inlineStr">
        <is>
          <t>Voorraaddagen</t>
        </is>
      </c>
      <c r="K5" s="80" t="inlineStr">
        <is>
          <t>Gemiddelde voorraad</t>
        </is>
      </c>
    </row>
    <row r="6">
      <c r="B6" s="81">
        <f>'Balans'!$C$12</f>
        <v/>
      </c>
      <c r="E6" s="93">
        <f>'Ratios'!$C$14</f>
        <v/>
      </c>
      <c r="H6" s="82">
        <f>IFERROR(365/'Ratios'!$C$14,0)</f>
        <v/>
      </c>
      <c r="K6" s="81">
        <f>('Balans'!$C$12+'Balans'!$D$12)/2</f>
        <v/>
      </c>
    </row>
    <row r="24" ht="20" customHeight="1">
      <c r="B24" s="10" t="inlineStr">
        <is>
          <t>Signaleringen voorraad</t>
        </is>
      </c>
    </row>
    <row r="25">
      <c r="B25" s="24" t="inlineStr">
        <is>
          <t>Signaal</t>
        </is>
      </c>
      <c r="D25" s="24" t="inlineStr">
        <is>
          <t>Waarde</t>
        </is>
      </c>
      <c r="E25" s="24" t="inlineStr">
        <is>
          <t>Referentie</t>
        </is>
      </c>
      <c r="F25" s="24" t="inlineStr">
        <is>
          <t>Status</t>
        </is>
      </c>
    </row>
    <row r="26">
      <c r="B26" s="94" t="inlineStr">
        <is>
          <t>Voorraadgroei t.o.v. omzetgroei</t>
        </is>
      </c>
      <c r="D26" s="95">
        <f>IFERROR(('Balans'!$C$12-'Balans'!$D$12)/'Balans'!$D$12,0)</f>
        <v/>
      </c>
      <c r="E26" s="95">
        <f>IFERROR(('Resultatenrekening'!$C$7-'Resultatenrekening'!$D$7)/'Resultatenrekening'!$D$7,0)</f>
        <v/>
      </c>
      <c r="F26" s="96">
        <f>IF(IFERROR(('Balans'!$C$12-'Balans'!$D$12)/'Balans'!$D$12,0)&lt;=IFERROR(('Resultatenrekening'!$C$7-'Resultatenrekening'!$D$7)/'Resultatenrekening'!$D$7,0),"Goed",IF(IFERROR(('Balans'!$C$12-'Balans'!$D$12)/'Balans'!$D$12,0)&lt;=IFERROR(('Resultatenrekening'!$C$7-'Resultatenrekening'!$D$7)/'Resultatenrekening'!$D$7,0)+0.05,"Aandacht","Onder norm"))</f>
        <v/>
      </c>
    </row>
    <row r="27">
      <c r="B27" s="94" t="inlineStr">
        <is>
          <t>Voorraadrotatie t.o.v. norm</t>
        </is>
      </c>
      <c r="D27" s="97">
        <f>'Ratios'!$C$14</f>
        <v/>
      </c>
      <c r="E27" s="97">
        <f>'Instellingen'!$D$33</f>
        <v/>
      </c>
      <c r="F27" s="96">
        <f>IF('Ratios'!$C$14&gt;='Instellingen'!$D$33,"Goed",IF('Ratios'!$C$14&gt;=0.9*'Instellingen'!$D$33,"Aandacht","Onder norm"))</f>
        <v/>
      </c>
    </row>
  </sheetData>
  <mergeCells count="23">
    <mergeCell ref="G2:H2"/>
    <mergeCell ref="I2:J2"/>
    <mergeCell ref="B24:H24"/>
    <mergeCell ref="B27:C27"/>
    <mergeCell ref="E6:G6"/>
    <mergeCell ref="M2:N2"/>
    <mergeCell ref="S2:T2"/>
    <mergeCell ref="U2:V2"/>
    <mergeCell ref="B6:D6"/>
    <mergeCell ref="A2:B2"/>
    <mergeCell ref="B5:D5"/>
    <mergeCell ref="C2:D2"/>
    <mergeCell ref="E2:F2"/>
    <mergeCell ref="A1:V1"/>
    <mergeCell ref="K2:L2"/>
    <mergeCell ref="H5:J5"/>
    <mergeCell ref="K6:M6"/>
    <mergeCell ref="O2:P2"/>
    <mergeCell ref="Q2:R2"/>
    <mergeCell ref="E5:G5"/>
    <mergeCell ref="K5:M5"/>
    <mergeCell ref="B26:C26"/>
    <mergeCell ref="H6:J6"/>
  </mergeCells>
  <conditionalFormatting sqref="F26">
    <cfRule type="expression" priority="1" dxfId="0">
      <formula>F26="Goed"</formula>
    </cfRule>
    <cfRule type="expression" priority="2" dxfId="1">
      <formula>F26="Aandacht"</formula>
    </cfRule>
    <cfRule type="expression" priority="3" dxfId="2">
      <formula>F26="Onder norm"</formula>
    </cfRule>
  </conditionalFormatting>
  <conditionalFormatting sqref="F27">
    <cfRule type="expression" priority="4" dxfId="0">
      <formula>F27="Goed"</formula>
    </cfRule>
    <cfRule type="expression" priority="5" dxfId="1">
      <formula>F27="Aandacht"</formula>
    </cfRule>
    <cfRule type="expression" priority="6" dxfId="2">
      <formula>F27="Onder norm"</formula>
    </cfRule>
  </conditionalFormatting>
  <hyperlinks>
    <hyperlink ref="A2" location="'Start'!A1" display="Start"/>
    <hyperlink ref="C2" location="'Dashboard'!A1" display="Dashboard"/>
    <hyperlink ref="E2" location="'Resultatenrekening'!A1" display="Resultaat"/>
    <hyperlink ref="G2" location="'Balans'!A1" display="Balans"/>
    <hyperlink ref="I2" location="'Ratios'!A1" display="Ratio's"/>
    <hyperlink ref="K2" location="'Debiteuren'!A1" display="Debiteuren"/>
    <hyperlink ref="M2" location="'Crediteuren'!A1" display="Crediteuren"/>
    <hyperlink ref="O2" location="'Voorraad'!A1" display="Voorraad"/>
    <hyperlink ref="Q2" location="'Trendanalyse'!A1" display="Trend"/>
    <hyperlink ref="S2" location="'Signalering'!A1" display="Signalering"/>
    <hyperlink ref="U2" location="'Samenvatting'!A1" display="Samenvatting"/>
  </hyperlink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tabColor rgb="000C5F42"/>
    <outlinePr summaryBelow="1" summaryRight="1"/>
    <pageSetUpPr/>
  </sheetPr>
  <dimension ref="A1:V4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16" customWidth="1" min="3" max="3"/>
    <col width="16" customWidth="1" min="4" max="4"/>
    <col width="13" customWidth="1" min="5" max="5"/>
  </cols>
  <sheetData>
    <row r="1" ht="30" customHeight="1">
      <c r="A1" s="14" t="inlineStr">
        <is>
          <t>TRENDANALYSE</t>
        </is>
      </c>
    </row>
    <row r="2" ht="18" customHeight="1">
      <c r="A2" s="15" t="inlineStr">
        <is>
          <t>Start</t>
        </is>
      </c>
      <c r="C2" s="15" t="inlineStr">
        <is>
          <t>Dashboard</t>
        </is>
      </c>
      <c r="E2" s="15" t="inlineStr">
        <is>
          <t>Resultaat</t>
        </is>
      </c>
      <c r="G2" s="15" t="inlineStr">
        <is>
          <t>Balans</t>
        </is>
      </c>
      <c r="I2" s="15" t="inlineStr">
        <is>
          <t>Ratio's</t>
        </is>
      </c>
      <c r="K2" s="15" t="inlineStr">
        <is>
          <t>Debiteuren</t>
        </is>
      </c>
      <c r="M2" s="15" t="inlineStr">
        <is>
          <t>Crediteuren</t>
        </is>
      </c>
      <c r="O2" s="15" t="inlineStr">
        <is>
          <t>Voorraad</t>
        </is>
      </c>
      <c r="Q2" s="15" t="inlineStr">
        <is>
          <t>Trend</t>
        </is>
      </c>
      <c r="S2" s="15" t="inlineStr">
        <is>
          <t>Signalering</t>
        </is>
      </c>
      <c r="U2" s="15" t="inlineStr">
        <is>
          <t>Samenvatting</t>
        </is>
      </c>
    </row>
    <row r="3">
      <c r="A3" s="16" t="inlineStr">
        <is>
          <t>Ontwikkeling over 24 maanden (2 boekjaren). Uitbreidbaar naar 36 maanden zodra meer historie in Brondata staat.</t>
        </is>
      </c>
    </row>
    <row r="35" ht="20" customHeight="1">
      <c r="B35" s="10" t="inlineStr">
        <is>
          <t>Jaarvergelijking (t/m geselecteerde periode)</t>
        </is>
      </c>
    </row>
    <row r="36">
      <c r="B36" s="24" t="inlineStr">
        <is>
          <t>Kengetal</t>
        </is>
      </c>
      <c r="C36" s="98">
        <f>'Instellingen'!$D$8</f>
        <v/>
      </c>
      <c r="D36" s="98">
        <f>'Instellingen'!$D$12</f>
        <v/>
      </c>
      <c r="E36" s="24" t="inlineStr">
        <is>
          <t>Verschil %</t>
        </is>
      </c>
    </row>
    <row r="37">
      <c r="B37" s="99" t="inlineStr">
        <is>
          <t>Omzet</t>
        </is>
      </c>
      <c r="C37" s="100">
        <f>'Resultatenrekening'!$C$7</f>
        <v/>
      </c>
      <c r="D37" s="61">
        <f>'Resultatenrekening'!$D$7</f>
        <v/>
      </c>
      <c r="E37" s="101">
        <f>IFERROR((C37-D37)/ABS(D37),0)</f>
        <v/>
      </c>
    </row>
    <row r="38">
      <c r="B38" s="99" t="inlineStr">
        <is>
          <t>Brutowinst</t>
        </is>
      </c>
      <c r="C38" s="100">
        <f>'Resultatenrekening'!$C$9</f>
        <v/>
      </c>
      <c r="D38" s="61">
        <f>'Resultatenrekening'!$D$9</f>
        <v/>
      </c>
      <c r="E38" s="101">
        <f>IFERROR((C38-D38)/ABS(D38),0)</f>
        <v/>
      </c>
    </row>
    <row r="39">
      <c r="B39" s="99" t="inlineStr">
        <is>
          <t>Bedrijfsresultaat</t>
        </is>
      </c>
      <c r="C39" s="100">
        <f>'Resultatenrekening'!$C$19</f>
        <v/>
      </c>
      <c r="D39" s="61">
        <f>'Resultatenrekening'!$D$19</f>
        <v/>
      </c>
      <c r="E39" s="101">
        <f>IFERROR((C39-D39)/ABS(D39),0)</f>
        <v/>
      </c>
    </row>
    <row r="40">
      <c r="B40" s="99" t="inlineStr">
        <is>
          <t>Resultaat</t>
        </is>
      </c>
      <c r="C40" s="100">
        <f>'Resultatenrekening'!$C$21</f>
        <v/>
      </c>
      <c r="D40" s="61">
        <f>'Resultatenrekening'!$D$21</f>
        <v/>
      </c>
      <c r="E40" s="101">
        <f>IFERROR((C40-D40)/ABS(D40),0)</f>
        <v/>
      </c>
    </row>
    <row r="41">
      <c r="B41" s="99" t="inlineStr">
        <is>
          <t>Liquide middelen</t>
        </is>
      </c>
      <c r="C41" s="100">
        <f>'Balans'!$C$15</f>
        <v/>
      </c>
      <c r="D41" s="61">
        <f>'Balans'!$D$15</f>
        <v/>
      </c>
      <c r="E41" s="101">
        <f>IFERROR((C41-D41)/ABS(D41),0)</f>
        <v/>
      </c>
    </row>
    <row r="42">
      <c r="B42" s="99" t="inlineStr">
        <is>
          <t>Eigen vermogen</t>
        </is>
      </c>
      <c r="C42" s="100">
        <f>'Balans'!$C$20</f>
        <v/>
      </c>
      <c r="D42" s="61">
        <f>'Balans'!$D$20</f>
        <v/>
      </c>
      <c r="E42" s="101">
        <f>IFERROR((C42-D42)/ABS(D42),0)</f>
        <v/>
      </c>
    </row>
  </sheetData>
  <mergeCells count="14">
    <mergeCell ref="O2:P2"/>
    <mergeCell ref="M2:N2"/>
    <mergeCell ref="A2:B2"/>
    <mergeCell ref="Q2:R2"/>
    <mergeCell ref="S2:T2"/>
    <mergeCell ref="C2:D2"/>
    <mergeCell ref="U2:V2"/>
    <mergeCell ref="G2:H2"/>
    <mergeCell ref="E2:F2"/>
    <mergeCell ref="A1:V1"/>
    <mergeCell ref="I2:J2"/>
    <mergeCell ref="K2:L2"/>
    <mergeCell ref="B35:E35"/>
    <mergeCell ref="A3:V3"/>
  </mergeCells>
  <hyperlinks>
    <hyperlink ref="A2" location="'Start'!A1" display="Start"/>
    <hyperlink ref="C2" location="'Dashboard'!A1" display="Dashboard"/>
    <hyperlink ref="E2" location="'Resultatenrekening'!A1" display="Resultaat"/>
    <hyperlink ref="G2" location="'Balans'!A1" display="Balans"/>
    <hyperlink ref="I2" location="'Ratios'!A1" display="Ratio's"/>
    <hyperlink ref="K2" location="'Debiteuren'!A1" display="Debiteuren"/>
    <hyperlink ref="M2" location="'Crediteuren'!A1" display="Crediteuren"/>
    <hyperlink ref="O2" location="'Voorraad'!A1" display="Voorraad"/>
    <hyperlink ref="Q2" location="'Trendanalyse'!A1" display="Trend"/>
    <hyperlink ref="S2" location="'Signalering'!A1" display="Signalering"/>
    <hyperlink ref="U2" location="'Samenvatting'!A1" display="Samenvatting"/>
  </hyperlink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tabColor rgb="001CE175"/>
    <outlinePr summaryBelow="1" summaryRight="1"/>
    <pageSetUpPr/>
  </sheetPr>
  <dimension ref="A1:V1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6" customWidth="1" min="3" max="3"/>
    <col width="14" customWidth="1" min="4" max="4"/>
    <col width="16" customWidth="1" min="5" max="5"/>
    <col width="44" customWidth="1" min="6" max="6"/>
  </cols>
  <sheetData>
    <row r="1" ht="30" customHeight="1">
      <c r="A1" s="14" t="inlineStr">
        <is>
          <t>SIGNALERINGSDASHBOARD</t>
        </is>
      </c>
    </row>
    <row r="2" ht="18" customHeight="1">
      <c r="A2" s="15" t="inlineStr">
        <is>
          <t>Start</t>
        </is>
      </c>
      <c r="C2" s="15" t="inlineStr">
        <is>
          <t>Dashboard</t>
        </is>
      </c>
      <c r="E2" s="15" t="inlineStr">
        <is>
          <t>Resultaat</t>
        </is>
      </c>
      <c r="G2" s="15" t="inlineStr">
        <is>
          <t>Balans</t>
        </is>
      </c>
      <c r="I2" s="15" t="inlineStr">
        <is>
          <t>Ratio's</t>
        </is>
      </c>
      <c r="K2" s="15" t="inlineStr">
        <is>
          <t>Debiteuren</t>
        </is>
      </c>
      <c r="M2" s="15" t="inlineStr">
        <is>
          <t>Crediteuren</t>
        </is>
      </c>
      <c r="O2" s="15" t="inlineStr">
        <is>
          <t>Voorraad</t>
        </is>
      </c>
      <c r="Q2" s="15" t="inlineStr">
        <is>
          <t>Trend</t>
        </is>
      </c>
      <c r="S2" s="15" t="inlineStr">
        <is>
          <t>Signalering</t>
        </is>
      </c>
      <c r="U2" s="15" t="inlineStr">
        <is>
          <t>Samenvatting</t>
        </is>
      </c>
    </row>
    <row r="3">
      <c r="A3" s="16" t="inlineStr">
        <is>
          <t>Automatische waarschuwingen op basis van de normeringen (Instellingen).</t>
        </is>
      </c>
    </row>
    <row r="6">
      <c r="B6" s="55" t="inlineStr">
        <is>
          <t>Signaal</t>
        </is>
      </c>
      <c r="C6" s="38" t="inlineStr">
        <is>
          <t>Waarde</t>
        </is>
      </c>
      <c r="D6" s="38" t="inlineStr">
        <is>
          <t>Norm</t>
        </is>
      </c>
      <c r="E6" s="38" t="inlineStr">
        <is>
          <t>Status</t>
        </is>
      </c>
      <c r="F6" s="55" t="inlineStr">
        <is>
          <t>Advies</t>
        </is>
      </c>
    </row>
    <row r="7">
      <c r="B7" s="99" t="inlineStr">
        <is>
          <t>Brutomarge onder norm</t>
        </is>
      </c>
      <c r="C7" s="75">
        <f>'Ratios'!$C$12</f>
        <v/>
      </c>
      <c r="D7" s="75">
        <f>'Ratios'!$D$12</f>
        <v/>
      </c>
      <c r="E7" s="72">
        <f>IF('Ratios'!$E$12="Goed","✓  In orde",IF('Ratios'!$E$12="Aandacht","!  Let op","✗  Kritiek"))</f>
        <v/>
      </c>
      <c r="F7" s="102" t="inlineStr">
        <is>
          <t>Bewaak inkoopprijzen en verkoopmarges.</t>
        </is>
      </c>
    </row>
    <row r="8">
      <c r="B8" s="99" t="inlineStr">
        <is>
          <t>Nettomarge onder norm</t>
        </is>
      </c>
      <c r="C8" s="75">
        <f>'Ratios'!$C$13</f>
        <v/>
      </c>
      <c r="D8" s="75">
        <f>'Ratios'!$D$13</f>
        <v/>
      </c>
      <c r="E8" s="72">
        <f>IF('Ratios'!$E$13="Goed","✓  In orde",IF('Ratios'!$E$13="Aandacht","!  Let op","✗  Kritiek"))</f>
        <v/>
      </c>
      <c r="F8" s="102" t="inlineStr">
        <is>
          <t>Analyseer kostenstructuur en prijszetting.</t>
        </is>
      </c>
    </row>
    <row r="9">
      <c r="B9" s="99" t="inlineStr">
        <is>
          <t>Solvabiliteit onvoldoende</t>
        </is>
      </c>
      <c r="C9" s="75">
        <f>'Ratios'!$C$9</f>
        <v/>
      </c>
      <c r="D9" s="75">
        <f>'Ratios'!$D$9</f>
        <v/>
      </c>
      <c r="E9" s="72">
        <f>IF('Ratios'!$E$9="Goed","✓  In orde",IF('Ratios'!$E$9="Aandacht","!  Let op","✗  Kritiek"))</f>
        <v/>
      </c>
      <c r="F9" s="102" t="inlineStr">
        <is>
          <t>Versterk eigen vermogen of los schulden af.</t>
        </is>
      </c>
    </row>
    <row r="10">
      <c r="B10" s="99" t="inlineStr">
        <is>
          <t>Liquiditeit (current ratio) laag</t>
        </is>
      </c>
      <c r="C10" s="71">
        <f>'Ratios'!$C$7</f>
        <v/>
      </c>
      <c r="D10" s="71">
        <f>'Ratios'!$D$7</f>
        <v/>
      </c>
      <c r="E10" s="72">
        <f>IF('Ratios'!$E$7="Goed","✓  In orde",IF('Ratios'!$E$7="Aandacht","!  Let op","✗  Kritiek"))</f>
        <v/>
      </c>
      <c r="F10" s="102" t="inlineStr">
        <is>
          <t>Bewaak werkkapitaal en betaalgedrag.</t>
        </is>
      </c>
    </row>
    <row r="11">
      <c r="B11" s="99" t="inlineStr">
        <is>
          <t>Werkkapitaal onder norm</t>
        </is>
      </c>
      <c r="C11" s="79">
        <f>'Ratios'!$C$17</f>
        <v/>
      </c>
      <c r="D11" s="79">
        <f>'Ratios'!$D$17</f>
        <v/>
      </c>
      <c r="E11" s="72">
        <f>IF('Ratios'!$E$17="Goed","✓  In orde",IF('Ratios'!$E$17="Aandacht","!  Let op","✗  Kritiek"))</f>
        <v/>
      </c>
      <c r="F11" s="102" t="inlineStr">
        <is>
          <t>Stuur op voorraden, debiteuren en crediteuren.</t>
        </is>
      </c>
    </row>
    <row r="12">
      <c r="B12" s="99" t="inlineStr">
        <is>
          <t>Debiteurentermijn te hoog</t>
        </is>
      </c>
      <c r="C12" s="77">
        <f>'Ratios'!$C$15</f>
        <v/>
      </c>
      <c r="D12" s="77">
        <f>'Ratios'!$D$15</f>
        <v/>
      </c>
      <c r="E12" s="72">
        <f>IF('Ratios'!$E$15="Goed","✓  In orde",IF('Ratios'!$E$15="Aandacht","!  Let op","✗  Kritiek"))</f>
        <v/>
      </c>
      <c r="F12" s="102" t="inlineStr">
        <is>
          <t>Verscherp debiteurenbeheer en aanmaningen.</t>
        </is>
      </c>
    </row>
    <row r="13">
      <c r="B13" s="99" t="inlineStr">
        <is>
          <t>Voorraadrotatie te laag</t>
        </is>
      </c>
      <c r="C13" s="71">
        <f>'Ratios'!$C$14</f>
        <v/>
      </c>
      <c r="D13" s="71">
        <f>'Ratios'!$D$14</f>
        <v/>
      </c>
      <c r="E13" s="72">
        <f>IF('Ratios'!$E$14="Goed","✓  In orde",IF('Ratios'!$E$14="Aandacht","!  Let op","✗  Kritiek"))</f>
        <v/>
      </c>
      <c r="F13" s="102" t="inlineStr">
        <is>
          <t>Verlaag incourante voorraad, verbeter inkoop.</t>
        </is>
      </c>
    </row>
    <row r="16">
      <c r="B16" s="13" t="inlineStr">
        <is>
          <t>Legenda:  ✓ In orde   ·   ! Let op (binnen 10% van norm)   ·   ✗ Kritiek (buiten norm)</t>
        </is>
      </c>
    </row>
  </sheetData>
  <mergeCells count="13">
    <mergeCell ref="O2:P2"/>
    <mergeCell ref="M2:N2"/>
    <mergeCell ref="A2:B2"/>
    <mergeCell ref="Q2:R2"/>
    <mergeCell ref="S2:T2"/>
    <mergeCell ref="C2:D2"/>
    <mergeCell ref="U2:V2"/>
    <mergeCell ref="G2:H2"/>
    <mergeCell ref="E2:F2"/>
    <mergeCell ref="A1:V1"/>
    <mergeCell ref="I2:J2"/>
    <mergeCell ref="K2:L2"/>
    <mergeCell ref="A3:V3"/>
  </mergeCells>
  <conditionalFormatting sqref="E7">
    <cfRule type="expression" priority="1" dxfId="0">
      <formula>LEFT(E7,1)="✓"</formula>
    </cfRule>
    <cfRule type="expression" priority="2" dxfId="1">
      <formula>LEFT(E7,1)="!"</formula>
    </cfRule>
    <cfRule type="expression" priority="3" dxfId="2">
      <formula>LEFT(E7,1)="✗"</formula>
    </cfRule>
  </conditionalFormatting>
  <conditionalFormatting sqref="E8">
    <cfRule type="expression" priority="4" dxfId="0">
      <formula>LEFT(E8,1)="✓"</formula>
    </cfRule>
    <cfRule type="expression" priority="5" dxfId="1">
      <formula>LEFT(E8,1)="!"</formula>
    </cfRule>
    <cfRule type="expression" priority="6" dxfId="2">
      <formula>LEFT(E8,1)="✗"</formula>
    </cfRule>
  </conditionalFormatting>
  <conditionalFormatting sqref="E9">
    <cfRule type="expression" priority="7" dxfId="0">
      <formula>LEFT(E9,1)="✓"</formula>
    </cfRule>
    <cfRule type="expression" priority="8" dxfId="1">
      <formula>LEFT(E9,1)="!"</formula>
    </cfRule>
    <cfRule type="expression" priority="9" dxfId="2">
      <formula>LEFT(E9,1)="✗"</formula>
    </cfRule>
  </conditionalFormatting>
  <conditionalFormatting sqref="E10">
    <cfRule type="expression" priority="10" dxfId="0">
      <formula>LEFT(E10,1)="✓"</formula>
    </cfRule>
    <cfRule type="expression" priority="11" dxfId="1">
      <formula>LEFT(E10,1)="!"</formula>
    </cfRule>
    <cfRule type="expression" priority="12" dxfId="2">
      <formula>LEFT(E10,1)="✗"</formula>
    </cfRule>
  </conditionalFormatting>
  <conditionalFormatting sqref="E11">
    <cfRule type="expression" priority="13" dxfId="0">
      <formula>LEFT(E11,1)="✓"</formula>
    </cfRule>
    <cfRule type="expression" priority="14" dxfId="1">
      <formula>LEFT(E11,1)="!"</formula>
    </cfRule>
    <cfRule type="expression" priority="15" dxfId="2">
      <formula>LEFT(E11,1)="✗"</formula>
    </cfRule>
  </conditionalFormatting>
  <conditionalFormatting sqref="E12">
    <cfRule type="expression" priority="16" dxfId="0">
      <formula>LEFT(E12,1)="✓"</formula>
    </cfRule>
    <cfRule type="expression" priority="17" dxfId="1">
      <formula>LEFT(E12,1)="!"</formula>
    </cfRule>
    <cfRule type="expression" priority="18" dxfId="2">
      <formula>LEFT(E12,1)="✗"</formula>
    </cfRule>
  </conditionalFormatting>
  <conditionalFormatting sqref="E13">
    <cfRule type="expression" priority="19" dxfId="0">
      <formula>LEFT(E13,1)="✓"</formula>
    </cfRule>
    <cfRule type="expression" priority="20" dxfId="1">
      <formula>LEFT(E13,1)="!"</formula>
    </cfRule>
    <cfRule type="expression" priority="21" dxfId="2">
      <formula>LEFT(E13,1)="✗"</formula>
    </cfRule>
  </conditionalFormatting>
  <hyperlinks>
    <hyperlink ref="A2" location="'Start'!A1" display="Start"/>
    <hyperlink ref="C2" location="'Dashboard'!A1" display="Dashboard"/>
    <hyperlink ref="E2" location="'Resultatenrekening'!A1" display="Resultaat"/>
    <hyperlink ref="G2" location="'Balans'!A1" display="Balans"/>
    <hyperlink ref="I2" location="'Ratios'!A1" display="Ratio's"/>
    <hyperlink ref="K2" location="'Debiteuren'!A1" display="Debiteuren"/>
    <hyperlink ref="M2" location="'Crediteuren'!A1" display="Crediteuren"/>
    <hyperlink ref="O2" location="'Voorraad'!A1" display="Voorraad"/>
    <hyperlink ref="Q2" location="'Trendanalyse'!A1" display="Trend"/>
    <hyperlink ref="S2" location="'Signalering'!A1" display="Signalering"/>
    <hyperlink ref="U2" location="'Samenvatting'!A1" display="Samenvatting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0C5F42"/>
    <outlinePr summaryBelow="1" summaryRight="1"/>
    <pageSetUpPr/>
  </sheetPr>
  <dimension ref="A1:V26"/>
  <sheetViews>
    <sheetView showGridLines="0" workbookViewId="0">
      <selection activeCell="A1" sqref="A1"/>
    </sheetView>
  </sheetViews>
  <sheetFormatPr baseColWidth="8" defaultRowHeight="15"/>
  <cols>
    <col width="2" customWidth="1" min="1" max="1"/>
  </cols>
  <sheetData>
    <row r="1" ht="30" customHeight="1">
      <c r="A1" s="14" t="inlineStr">
        <is>
          <t>MANAGEMENTSAMENVATTING</t>
        </is>
      </c>
    </row>
    <row r="2" ht="18" customHeight="1">
      <c r="A2" s="15" t="inlineStr">
        <is>
          <t>Start</t>
        </is>
      </c>
      <c r="C2" s="15" t="inlineStr">
        <is>
          <t>Dashboard</t>
        </is>
      </c>
      <c r="E2" s="15" t="inlineStr">
        <is>
          <t>Resultaat</t>
        </is>
      </c>
      <c r="G2" s="15" t="inlineStr">
        <is>
          <t>Balans</t>
        </is>
      </c>
      <c r="I2" s="15" t="inlineStr">
        <is>
          <t>Ratio's</t>
        </is>
      </c>
      <c r="K2" s="15" t="inlineStr">
        <is>
          <t>Debiteuren</t>
        </is>
      </c>
      <c r="M2" s="15" t="inlineStr">
        <is>
          <t>Crediteuren</t>
        </is>
      </c>
      <c r="O2" s="15" t="inlineStr">
        <is>
          <t>Voorraad</t>
        </is>
      </c>
      <c r="Q2" s="15" t="inlineStr">
        <is>
          <t>Trend</t>
        </is>
      </c>
      <c r="S2" s="15" t="inlineStr">
        <is>
          <t>Signalering</t>
        </is>
      </c>
      <c r="U2" s="15" t="inlineStr">
        <is>
          <t>Samenvatting</t>
        </is>
      </c>
    </row>
    <row r="3">
      <c r="A3" s="16" t="inlineStr">
        <is>
          <t>Automatisch gegenereerd op basis van de cijfers. Bespreekklaar voor het adviesgesprek.</t>
        </is>
      </c>
    </row>
    <row r="5" ht="20" customHeight="1">
      <c r="B5" s="10" t="inlineStr">
        <is>
          <t>Kerncijfers</t>
        </is>
      </c>
    </row>
    <row r="6" ht="32" customHeight="1">
      <c r="B6" s="103">
        <f>"De omzet t/m de geselecteerde periode bedraagt "&amp;TEXT('Resultatenrekening'!$C$7,"€ #,##0")&amp;" ("&amp;TEXT(IFERROR(('Resultatenrekening'!$C$7-'Resultatenrekening'!$D$7)/'Resultatenrekening'!$D$7,0),"+0.0%;-0.0%")&amp;" t.o.v. vorig jaar). De brutomarge is "&amp;TEXT('Resultatenrekening'!$C$24,"0.0%")&amp;" en het resultaat "&amp;TEXT('Resultatenrekening'!$C$21,"€ #,##0")&amp;"."</f>
        <v/>
      </c>
    </row>
    <row r="7" ht="32" customHeight="1">
      <c r="B7" s="103">
        <f>"Het eigen vermogen bedraagt "&amp;TEXT('Balans'!$C$20,"€ #,##0")&amp;" (solvabiliteit "&amp;TEXT(IFERROR('Balans'!$C$20/'Balans'!$C$25,0),"0.0%")&amp;"), de current ratio is "&amp;TEXT(IFERROR('Balans'!$C$16/'Balans'!$C$24,0),"0.00")&amp;" en het werkkapitaal "&amp;TEXT('Balans'!$C$16-'Balans'!$C$24,"€ #,##0")&amp;"."</f>
        <v/>
      </c>
    </row>
    <row r="9" ht="20" customHeight="1">
      <c r="B9" s="10" t="inlineStr">
        <is>
          <t>Sterke punten</t>
        </is>
      </c>
    </row>
    <row r="10">
      <c r="B10" s="103">
        <f>IF('Resultatenrekening'!$C$24&gt;='Instellingen'!$D$27,"•  "&amp;"Brutomarge boven norm ("&amp;TEXT('Resultatenrekening'!$C$24,"0.0%")&amp;").","")</f>
        <v/>
      </c>
    </row>
    <row r="11">
      <c r="B11" s="103">
        <f>IF(IFERROR('Balans'!$C$20/'Balans'!$C$25,0)&gt;='Instellingen'!$D$31,"•  "&amp;"Solvabiliteit gezond ("&amp;TEXT(IFERROR('Balans'!$C$20/'Balans'!$C$25,0),"0.0%")&amp;").","")</f>
        <v/>
      </c>
    </row>
    <row r="12">
      <c r="B12" s="103">
        <f>IF(IFERROR('Balans'!$C$16/'Balans'!$C$24,0)&gt;='Instellingen'!$D$29,"•  "&amp;"Voldoende liquiditeit (current ratio "&amp;TEXT(IFERROR('Balans'!$C$16/'Balans'!$C$24,0),"0.00")&amp;").","")</f>
        <v/>
      </c>
    </row>
    <row r="13">
      <c r="B13" s="103">
        <f>IF('Resultatenrekening'!$C$7&gt;='Resultatenrekening'!$D$7,"•  "&amp;"Omzetgroei t.o.v. vorig jaar ("&amp;TEXT(IFERROR(('Resultatenrekening'!$C$7-'Resultatenrekening'!$D$7)/'Resultatenrekening'!$D$7,0),"+0.0%")&amp;").","")</f>
        <v/>
      </c>
    </row>
    <row r="15" ht="20" customHeight="1">
      <c r="B15" s="10" t="inlineStr">
        <is>
          <t>Risico's en aandachtspunten</t>
        </is>
      </c>
    </row>
    <row r="16">
      <c r="B16" s="103">
        <f>IF('Resultatenrekening'!$C$24&lt;'Instellingen'!$D$27,"•  "&amp;"Brutomarge onder norm ("&amp;TEXT('Resultatenrekening'!$C$24,"0.0%")&amp;" &lt; "&amp;TEXT('Instellingen'!$D$27,"0.0%")&amp;").","")</f>
        <v/>
      </c>
    </row>
    <row r="17">
      <c r="B17" s="103">
        <f>IF(IFERROR('Balans'!$C$20/'Balans'!$C$25,0)&lt;'Instellingen'!$D$31,"•  "&amp;"Solvabiliteit onder norm.","")</f>
        <v/>
      </c>
    </row>
    <row r="18">
      <c r="B18" s="103">
        <f>IF(IFERROR('Balans'!$C$16/'Balans'!$C$24,0)&lt;'Instellingen'!$D$29,"•  "&amp;"Current ratio onder norm ("&amp;TEXT(IFERROR('Balans'!$C$16/'Balans'!$C$24,0),"0.00")&amp;").","")</f>
        <v/>
      </c>
    </row>
    <row r="19">
      <c r="B19" s="103">
        <f>IF(IFERROR('Balans'!$C$13/('Resultatenrekening'!$C$7*'Ratios'!$J$3)*365,0)&gt;'Instellingen'!$D$34,"•  "&amp;"Debiteurentermijn te hoog ("&amp;TEXT(IFERROR('Balans'!$C$13/('Resultatenrekening'!$C$7*'Ratios'!$J$3)*365,0),"0")&amp;" dagen).","")</f>
        <v/>
      </c>
    </row>
    <row r="20">
      <c r="B20" s="103">
        <f>IF(IFERROR(('Balans'!$C$12-'Balans'!$D$12)/'Balans'!$D$12,0)&gt;IFERROR(('Resultatenrekening'!$C$7-'Resultatenrekening'!$D$7)/'Resultatenrekening'!$D$7,0),"•  "&amp;"Voorraad groeit sneller dan de omzet.","")</f>
        <v/>
      </c>
    </row>
    <row r="22" ht="20" customHeight="1">
      <c r="B22" s="10" t="inlineStr">
        <is>
          <t>Adviespunten accountant</t>
        </is>
      </c>
    </row>
    <row r="23">
      <c r="B23" s="103" t="inlineStr">
        <is>
          <t>"•  Bespreek marge-ontwikkeling en kostenbeheersing met de ondernemer."</t>
        </is>
      </c>
    </row>
    <row r="24">
      <c r="B24" s="103">
        <f>IF(IFERROR('Balans'!$C$13/('Resultatenrekening'!$C$7*'Ratios'!$J$3)*365,0)&gt;'Instellingen'!$D$34,"•  Verscherp het debiteurenbeheer om werkkapitaal vrij te maken.","•  Continueer het huidige debiteurenbeheer.")</f>
        <v/>
      </c>
    </row>
    <row r="25">
      <c r="B25" s="103">
        <f>IF(IFERROR('Balans'!$C$20/'Balans'!$C$25,0)&lt;'Instellingen'!$D$31,"•  Werk aan versterking van het eigen vermogen (winstinhouding).","•  Vermogenspositie is solide; benut ruimte voor investeringen.")</f>
        <v/>
      </c>
    </row>
    <row r="26">
      <c r="B26" s="103" t="inlineStr">
        <is>
          <t>"•  Toets de normeringen periodiek en actualiseer de brondata per periode."</t>
        </is>
      </c>
    </row>
  </sheetData>
  <mergeCells count="32">
    <mergeCell ref="B11:M11"/>
    <mergeCell ref="G2:H2"/>
    <mergeCell ref="I2:J2"/>
    <mergeCell ref="B23:M23"/>
    <mergeCell ref="B17:M17"/>
    <mergeCell ref="B13:M13"/>
    <mergeCell ref="M2:N2"/>
    <mergeCell ref="S2:T2"/>
    <mergeCell ref="B10:M10"/>
    <mergeCell ref="U2:V2"/>
    <mergeCell ref="B19:M19"/>
    <mergeCell ref="B9:M9"/>
    <mergeCell ref="B6:M6"/>
    <mergeCell ref="B24:M24"/>
    <mergeCell ref="A2:B2"/>
    <mergeCell ref="B15:M15"/>
    <mergeCell ref="C2:D2"/>
    <mergeCell ref="B5:M5"/>
    <mergeCell ref="E2:F2"/>
    <mergeCell ref="A1:V1"/>
    <mergeCell ref="K2:L2"/>
    <mergeCell ref="B20:M20"/>
    <mergeCell ref="B26:M26"/>
    <mergeCell ref="O2:P2"/>
    <mergeCell ref="B16:M16"/>
    <mergeCell ref="Q2:R2"/>
    <mergeCell ref="B7:M7"/>
    <mergeCell ref="B25:M25"/>
    <mergeCell ref="B22:M22"/>
    <mergeCell ref="B18:M18"/>
    <mergeCell ref="A3:V3"/>
    <mergeCell ref="B12:M12"/>
  </mergeCells>
  <hyperlinks>
    <hyperlink ref="A2" location="'Start'!A1" display="Start"/>
    <hyperlink ref="C2" location="'Dashboard'!A1" display="Dashboard"/>
    <hyperlink ref="E2" location="'Resultatenrekening'!A1" display="Resultaat"/>
    <hyperlink ref="G2" location="'Balans'!A1" display="Balans"/>
    <hyperlink ref="I2" location="'Ratios'!A1" display="Ratio's"/>
    <hyperlink ref="K2" location="'Debiteuren'!A1" display="Debiteuren"/>
    <hyperlink ref="M2" location="'Crediteuren'!A1" display="Crediteuren"/>
    <hyperlink ref="O2" location="'Voorraad'!A1" display="Voorraad"/>
    <hyperlink ref="Q2" location="'Trendanalyse'!A1" display="Trend"/>
    <hyperlink ref="S2" location="'Signalering'!A1" display="Signalering"/>
    <hyperlink ref="U2" location="'Samenvatting'!A1" display="Samenvatting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C60"/>
  <sheetViews>
    <sheetView workbookViewId="0">
      <selection activeCell="A1" sqref="A1"/>
    </sheetView>
  </sheetViews>
  <sheetFormatPr baseColWidth="8" defaultRowHeight="15"/>
  <sheetData>
    <row r="1">
      <c r="A1" s="104" t="inlineStr">
        <is>
          <t>Maand</t>
        </is>
      </c>
      <c r="B1" s="104" t="inlineStr">
        <is>
          <t>Jaar</t>
        </is>
      </c>
      <c r="C1" s="104" t="inlineStr">
        <is>
          <t>Mnd</t>
        </is>
      </c>
      <c r="D1" s="104" t="inlineStr">
        <is>
          <t>Omzet</t>
        </is>
      </c>
      <c r="E1" s="104" t="inlineStr">
        <is>
          <t>Inkoop</t>
        </is>
      </c>
      <c r="F1" s="104" t="inlineStr">
        <is>
          <t>Brutowinst</t>
        </is>
      </c>
      <c r="G1" s="104" t="inlineStr">
        <is>
          <t>Personeel</t>
        </is>
      </c>
      <c r="H1" s="104" t="inlineStr">
        <is>
          <t>Huisvesting</t>
        </is>
      </c>
      <c r="I1" s="104" t="inlineStr">
        <is>
          <t>Auto</t>
        </is>
      </c>
      <c r="J1" s="104" t="inlineStr">
        <is>
          <t>Verkoop</t>
        </is>
      </c>
      <c r="K1" s="104" t="inlineStr">
        <is>
          <t>Kantoor</t>
        </is>
      </c>
      <c r="L1" s="104" t="inlineStr">
        <is>
          <t>Algemeen</t>
        </is>
      </c>
      <c r="M1" s="104" t="inlineStr">
        <is>
          <t>Afschrijving</t>
        </is>
      </c>
      <c r="N1" s="104" t="inlineStr">
        <is>
          <t>Operationele kosten</t>
        </is>
      </c>
      <c r="O1" s="104" t="inlineStr">
        <is>
          <t>Bedrijfsresultaat</t>
        </is>
      </c>
      <c r="P1" s="104" t="inlineStr">
        <is>
          <t>Financieel</t>
        </is>
      </c>
      <c r="Q1" s="104" t="inlineStr">
        <is>
          <t>Resultaat</t>
        </is>
      </c>
      <c r="R1" s="104" t="inlineStr">
        <is>
          <t>Liquide</t>
        </is>
      </c>
      <c r="S1" s="104" t="inlineStr">
        <is>
          <t>Voorraad</t>
        </is>
      </c>
      <c r="T1" s="104" t="inlineStr">
        <is>
          <t>Debiteuren</t>
        </is>
      </c>
      <c r="U1" s="104" t="inlineStr">
        <is>
          <t>Crediteuren</t>
        </is>
      </c>
      <c r="V1" s="104" t="inlineStr">
        <is>
          <t>Eigen vermogen</t>
        </is>
      </c>
      <c r="W1" s="104" t="inlineStr">
        <is>
          <t>Ov. vorderingen</t>
        </is>
      </c>
      <c r="X1" s="104" t="inlineStr">
        <is>
          <t>Ov. schulden</t>
        </is>
      </c>
      <c r="Y1" s="104" t="inlineStr">
        <is>
          <t>Werkkapitaal</t>
        </is>
      </c>
      <c r="Z1" s="104" t="inlineStr">
        <is>
          <t>EBITDA</t>
        </is>
      </c>
      <c r="AA1" s="104" t="inlineStr">
        <is>
          <t>DSO</t>
        </is>
      </c>
      <c r="AB1" s="104" t="inlineStr">
        <is>
          <t>DPO</t>
        </is>
      </c>
      <c r="AC1" s="104" t="inlineStr">
        <is>
          <t>Cashflow</t>
        </is>
      </c>
    </row>
    <row r="2">
      <c r="A2" t="inlineStr">
        <is>
          <t>jan-24</t>
        </is>
      </c>
      <c r="B2" t="n">
        <v>2024</v>
      </c>
      <c r="C2" t="n">
        <v>1</v>
      </c>
      <c r="D2">
        <f>-SUMIFS('Brondata'!$I$5:$I$1504,'Brondata'!$O$5:$O$1504,"Omzet",'Brondata'!$J$5:$J$1504,$B2,'Brondata'!$K$5:$K$1504,$C2)</f>
        <v/>
      </c>
      <c r="E2">
        <f>SUMIFS('Brondata'!$I$5:$I$1504,'Brondata'!$O$5:$O$1504,"Inkoopwaarde",'Brondata'!$J$5:$J$1504,$B2,'Brondata'!$K$5:$K$1504,$C2)</f>
        <v/>
      </c>
      <c r="F2">
        <f>D2-E2</f>
        <v/>
      </c>
      <c r="G2">
        <f>SUMIFS('Brondata'!$I$5:$I$1504,'Brondata'!$O$5:$O$1504,"Personeelskosten",'Brondata'!$J$5:$J$1504,$B2,'Brondata'!$K$5:$K$1504,$C2)</f>
        <v/>
      </c>
      <c r="H2">
        <f>SUMIFS('Brondata'!$I$5:$I$1504,'Brondata'!$O$5:$O$1504,"Huisvesting",'Brondata'!$J$5:$J$1504,$B2,'Brondata'!$K$5:$K$1504,$C2)</f>
        <v/>
      </c>
      <c r="I2">
        <f>SUMIFS('Brondata'!$I$5:$I$1504,'Brondata'!$O$5:$O$1504,"Autokosten",'Brondata'!$J$5:$J$1504,$B2,'Brondata'!$K$5:$K$1504,$C2)</f>
        <v/>
      </c>
      <c r="J2">
        <f>SUMIFS('Brondata'!$I$5:$I$1504,'Brondata'!$O$5:$O$1504,"Verkoopkosten",'Brondata'!$J$5:$J$1504,$B2,'Brondata'!$K$5:$K$1504,$C2)</f>
        <v/>
      </c>
      <c r="K2">
        <f>SUMIFS('Brondata'!$I$5:$I$1504,'Brondata'!$O$5:$O$1504,"Kantoorkosten",'Brondata'!$J$5:$J$1504,$B2,'Brondata'!$K$5:$K$1504,$C2)</f>
        <v/>
      </c>
      <c r="L2">
        <f>SUMIFS('Brondata'!$I$5:$I$1504,'Brondata'!$O$5:$O$1504,"Algemene kosten",'Brondata'!$J$5:$J$1504,$B2,'Brondata'!$K$5:$K$1504,$C2)</f>
        <v/>
      </c>
      <c r="M2">
        <f>SUMIFS('Brondata'!$I$5:$I$1504,'Brondata'!$O$5:$O$1504,"Afschrijvingen",'Brondata'!$J$5:$J$1504,$B2,'Brondata'!$K$5:$K$1504,$C2)</f>
        <v/>
      </c>
      <c r="N2">
        <f>SUM(G2:M2)</f>
        <v/>
      </c>
      <c r="O2">
        <f>F2-N2</f>
        <v/>
      </c>
      <c r="P2">
        <f>SUMIFS('Brondata'!$I$5:$I$1504,'Brondata'!$O$5:$O$1504,"Financiele baten en lasten",'Brondata'!$J$5:$J$1504,$B2,'Brondata'!$K$5:$K$1504,$C2)</f>
        <v/>
      </c>
      <c r="Q2">
        <f>O2-P2</f>
        <v/>
      </c>
      <c r="R2">
        <f>SUMIFS('Brondata'!$I$5:$I$1504,'Brondata'!$O$5:$O$1504,"Liquide middelen",'Brondata'!$J$5:$J$1504,$B2,'Brondata'!$K$5:$K$1504,"&lt;="&amp;$C2)</f>
        <v/>
      </c>
      <c r="S2">
        <f>SUMIFS('Brondata'!$I$5:$I$1504,'Brondata'!$O$5:$O$1504,"Voorraden",'Brondata'!$J$5:$J$1504,$B2,'Brondata'!$K$5:$K$1504,"&lt;="&amp;$C2)</f>
        <v/>
      </c>
      <c r="T2">
        <f>SUMIFS('Brondata'!$I$5:$I$1504,'Brondata'!$O$5:$O$1504,"Debiteuren",'Brondata'!$J$5:$J$1504,$B2,'Brondata'!$K$5:$K$1504,"&lt;="&amp;$C2)</f>
        <v/>
      </c>
      <c r="U2">
        <f>-SUMIFS('Brondata'!$I$5:$I$1504,'Brondata'!$O$5:$O$1504,"Crediteuren",'Brondata'!$J$5:$J$1504,$B2,'Brondata'!$K$5:$K$1504,"&lt;="&amp;$C2)</f>
        <v/>
      </c>
      <c r="V2">
        <f>-SUMIFS('Brondata'!$I$5:$I$1504,'Brondata'!$O$5:$O$1504,"Eigen vermogen",'Brondata'!$J$5:$J$1504,$B2,'Brondata'!$K$5:$K$1504,"&lt;="&amp;$C2)</f>
        <v/>
      </c>
      <c r="W2">
        <f>SUMIFS('Brondata'!$I$5:$I$1504,'Brondata'!$O$5:$O$1504,"Overige vorderingen",'Brondata'!$J$5:$J$1504,$B2,'Brondata'!$K$5:$K$1504,"&lt;="&amp;$C2)</f>
        <v/>
      </c>
      <c r="X2">
        <f>-SUMIFS('Brondata'!$I$5:$I$1504,'Brondata'!$O$5:$O$1504,"Overige schulden",'Brondata'!$J$5:$J$1504,$B2,'Brondata'!$K$5:$K$1504,"&lt;="&amp;$C2)</f>
        <v/>
      </c>
      <c r="Y2">
        <f>S2+T2+R2+W2-(U2+X2)</f>
        <v/>
      </c>
      <c r="Z2">
        <f>O2+M2</f>
        <v/>
      </c>
      <c r="AA2">
        <f>IFERROR(T2/(D2*12)*365,0)</f>
        <v/>
      </c>
      <c r="AB2">
        <f>IFERROR(U2/(E2*12)*365,0)</f>
        <v/>
      </c>
      <c r="AC2">
        <f>Q2+M2</f>
        <v/>
      </c>
    </row>
    <row r="3">
      <c r="A3" t="inlineStr">
        <is>
          <t>feb-24</t>
        </is>
      </c>
      <c r="B3" t="n">
        <v>2024</v>
      </c>
      <c r="C3" t="n">
        <v>2</v>
      </c>
      <c r="D3">
        <f>-SUMIFS('Brondata'!$I$5:$I$1504,'Brondata'!$O$5:$O$1504,"Omzet",'Brondata'!$J$5:$J$1504,$B3,'Brondata'!$K$5:$K$1504,$C3)</f>
        <v/>
      </c>
      <c r="E3">
        <f>SUMIFS('Brondata'!$I$5:$I$1504,'Brondata'!$O$5:$O$1504,"Inkoopwaarde",'Brondata'!$J$5:$J$1504,$B3,'Brondata'!$K$5:$K$1504,$C3)</f>
        <v/>
      </c>
      <c r="F3">
        <f>D3-E3</f>
        <v/>
      </c>
      <c r="G3">
        <f>SUMIFS('Brondata'!$I$5:$I$1504,'Brondata'!$O$5:$O$1504,"Personeelskosten",'Brondata'!$J$5:$J$1504,$B3,'Brondata'!$K$5:$K$1504,$C3)</f>
        <v/>
      </c>
      <c r="H3">
        <f>SUMIFS('Brondata'!$I$5:$I$1504,'Brondata'!$O$5:$O$1504,"Huisvesting",'Brondata'!$J$5:$J$1504,$B3,'Brondata'!$K$5:$K$1504,$C3)</f>
        <v/>
      </c>
      <c r="I3">
        <f>SUMIFS('Brondata'!$I$5:$I$1504,'Brondata'!$O$5:$O$1504,"Autokosten",'Brondata'!$J$5:$J$1504,$B3,'Brondata'!$K$5:$K$1504,$C3)</f>
        <v/>
      </c>
      <c r="J3">
        <f>SUMIFS('Brondata'!$I$5:$I$1504,'Brondata'!$O$5:$O$1504,"Verkoopkosten",'Brondata'!$J$5:$J$1504,$B3,'Brondata'!$K$5:$K$1504,$C3)</f>
        <v/>
      </c>
      <c r="K3">
        <f>SUMIFS('Brondata'!$I$5:$I$1504,'Brondata'!$O$5:$O$1504,"Kantoorkosten",'Brondata'!$J$5:$J$1504,$B3,'Brondata'!$K$5:$K$1504,$C3)</f>
        <v/>
      </c>
      <c r="L3">
        <f>SUMIFS('Brondata'!$I$5:$I$1504,'Brondata'!$O$5:$O$1504,"Algemene kosten",'Brondata'!$J$5:$J$1504,$B3,'Brondata'!$K$5:$K$1504,$C3)</f>
        <v/>
      </c>
      <c r="M3">
        <f>SUMIFS('Brondata'!$I$5:$I$1504,'Brondata'!$O$5:$O$1504,"Afschrijvingen",'Brondata'!$J$5:$J$1504,$B3,'Brondata'!$K$5:$K$1504,$C3)</f>
        <v/>
      </c>
      <c r="N3">
        <f>SUM(G3:M3)</f>
        <v/>
      </c>
      <c r="O3">
        <f>F3-N3</f>
        <v/>
      </c>
      <c r="P3">
        <f>SUMIFS('Brondata'!$I$5:$I$1504,'Brondata'!$O$5:$O$1504,"Financiele baten en lasten",'Brondata'!$J$5:$J$1504,$B3,'Brondata'!$K$5:$K$1504,$C3)</f>
        <v/>
      </c>
      <c r="Q3">
        <f>O3-P3</f>
        <v/>
      </c>
      <c r="R3">
        <f>SUMIFS('Brondata'!$I$5:$I$1504,'Brondata'!$O$5:$O$1504,"Liquide middelen",'Brondata'!$J$5:$J$1504,$B3,'Brondata'!$K$5:$K$1504,"&lt;="&amp;$C3)</f>
        <v/>
      </c>
      <c r="S3">
        <f>SUMIFS('Brondata'!$I$5:$I$1504,'Brondata'!$O$5:$O$1504,"Voorraden",'Brondata'!$J$5:$J$1504,$B3,'Brondata'!$K$5:$K$1504,"&lt;="&amp;$C3)</f>
        <v/>
      </c>
      <c r="T3">
        <f>SUMIFS('Brondata'!$I$5:$I$1504,'Brondata'!$O$5:$O$1504,"Debiteuren",'Brondata'!$J$5:$J$1504,$B3,'Brondata'!$K$5:$K$1504,"&lt;="&amp;$C3)</f>
        <v/>
      </c>
      <c r="U3">
        <f>-SUMIFS('Brondata'!$I$5:$I$1504,'Brondata'!$O$5:$O$1504,"Crediteuren",'Brondata'!$J$5:$J$1504,$B3,'Brondata'!$K$5:$K$1504,"&lt;="&amp;$C3)</f>
        <v/>
      </c>
      <c r="V3">
        <f>-SUMIFS('Brondata'!$I$5:$I$1504,'Brondata'!$O$5:$O$1504,"Eigen vermogen",'Brondata'!$J$5:$J$1504,$B3,'Brondata'!$K$5:$K$1504,"&lt;="&amp;$C3)</f>
        <v/>
      </c>
      <c r="W3">
        <f>SUMIFS('Brondata'!$I$5:$I$1504,'Brondata'!$O$5:$O$1504,"Overige vorderingen",'Brondata'!$J$5:$J$1504,$B3,'Brondata'!$K$5:$K$1504,"&lt;="&amp;$C3)</f>
        <v/>
      </c>
      <c r="X3">
        <f>-SUMIFS('Brondata'!$I$5:$I$1504,'Brondata'!$O$5:$O$1504,"Overige schulden",'Brondata'!$J$5:$J$1504,$B3,'Brondata'!$K$5:$K$1504,"&lt;="&amp;$C3)</f>
        <v/>
      </c>
      <c r="Y3">
        <f>S3+T3+R3+W3-(U3+X3)</f>
        <v/>
      </c>
      <c r="Z3">
        <f>O3+M3</f>
        <v/>
      </c>
      <c r="AA3">
        <f>IFERROR(T3/(D3*12)*365,0)</f>
        <v/>
      </c>
      <c r="AB3">
        <f>IFERROR(U3/(E3*12)*365,0)</f>
        <v/>
      </c>
      <c r="AC3">
        <f>Q3+M3-(Y3-Y2)</f>
        <v/>
      </c>
    </row>
    <row r="4">
      <c r="A4" t="inlineStr">
        <is>
          <t>mrt-24</t>
        </is>
      </c>
      <c r="B4" t="n">
        <v>2024</v>
      </c>
      <c r="C4" t="n">
        <v>3</v>
      </c>
      <c r="D4">
        <f>-SUMIFS('Brondata'!$I$5:$I$1504,'Brondata'!$O$5:$O$1504,"Omzet",'Brondata'!$J$5:$J$1504,$B4,'Brondata'!$K$5:$K$1504,$C4)</f>
        <v/>
      </c>
      <c r="E4">
        <f>SUMIFS('Brondata'!$I$5:$I$1504,'Brondata'!$O$5:$O$1504,"Inkoopwaarde",'Brondata'!$J$5:$J$1504,$B4,'Brondata'!$K$5:$K$1504,$C4)</f>
        <v/>
      </c>
      <c r="F4">
        <f>D4-E4</f>
        <v/>
      </c>
      <c r="G4">
        <f>SUMIFS('Brondata'!$I$5:$I$1504,'Brondata'!$O$5:$O$1504,"Personeelskosten",'Brondata'!$J$5:$J$1504,$B4,'Brondata'!$K$5:$K$1504,$C4)</f>
        <v/>
      </c>
      <c r="H4">
        <f>SUMIFS('Brondata'!$I$5:$I$1504,'Brondata'!$O$5:$O$1504,"Huisvesting",'Brondata'!$J$5:$J$1504,$B4,'Brondata'!$K$5:$K$1504,$C4)</f>
        <v/>
      </c>
      <c r="I4">
        <f>SUMIFS('Brondata'!$I$5:$I$1504,'Brondata'!$O$5:$O$1504,"Autokosten",'Brondata'!$J$5:$J$1504,$B4,'Brondata'!$K$5:$K$1504,$C4)</f>
        <v/>
      </c>
      <c r="J4">
        <f>SUMIFS('Brondata'!$I$5:$I$1504,'Brondata'!$O$5:$O$1504,"Verkoopkosten",'Brondata'!$J$5:$J$1504,$B4,'Brondata'!$K$5:$K$1504,$C4)</f>
        <v/>
      </c>
      <c r="K4">
        <f>SUMIFS('Brondata'!$I$5:$I$1504,'Brondata'!$O$5:$O$1504,"Kantoorkosten",'Brondata'!$J$5:$J$1504,$B4,'Brondata'!$K$5:$K$1504,$C4)</f>
        <v/>
      </c>
      <c r="L4">
        <f>SUMIFS('Brondata'!$I$5:$I$1504,'Brondata'!$O$5:$O$1504,"Algemene kosten",'Brondata'!$J$5:$J$1504,$B4,'Brondata'!$K$5:$K$1504,$C4)</f>
        <v/>
      </c>
      <c r="M4">
        <f>SUMIFS('Brondata'!$I$5:$I$1504,'Brondata'!$O$5:$O$1504,"Afschrijvingen",'Brondata'!$J$5:$J$1504,$B4,'Brondata'!$K$5:$K$1504,$C4)</f>
        <v/>
      </c>
      <c r="N4">
        <f>SUM(G4:M4)</f>
        <v/>
      </c>
      <c r="O4">
        <f>F4-N4</f>
        <v/>
      </c>
      <c r="P4">
        <f>SUMIFS('Brondata'!$I$5:$I$1504,'Brondata'!$O$5:$O$1504,"Financiele baten en lasten",'Brondata'!$J$5:$J$1504,$B4,'Brondata'!$K$5:$K$1504,$C4)</f>
        <v/>
      </c>
      <c r="Q4">
        <f>O4-P4</f>
        <v/>
      </c>
      <c r="R4">
        <f>SUMIFS('Brondata'!$I$5:$I$1504,'Brondata'!$O$5:$O$1504,"Liquide middelen",'Brondata'!$J$5:$J$1504,$B4,'Brondata'!$K$5:$K$1504,"&lt;="&amp;$C4)</f>
        <v/>
      </c>
      <c r="S4">
        <f>SUMIFS('Brondata'!$I$5:$I$1504,'Brondata'!$O$5:$O$1504,"Voorraden",'Brondata'!$J$5:$J$1504,$B4,'Brondata'!$K$5:$K$1504,"&lt;="&amp;$C4)</f>
        <v/>
      </c>
      <c r="T4">
        <f>SUMIFS('Brondata'!$I$5:$I$1504,'Brondata'!$O$5:$O$1504,"Debiteuren",'Brondata'!$J$5:$J$1504,$B4,'Brondata'!$K$5:$K$1504,"&lt;="&amp;$C4)</f>
        <v/>
      </c>
      <c r="U4">
        <f>-SUMIFS('Brondata'!$I$5:$I$1504,'Brondata'!$O$5:$O$1504,"Crediteuren",'Brondata'!$J$5:$J$1504,$B4,'Brondata'!$K$5:$K$1504,"&lt;="&amp;$C4)</f>
        <v/>
      </c>
      <c r="V4">
        <f>-SUMIFS('Brondata'!$I$5:$I$1504,'Brondata'!$O$5:$O$1504,"Eigen vermogen",'Brondata'!$J$5:$J$1504,$B4,'Brondata'!$K$5:$K$1504,"&lt;="&amp;$C4)</f>
        <v/>
      </c>
      <c r="W4">
        <f>SUMIFS('Brondata'!$I$5:$I$1504,'Brondata'!$O$5:$O$1504,"Overige vorderingen",'Brondata'!$J$5:$J$1504,$B4,'Brondata'!$K$5:$K$1504,"&lt;="&amp;$C4)</f>
        <v/>
      </c>
      <c r="X4">
        <f>-SUMIFS('Brondata'!$I$5:$I$1504,'Brondata'!$O$5:$O$1504,"Overige schulden",'Brondata'!$J$5:$J$1504,$B4,'Brondata'!$K$5:$K$1504,"&lt;="&amp;$C4)</f>
        <v/>
      </c>
      <c r="Y4">
        <f>S4+T4+R4+W4-(U4+X4)</f>
        <v/>
      </c>
      <c r="Z4">
        <f>O4+M4</f>
        <v/>
      </c>
      <c r="AA4">
        <f>IFERROR(T4/(D4*12)*365,0)</f>
        <v/>
      </c>
      <c r="AB4">
        <f>IFERROR(U4/(E4*12)*365,0)</f>
        <v/>
      </c>
      <c r="AC4">
        <f>Q4+M4-(Y4-Y3)</f>
        <v/>
      </c>
    </row>
    <row r="5">
      <c r="A5" t="inlineStr">
        <is>
          <t>apr-24</t>
        </is>
      </c>
      <c r="B5" t="n">
        <v>2024</v>
      </c>
      <c r="C5" t="n">
        <v>4</v>
      </c>
      <c r="D5">
        <f>-SUMIFS('Brondata'!$I$5:$I$1504,'Brondata'!$O$5:$O$1504,"Omzet",'Brondata'!$J$5:$J$1504,$B5,'Brondata'!$K$5:$K$1504,$C5)</f>
        <v/>
      </c>
      <c r="E5">
        <f>SUMIFS('Brondata'!$I$5:$I$1504,'Brondata'!$O$5:$O$1504,"Inkoopwaarde",'Brondata'!$J$5:$J$1504,$B5,'Brondata'!$K$5:$K$1504,$C5)</f>
        <v/>
      </c>
      <c r="F5">
        <f>D5-E5</f>
        <v/>
      </c>
      <c r="G5">
        <f>SUMIFS('Brondata'!$I$5:$I$1504,'Brondata'!$O$5:$O$1504,"Personeelskosten",'Brondata'!$J$5:$J$1504,$B5,'Brondata'!$K$5:$K$1504,$C5)</f>
        <v/>
      </c>
      <c r="H5">
        <f>SUMIFS('Brondata'!$I$5:$I$1504,'Brondata'!$O$5:$O$1504,"Huisvesting",'Brondata'!$J$5:$J$1504,$B5,'Brondata'!$K$5:$K$1504,$C5)</f>
        <v/>
      </c>
      <c r="I5">
        <f>SUMIFS('Brondata'!$I$5:$I$1504,'Brondata'!$O$5:$O$1504,"Autokosten",'Brondata'!$J$5:$J$1504,$B5,'Brondata'!$K$5:$K$1504,$C5)</f>
        <v/>
      </c>
      <c r="J5">
        <f>SUMIFS('Brondata'!$I$5:$I$1504,'Brondata'!$O$5:$O$1504,"Verkoopkosten",'Brondata'!$J$5:$J$1504,$B5,'Brondata'!$K$5:$K$1504,$C5)</f>
        <v/>
      </c>
      <c r="K5">
        <f>SUMIFS('Brondata'!$I$5:$I$1504,'Brondata'!$O$5:$O$1504,"Kantoorkosten",'Brondata'!$J$5:$J$1504,$B5,'Brondata'!$K$5:$K$1504,$C5)</f>
        <v/>
      </c>
      <c r="L5">
        <f>SUMIFS('Brondata'!$I$5:$I$1504,'Brondata'!$O$5:$O$1504,"Algemene kosten",'Brondata'!$J$5:$J$1504,$B5,'Brondata'!$K$5:$K$1504,$C5)</f>
        <v/>
      </c>
      <c r="M5">
        <f>SUMIFS('Brondata'!$I$5:$I$1504,'Brondata'!$O$5:$O$1504,"Afschrijvingen",'Brondata'!$J$5:$J$1504,$B5,'Brondata'!$K$5:$K$1504,$C5)</f>
        <v/>
      </c>
      <c r="N5">
        <f>SUM(G5:M5)</f>
        <v/>
      </c>
      <c r="O5">
        <f>F5-N5</f>
        <v/>
      </c>
      <c r="P5">
        <f>SUMIFS('Brondata'!$I$5:$I$1504,'Brondata'!$O$5:$O$1504,"Financiele baten en lasten",'Brondata'!$J$5:$J$1504,$B5,'Brondata'!$K$5:$K$1504,$C5)</f>
        <v/>
      </c>
      <c r="Q5">
        <f>O5-P5</f>
        <v/>
      </c>
      <c r="R5">
        <f>SUMIFS('Brondata'!$I$5:$I$1504,'Brondata'!$O$5:$O$1504,"Liquide middelen",'Brondata'!$J$5:$J$1504,$B5,'Brondata'!$K$5:$K$1504,"&lt;="&amp;$C5)</f>
        <v/>
      </c>
      <c r="S5">
        <f>SUMIFS('Brondata'!$I$5:$I$1504,'Brondata'!$O$5:$O$1504,"Voorraden",'Brondata'!$J$5:$J$1504,$B5,'Brondata'!$K$5:$K$1504,"&lt;="&amp;$C5)</f>
        <v/>
      </c>
      <c r="T5">
        <f>SUMIFS('Brondata'!$I$5:$I$1504,'Brondata'!$O$5:$O$1504,"Debiteuren",'Brondata'!$J$5:$J$1504,$B5,'Brondata'!$K$5:$K$1504,"&lt;="&amp;$C5)</f>
        <v/>
      </c>
      <c r="U5">
        <f>-SUMIFS('Brondata'!$I$5:$I$1504,'Brondata'!$O$5:$O$1504,"Crediteuren",'Brondata'!$J$5:$J$1504,$B5,'Brondata'!$K$5:$K$1504,"&lt;="&amp;$C5)</f>
        <v/>
      </c>
      <c r="V5">
        <f>-SUMIFS('Brondata'!$I$5:$I$1504,'Brondata'!$O$5:$O$1504,"Eigen vermogen",'Brondata'!$J$5:$J$1504,$B5,'Brondata'!$K$5:$K$1504,"&lt;="&amp;$C5)</f>
        <v/>
      </c>
      <c r="W5">
        <f>SUMIFS('Brondata'!$I$5:$I$1504,'Brondata'!$O$5:$O$1504,"Overige vorderingen",'Brondata'!$J$5:$J$1504,$B5,'Brondata'!$K$5:$K$1504,"&lt;="&amp;$C5)</f>
        <v/>
      </c>
      <c r="X5">
        <f>-SUMIFS('Brondata'!$I$5:$I$1504,'Brondata'!$O$5:$O$1504,"Overige schulden",'Brondata'!$J$5:$J$1504,$B5,'Brondata'!$K$5:$K$1504,"&lt;="&amp;$C5)</f>
        <v/>
      </c>
      <c r="Y5">
        <f>S5+T5+R5+W5-(U5+X5)</f>
        <v/>
      </c>
      <c r="Z5">
        <f>O5+M5</f>
        <v/>
      </c>
      <c r="AA5">
        <f>IFERROR(T5/(D5*12)*365,0)</f>
        <v/>
      </c>
      <c r="AB5">
        <f>IFERROR(U5/(E5*12)*365,0)</f>
        <v/>
      </c>
      <c r="AC5">
        <f>Q5+M5-(Y5-Y4)</f>
        <v/>
      </c>
    </row>
    <row r="6">
      <c r="A6" t="inlineStr">
        <is>
          <t>mei-24</t>
        </is>
      </c>
      <c r="B6" t="n">
        <v>2024</v>
      </c>
      <c r="C6" t="n">
        <v>5</v>
      </c>
      <c r="D6">
        <f>-SUMIFS('Brondata'!$I$5:$I$1504,'Brondata'!$O$5:$O$1504,"Omzet",'Brondata'!$J$5:$J$1504,$B6,'Brondata'!$K$5:$K$1504,$C6)</f>
        <v/>
      </c>
      <c r="E6">
        <f>SUMIFS('Brondata'!$I$5:$I$1504,'Brondata'!$O$5:$O$1504,"Inkoopwaarde",'Brondata'!$J$5:$J$1504,$B6,'Brondata'!$K$5:$K$1504,$C6)</f>
        <v/>
      </c>
      <c r="F6">
        <f>D6-E6</f>
        <v/>
      </c>
      <c r="G6">
        <f>SUMIFS('Brondata'!$I$5:$I$1504,'Brondata'!$O$5:$O$1504,"Personeelskosten",'Brondata'!$J$5:$J$1504,$B6,'Brondata'!$K$5:$K$1504,$C6)</f>
        <v/>
      </c>
      <c r="H6">
        <f>SUMIFS('Brondata'!$I$5:$I$1504,'Brondata'!$O$5:$O$1504,"Huisvesting",'Brondata'!$J$5:$J$1504,$B6,'Brondata'!$K$5:$K$1504,$C6)</f>
        <v/>
      </c>
      <c r="I6">
        <f>SUMIFS('Brondata'!$I$5:$I$1504,'Brondata'!$O$5:$O$1504,"Autokosten",'Brondata'!$J$5:$J$1504,$B6,'Brondata'!$K$5:$K$1504,$C6)</f>
        <v/>
      </c>
      <c r="J6">
        <f>SUMIFS('Brondata'!$I$5:$I$1504,'Brondata'!$O$5:$O$1504,"Verkoopkosten",'Brondata'!$J$5:$J$1504,$B6,'Brondata'!$K$5:$K$1504,$C6)</f>
        <v/>
      </c>
      <c r="K6">
        <f>SUMIFS('Brondata'!$I$5:$I$1504,'Brondata'!$O$5:$O$1504,"Kantoorkosten",'Brondata'!$J$5:$J$1504,$B6,'Brondata'!$K$5:$K$1504,$C6)</f>
        <v/>
      </c>
      <c r="L6">
        <f>SUMIFS('Brondata'!$I$5:$I$1504,'Brondata'!$O$5:$O$1504,"Algemene kosten",'Brondata'!$J$5:$J$1504,$B6,'Brondata'!$K$5:$K$1504,$C6)</f>
        <v/>
      </c>
      <c r="M6">
        <f>SUMIFS('Brondata'!$I$5:$I$1504,'Brondata'!$O$5:$O$1504,"Afschrijvingen",'Brondata'!$J$5:$J$1504,$B6,'Brondata'!$K$5:$K$1504,$C6)</f>
        <v/>
      </c>
      <c r="N6">
        <f>SUM(G6:M6)</f>
        <v/>
      </c>
      <c r="O6">
        <f>F6-N6</f>
        <v/>
      </c>
      <c r="P6">
        <f>SUMIFS('Brondata'!$I$5:$I$1504,'Brondata'!$O$5:$O$1504,"Financiele baten en lasten",'Brondata'!$J$5:$J$1504,$B6,'Brondata'!$K$5:$K$1504,$C6)</f>
        <v/>
      </c>
      <c r="Q6">
        <f>O6-P6</f>
        <v/>
      </c>
      <c r="R6">
        <f>SUMIFS('Brondata'!$I$5:$I$1504,'Brondata'!$O$5:$O$1504,"Liquide middelen",'Brondata'!$J$5:$J$1504,$B6,'Brondata'!$K$5:$K$1504,"&lt;="&amp;$C6)</f>
        <v/>
      </c>
      <c r="S6">
        <f>SUMIFS('Brondata'!$I$5:$I$1504,'Brondata'!$O$5:$O$1504,"Voorraden",'Brondata'!$J$5:$J$1504,$B6,'Brondata'!$K$5:$K$1504,"&lt;="&amp;$C6)</f>
        <v/>
      </c>
      <c r="T6">
        <f>SUMIFS('Brondata'!$I$5:$I$1504,'Brondata'!$O$5:$O$1504,"Debiteuren",'Brondata'!$J$5:$J$1504,$B6,'Brondata'!$K$5:$K$1504,"&lt;="&amp;$C6)</f>
        <v/>
      </c>
      <c r="U6">
        <f>-SUMIFS('Brondata'!$I$5:$I$1504,'Brondata'!$O$5:$O$1504,"Crediteuren",'Brondata'!$J$5:$J$1504,$B6,'Brondata'!$K$5:$K$1504,"&lt;="&amp;$C6)</f>
        <v/>
      </c>
      <c r="V6">
        <f>-SUMIFS('Brondata'!$I$5:$I$1504,'Brondata'!$O$5:$O$1504,"Eigen vermogen",'Brondata'!$J$5:$J$1504,$B6,'Brondata'!$K$5:$K$1504,"&lt;="&amp;$C6)</f>
        <v/>
      </c>
      <c r="W6">
        <f>SUMIFS('Brondata'!$I$5:$I$1504,'Brondata'!$O$5:$O$1504,"Overige vorderingen",'Brondata'!$J$5:$J$1504,$B6,'Brondata'!$K$5:$K$1504,"&lt;="&amp;$C6)</f>
        <v/>
      </c>
      <c r="X6">
        <f>-SUMIFS('Brondata'!$I$5:$I$1504,'Brondata'!$O$5:$O$1504,"Overige schulden",'Brondata'!$J$5:$J$1504,$B6,'Brondata'!$K$5:$K$1504,"&lt;="&amp;$C6)</f>
        <v/>
      </c>
      <c r="Y6">
        <f>S6+T6+R6+W6-(U6+X6)</f>
        <v/>
      </c>
      <c r="Z6">
        <f>O6+M6</f>
        <v/>
      </c>
      <c r="AA6">
        <f>IFERROR(T6/(D6*12)*365,0)</f>
        <v/>
      </c>
      <c r="AB6">
        <f>IFERROR(U6/(E6*12)*365,0)</f>
        <v/>
      </c>
      <c r="AC6">
        <f>Q6+M6-(Y6-Y5)</f>
        <v/>
      </c>
    </row>
    <row r="7">
      <c r="A7" t="inlineStr">
        <is>
          <t>jun-24</t>
        </is>
      </c>
      <c r="B7" t="n">
        <v>2024</v>
      </c>
      <c r="C7" t="n">
        <v>6</v>
      </c>
      <c r="D7">
        <f>-SUMIFS('Brondata'!$I$5:$I$1504,'Brondata'!$O$5:$O$1504,"Omzet",'Brondata'!$J$5:$J$1504,$B7,'Brondata'!$K$5:$K$1504,$C7)</f>
        <v/>
      </c>
      <c r="E7">
        <f>SUMIFS('Brondata'!$I$5:$I$1504,'Brondata'!$O$5:$O$1504,"Inkoopwaarde",'Brondata'!$J$5:$J$1504,$B7,'Brondata'!$K$5:$K$1504,$C7)</f>
        <v/>
      </c>
      <c r="F7">
        <f>D7-E7</f>
        <v/>
      </c>
      <c r="G7">
        <f>SUMIFS('Brondata'!$I$5:$I$1504,'Brondata'!$O$5:$O$1504,"Personeelskosten",'Brondata'!$J$5:$J$1504,$B7,'Brondata'!$K$5:$K$1504,$C7)</f>
        <v/>
      </c>
      <c r="H7">
        <f>SUMIFS('Brondata'!$I$5:$I$1504,'Brondata'!$O$5:$O$1504,"Huisvesting",'Brondata'!$J$5:$J$1504,$B7,'Brondata'!$K$5:$K$1504,$C7)</f>
        <v/>
      </c>
      <c r="I7">
        <f>SUMIFS('Brondata'!$I$5:$I$1504,'Brondata'!$O$5:$O$1504,"Autokosten",'Brondata'!$J$5:$J$1504,$B7,'Brondata'!$K$5:$K$1504,$C7)</f>
        <v/>
      </c>
      <c r="J7">
        <f>SUMIFS('Brondata'!$I$5:$I$1504,'Brondata'!$O$5:$O$1504,"Verkoopkosten",'Brondata'!$J$5:$J$1504,$B7,'Brondata'!$K$5:$K$1504,$C7)</f>
        <v/>
      </c>
      <c r="K7">
        <f>SUMIFS('Brondata'!$I$5:$I$1504,'Brondata'!$O$5:$O$1504,"Kantoorkosten",'Brondata'!$J$5:$J$1504,$B7,'Brondata'!$K$5:$K$1504,$C7)</f>
        <v/>
      </c>
      <c r="L7">
        <f>SUMIFS('Brondata'!$I$5:$I$1504,'Brondata'!$O$5:$O$1504,"Algemene kosten",'Brondata'!$J$5:$J$1504,$B7,'Brondata'!$K$5:$K$1504,$C7)</f>
        <v/>
      </c>
      <c r="M7">
        <f>SUMIFS('Brondata'!$I$5:$I$1504,'Brondata'!$O$5:$O$1504,"Afschrijvingen",'Brondata'!$J$5:$J$1504,$B7,'Brondata'!$K$5:$K$1504,$C7)</f>
        <v/>
      </c>
      <c r="N7">
        <f>SUM(G7:M7)</f>
        <v/>
      </c>
      <c r="O7">
        <f>F7-N7</f>
        <v/>
      </c>
      <c r="P7">
        <f>SUMIFS('Brondata'!$I$5:$I$1504,'Brondata'!$O$5:$O$1504,"Financiele baten en lasten",'Brondata'!$J$5:$J$1504,$B7,'Brondata'!$K$5:$K$1504,$C7)</f>
        <v/>
      </c>
      <c r="Q7">
        <f>O7-P7</f>
        <v/>
      </c>
      <c r="R7">
        <f>SUMIFS('Brondata'!$I$5:$I$1504,'Brondata'!$O$5:$O$1504,"Liquide middelen",'Brondata'!$J$5:$J$1504,$B7,'Brondata'!$K$5:$K$1504,"&lt;="&amp;$C7)</f>
        <v/>
      </c>
      <c r="S7">
        <f>SUMIFS('Brondata'!$I$5:$I$1504,'Brondata'!$O$5:$O$1504,"Voorraden",'Brondata'!$J$5:$J$1504,$B7,'Brondata'!$K$5:$K$1504,"&lt;="&amp;$C7)</f>
        <v/>
      </c>
      <c r="T7">
        <f>SUMIFS('Brondata'!$I$5:$I$1504,'Brondata'!$O$5:$O$1504,"Debiteuren",'Brondata'!$J$5:$J$1504,$B7,'Brondata'!$K$5:$K$1504,"&lt;="&amp;$C7)</f>
        <v/>
      </c>
      <c r="U7">
        <f>-SUMIFS('Brondata'!$I$5:$I$1504,'Brondata'!$O$5:$O$1504,"Crediteuren",'Brondata'!$J$5:$J$1504,$B7,'Brondata'!$K$5:$K$1504,"&lt;="&amp;$C7)</f>
        <v/>
      </c>
      <c r="V7">
        <f>-SUMIFS('Brondata'!$I$5:$I$1504,'Brondata'!$O$5:$O$1504,"Eigen vermogen",'Brondata'!$J$5:$J$1504,$B7,'Brondata'!$K$5:$K$1504,"&lt;="&amp;$C7)</f>
        <v/>
      </c>
      <c r="W7">
        <f>SUMIFS('Brondata'!$I$5:$I$1504,'Brondata'!$O$5:$O$1504,"Overige vorderingen",'Brondata'!$J$5:$J$1504,$B7,'Brondata'!$K$5:$K$1504,"&lt;="&amp;$C7)</f>
        <v/>
      </c>
      <c r="X7">
        <f>-SUMIFS('Brondata'!$I$5:$I$1504,'Brondata'!$O$5:$O$1504,"Overige schulden",'Brondata'!$J$5:$J$1504,$B7,'Brondata'!$K$5:$K$1504,"&lt;="&amp;$C7)</f>
        <v/>
      </c>
      <c r="Y7">
        <f>S7+T7+R7+W7-(U7+X7)</f>
        <v/>
      </c>
      <c r="Z7">
        <f>O7+M7</f>
        <v/>
      </c>
      <c r="AA7">
        <f>IFERROR(T7/(D7*12)*365,0)</f>
        <v/>
      </c>
      <c r="AB7">
        <f>IFERROR(U7/(E7*12)*365,0)</f>
        <v/>
      </c>
      <c r="AC7">
        <f>Q7+M7-(Y7-Y6)</f>
        <v/>
      </c>
    </row>
    <row r="8">
      <c r="A8" t="inlineStr">
        <is>
          <t>jul-24</t>
        </is>
      </c>
      <c r="B8" t="n">
        <v>2024</v>
      </c>
      <c r="C8" t="n">
        <v>7</v>
      </c>
      <c r="D8">
        <f>-SUMIFS('Brondata'!$I$5:$I$1504,'Brondata'!$O$5:$O$1504,"Omzet",'Brondata'!$J$5:$J$1504,$B8,'Brondata'!$K$5:$K$1504,$C8)</f>
        <v/>
      </c>
      <c r="E8">
        <f>SUMIFS('Brondata'!$I$5:$I$1504,'Brondata'!$O$5:$O$1504,"Inkoopwaarde",'Brondata'!$J$5:$J$1504,$B8,'Brondata'!$K$5:$K$1504,$C8)</f>
        <v/>
      </c>
      <c r="F8">
        <f>D8-E8</f>
        <v/>
      </c>
      <c r="G8">
        <f>SUMIFS('Brondata'!$I$5:$I$1504,'Brondata'!$O$5:$O$1504,"Personeelskosten",'Brondata'!$J$5:$J$1504,$B8,'Brondata'!$K$5:$K$1504,$C8)</f>
        <v/>
      </c>
      <c r="H8">
        <f>SUMIFS('Brondata'!$I$5:$I$1504,'Brondata'!$O$5:$O$1504,"Huisvesting",'Brondata'!$J$5:$J$1504,$B8,'Brondata'!$K$5:$K$1504,$C8)</f>
        <v/>
      </c>
      <c r="I8">
        <f>SUMIFS('Brondata'!$I$5:$I$1504,'Brondata'!$O$5:$O$1504,"Autokosten",'Brondata'!$J$5:$J$1504,$B8,'Brondata'!$K$5:$K$1504,$C8)</f>
        <v/>
      </c>
      <c r="J8">
        <f>SUMIFS('Brondata'!$I$5:$I$1504,'Brondata'!$O$5:$O$1504,"Verkoopkosten",'Brondata'!$J$5:$J$1504,$B8,'Brondata'!$K$5:$K$1504,$C8)</f>
        <v/>
      </c>
      <c r="K8">
        <f>SUMIFS('Brondata'!$I$5:$I$1504,'Brondata'!$O$5:$O$1504,"Kantoorkosten",'Brondata'!$J$5:$J$1504,$B8,'Brondata'!$K$5:$K$1504,$C8)</f>
        <v/>
      </c>
      <c r="L8">
        <f>SUMIFS('Brondata'!$I$5:$I$1504,'Brondata'!$O$5:$O$1504,"Algemene kosten",'Brondata'!$J$5:$J$1504,$B8,'Brondata'!$K$5:$K$1504,$C8)</f>
        <v/>
      </c>
      <c r="M8">
        <f>SUMIFS('Brondata'!$I$5:$I$1504,'Brondata'!$O$5:$O$1504,"Afschrijvingen",'Brondata'!$J$5:$J$1504,$B8,'Brondata'!$K$5:$K$1504,$C8)</f>
        <v/>
      </c>
      <c r="N8">
        <f>SUM(G8:M8)</f>
        <v/>
      </c>
      <c r="O8">
        <f>F8-N8</f>
        <v/>
      </c>
      <c r="P8">
        <f>SUMIFS('Brondata'!$I$5:$I$1504,'Brondata'!$O$5:$O$1504,"Financiele baten en lasten",'Brondata'!$J$5:$J$1504,$B8,'Brondata'!$K$5:$K$1504,$C8)</f>
        <v/>
      </c>
      <c r="Q8">
        <f>O8-P8</f>
        <v/>
      </c>
      <c r="R8">
        <f>SUMIFS('Brondata'!$I$5:$I$1504,'Brondata'!$O$5:$O$1504,"Liquide middelen",'Brondata'!$J$5:$J$1504,$B8,'Brondata'!$K$5:$K$1504,"&lt;="&amp;$C8)</f>
        <v/>
      </c>
      <c r="S8">
        <f>SUMIFS('Brondata'!$I$5:$I$1504,'Brondata'!$O$5:$O$1504,"Voorraden",'Brondata'!$J$5:$J$1504,$B8,'Brondata'!$K$5:$K$1504,"&lt;="&amp;$C8)</f>
        <v/>
      </c>
      <c r="T8">
        <f>SUMIFS('Brondata'!$I$5:$I$1504,'Brondata'!$O$5:$O$1504,"Debiteuren",'Brondata'!$J$5:$J$1504,$B8,'Brondata'!$K$5:$K$1504,"&lt;="&amp;$C8)</f>
        <v/>
      </c>
      <c r="U8">
        <f>-SUMIFS('Brondata'!$I$5:$I$1504,'Brondata'!$O$5:$O$1504,"Crediteuren",'Brondata'!$J$5:$J$1504,$B8,'Brondata'!$K$5:$K$1504,"&lt;="&amp;$C8)</f>
        <v/>
      </c>
      <c r="V8">
        <f>-SUMIFS('Brondata'!$I$5:$I$1504,'Brondata'!$O$5:$O$1504,"Eigen vermogen",'Brondata'!$J$5:$J$1504,$B8,'Brondata'!$K$5:$K$1504,"&lt;="&amp;$C8)</f>
        <v/>
      </c>
      <c r="W8">
        <f>SUMIFS('Brondata'!$I$5:$I$1504,'Brondata'!$O$5:$O$1504,"Overige vorderingen",'Brondata'!$J$5:$J$1504,$B8,'Brondata'!$K$5:$K$1504,"&lt;="&amp;$C8)</f>
        <v/>
      </c>
      <c r="X8">
        <f>-SUMIFS('Brondata'!$I$5:$I$1504,'Brondata'!$O$5:$O$1504,"Overige schulden",'Brondata'!$J$5:$J$1504,$B8,'Brondata'!$K$5:$K$1504,"&lt;="&amp;$C8)</f>
        <v/>
      </c>
      <c r="Y8">
        <f>S8+T8+R8+W8-(U8+X8)</f>
        <v/>
      </c>
      <c r="Z8">
        <f>O8+M8</f>
        <v/>
      </c>
      <c r="AA8">
        <f>IFERROR(T8/(D8*12)*365,0)</f>
        <v/>
      </c>
      <c r="AB8">
        <f>IFERROR(U8/(E8*12)*365,0)</f>
        <v/>
      </c>
      <c r="AC8">
        <f>Q8+M8-(Y8-Y7)</f>
        <v/>
      </c>
    </row>
    <row r="9">
      <c r="A9" t="inlineStr">
        <is>
          <t>aug-24</t>
        </is>
      </c>
      <c r="B9" t="n">
        <v>2024</v>
      </c>
      <c r="C9" t="n">
        <v>8</v>
      </c>
      <c r="D9">
        <f>-SUMIFS('Brondata'!$I$5:$I$1504,'Brondata'!$O$5:$O$1504,"Omzet",'Brondata'!$J$5:$J$1504,$B9,'Brondata'!$K$5:$K$1504,$C9)</f>
        <v/>
      </c>
      <c r="E9">
        <f>SUMIFS('Brondata'!$I$5:$I$1504,'Brondata'!$O$5:$O$1504,"Inkoopwaarde",'Brondata'!$J$5:$J$1504,$B9,'Brondata'!$K$5:$K$1504,$C9)</f>
        <v/>
      </c>
      <c r="F9">
        <f>D9-E9</f>
        <v/>
      </c>
      <c r="G9">
        <f>SUMIFS('Brondata'!$I$5:$I$1504,'Brondata'!$O$5:$O$1504,"Personeelskosten",'Brondata'!$J$5:$J$1504,$B9,'Brondata'!$K$5:$K$1504,$C9)</f>
        <v/>
      </c>
      <c r="H9">
        <f>SUMIFS('Brondata'!$I$5:$I$1504,'Brondata'!$O$5:$O$1504,"Huisvesting",'Brondata'!$J$5:$J$1504,$B9,'Brondata'!$K$5:$K$1504,$C9)</f>
        <v/>
      </c>
      <c r="I9">
        <f>SUMIFS('Brondata'!$I$5:$I$1504,'Brondata'!$O$5:$O$1504,"Autokosten",'Brondata'!$J$5:$J$1504,$B9,'Brondata'!$K$5:$K$1504,$C9)</f>
        <v/>
      </c>
      <c r="J9">
        <f>SUMIFS('Brondata'!$I$5:$I$1504,'Brondata'!$O$5:$O$1504,"Verkoopkosten",'Brondata'!$J$5:$J$1504,$B9,'Brondata'!$K$5:$K$1504,$C9)</f>
        <v/>
      </c>
      <c r="K9">
        <f>SUMIFS('Brondata'!$I$5:$I$1504,'Brondata'!$O$5:$O$1504,"Kantoorkosten",'Brondata'!$J$5:$J$1504,$B9,'Brondata'!$K$5:$K$1504,$C9)</f>
        <v/>
      </c>
      <c r="L9">
        <f>SUMIFS('Brondata'!$I$5:$I$1504,'Brondata'!$O$5:$O$1504,"Algemene kosten",'Brondata'!$J$5:$J$1504,$B9,'Brondata'!$K$5:$K$1504,$C9)</f>
        <v/>
      </c>
      <c r="M9">
        <f>SUMIFS('Brondata'!$I$5:$I$1504,'Brondata'!$O$5:$O$1504,"Afschrijvingen",'Brondata'!$J$5:$J$1504,$B9,'Brondata'!$K$5:$K$1504,$C9)</f>
        <v/>
      </c>
      <c r="N9">
        <f>SUM(G9:M9)</f>
        <v/>
      </c>
      <c r="O9">
        <f>F9-N9</f>
        <v/>
      </c>
      <c r="P9">
        <f>SUMIFS('Brondata'!$I$5:$I$1504,'Brondata'!$O$5:$O$1504,"Financiele baten en lasten",'Brondata'!$J$5:$J$1504,$B9,'Brondata'!$K$5:$K$1504,$C9)</f>
        <v/>
      </c>
      <c r="Q9">
        <f>O9-P9</f>
        <v/>
      </c>
      <c r="R9">
        <f>SUMIFS('Brondata'!$I$5:$I$1504,'Brondata'!$O$5:$O$1504,"Liquide middelen",'Brondata'!$J$5:$J$1504,$B9,'Brondata'!$K$5:$K$1504,"&lt;="&amp;$C9)</f>
        <v/>
      </c>
      <c r="S9">
        <f>SUMIFS('Brondata'!$I$5:$I$1504,'Brondata'!$O$5:$O$1504,"Voorraden",'Brondata'!$J$5:$J$1504,$B9,'Brondata'!$K$5:$K$1504,"&lt;="&amp;$C9)</f>
        <v/>
      </c>
      <c r="T9">
        <f>SUMIFS('Brondata'!$I$5:$I$1504,'Brondata'!$O$5:$O$1504,"Debiteuren",'Brondata'!$J$5:$J$1504,$B9,'Brondata'!$K$5:$K$1504,"&lt;="&amp;$C9)</f>
        <v/>
      </c>
      <c r="U9">
        <f>-SUMIFS('Brondata'!$I$5:$I$1504,'Brondata'!$O$5:$O$1504,"Crediteuren",'Brondata'!$J$5:$J$1504,$B9,'Brondata'!$K$5:$K$1504,"&lt;="&amp;$C9)</f>
        <v/>
      </c>
      <c r="V9">
        <f>-SUMIFS('Brondata'!$I$5:$I$1504,'Brondata'!$O$5:$O$1504,"Eigen vermogen",'Brondata'!$J$5:$J$1504,$B9,'Brondata'!$K$5:$K$1504,"&lt;="&amp;$C9)</f>
        <v/>
      </c>
      <c r="W9">
        <f>SUMIFS('Brondata'!$I$5:$I$1504,'Brondata'!$O$5:$O$1504,"Overige vorderingen",'Brondata'!$J$5:$J$1504,$B9,'Brondata'!$K$5:$K$1504,"&lt;="&amp;$C9)</f>
        <v/>
      </c>
      <c r="X9">
        <f>-SUMIFS('Brondata'!$I$5:$I$1504,'Brondata'!$O$5:$O$1504,"Overige schulden",'Brondata'!$J$5:$J$1504,$B9,'Brondata'!$K$5:$K$1504,"&lt;="&amp;$C9)</f>
        <v/>
      </c>
      <c r="Y9">
        <f>S9+T9+R9+W9-(U9+X9)</f>
        <v/>
      </c>
      <c r="Z9">
        <f>O9+M9</f>
        <v/>
      </c>
      <c r="AA9">
        <f>IFERROR(T9/(D9*12)*365,0)</f>
        <v/>
      </c>
      <c r="AB9">
        <f>IFERROR(U9/(E9*12)*365,0)</f>
        <v/>
      </c>
      <c r="AC9">
        <f>Q9+M9-(Y9-Y8)</f>
        <v/>
      </c>
    </row>
    <row r="10">
      <c r="A10" t="inlineStr">
        <is>
          <t>sep-24</t>
        </is>
      </c>
      <c r="B10" t="n">
        <v>2024</v>
      </c>
      <c r="C10" t="n">
        <v>9</v>
      </c>
      <c r="D10">
        <f>-SUMIFS('Brondata'!$I$5:$I$1504,'Brondata'!$O$5:$O$1504,"Omzet",'Brondata'!$J$5:$J$1504,$B10,'Brondata'!$K$5:$K$1504,$C10)</f>
        <v/>
      </c>
      <c r="E10">
        <f>SUMIFS('Brondata'!$I$5:$I$1504,'Brondata'!$O$5:$O$1504,"Inkoopwaarde",'Brondata'!$J$5:$J$1504,$B10,'Brondata'!$K$5:$K$1504,$C10)</f>
        <v/>
      </c>
      <c r="F10">
        <f>D10-E10</f>
        <v/>
      </c>
      <c r="G10">
        <f>SUMIFS('Brondata'!$I$5:$I$1504,'Brondata'!$O$5:$O$1504,"Personeelskosten",'Brondata'!$J$5:$J$1504,$B10,'Brondata'!$K$5:$K$1504,$C10)</f>
        <v/>
      </c>
      <c r="H10">
        <f>SUMIFS('Brondata'!$I$5:$I$1504,'Brondata'!$O$5:$O$1504,"Huisvesting",'Brondata'!$J$5:$J$1504,$B10,'Brondata'!$K$5:$K$1504,$C10)</f>
        <v/>
      </c>
      <c r="I10">
        <f>SUMIFS('Brondata'!$I$5:$I$1504,'Brondata'!$O$5:$O$1504,"Autokosten",'Brondata'!$J$5:$J$1504,$B10,'Brondata'!$K$5:$K$1504,$C10)</f>
        <v/>
      </c>
      <c r="J10">
        <f>SUMIFS('Brondata'!$I$5:$I$1504,'Brondata'!$O$5:$O$1504,"Verkoopkosten",'Brondata'!$J$5:$J$1504,$B10,'Brondata'!$K$5:$K$1504,$C10)</f>
        <v/>
      </c>
      <c r="K10">
        <f>SUMIFS('Brondata'!$I$5:$I$1504,'Brondata'!$O$5:$O$1504,"Kantoorkosten",'Brondata'!$J$5:$J$1504,$B10,'Brondata'!$K$5:$K$1504,$C10)</f>
        <v/>
      </c>
      <c r="L10">
        <f>SUMIFS('Brondata'!$I$5:$I$1504,'Brondata'!$O$5:$O$1504,"Algemene kosten",'Brondata'!$J$5:$J$1504,$B10,'Brondata'!$K$5:$K$1504,$C10)</f>
        <v/>
      </c>
      <c r="M10">
        <f>SUMIFS('Brondata'!$I$5:$I$1504,'Brondata'!$O$5:$O$1504,"Afschrijvingen",'Brondata'!$J$5:$J$1504,$B10,'Brondata'!$K$5:$K$1504,$C10)</f>
        <v/>
      </c>
      <c r="N10">
        <f>SUM(G10:M10)</f>
        <v/>
      </c>
      <c r="O10">
        <f>F10-N10</f>
        <v/>
      </c>
      <c r="P10">
        <f>SUMIFS('Brondata'!$I$5:$I$1504,'Brondata'!$O$5:$O$1504,"Financiele baten en lasten",'Brondata'!$J$5:$J$1504,$B10,'Brondata'!$K$5:$K$1504,$C10)</f>
        <v/>
      </c>
      <c r="Q10">
        <f>O10-P10</f>
        <v/>
      </c>
      <c r="R10">
        <f>SUMIFS('Brondata'!$I$5:$I$1504,'Brondata'!$O$5:$O$1504,"Liquide middelen",'Brondata'!$J$5:$J$1504,$B10,'Brondata'!$K$5:$K$1504,"&lt;="&amp;$C10)</f>
        <v/>
      </c>
      <c r="S10">
        <f>SUMIFS('Brondata'!$I$5:$I$1504,'Brondata'!$O$5:$O$1504,"Voorraden",'Brondata'!$J$5:$J$1504,$B10,'Brondata'!$K$5:$K$1504,"&lt;="&amp;$C10)</f>
        <v/>
      </c>
      <c r="T10">
        <f>SUMIFS('Brondata'!$I$5:$I$1504,'Brondata'!$O$5:$O$1504,"Debiteuren",'Brondata'!$J$5:$J$1504,$B10,'Brondata'!$K$5:$K$1504,"&lt;="&amp;$C10)</f>
        <v/>
      </c>
      <c r="U10">
        <f>-SUMIFS('Brondata'!$I$5:$I$1504,'Brondata'!$O$5:$O$1504,"Crediteuren",'Brondata'!$J$5:$J$1504,$B10,'Brondata'!$K$5:$K$1504,"&lt;="&amp;$C10)</f>
        <v/>
      </c>
      <c r="V10">
        <f>-SUMIFS('Brondata'!$I$5:$I$1504,'Brondata'!$O$5:$O$1504,"Eigen vermogen",'Brondata'!$J$5:$J$1504,$B10,'Brondata'!$K$5:$K$1504,"&lt;="&amp;$C10)</f>
        <v/>
      </c>
      <c r="W10">
        <f>SUMIFS('Brondata'!$I$5:$I$1504,'Brondata'!$O$5:$O$1504,"Overige vorderingen",'Brondata'!$J$5:$J$1504,$B10,'Brondata'!$K$5:$K$1504,"&lt;="&amp;$C10)</f>
        <v/>
      </c>
      <c r="X10">
        <f>-SUMIFS('Brondata'!$I$5:$I$1504,'Brondata'!$O$5:$O$1504,"Overige schulden",'Brondata'!$J$5:$J$1504,$B10,'Brondata'!$K$5:$K$1504,"&lt;="&amp;$C10)</f>
        <v/>
      </c>
      <c r="Y10">
        <f>S10+T10+R10+W10-(U10+X10)</f>
        <v/>
      </c>
      <c r="Z10">
        <f>O10+M10</f>
        <v/>
      </c>
      <c r="AA10">
        <f>IFERROR(T10/(D10*12)*365,0)</f>
        <v/>
      </c>
      <c r="AB10">
        <f>IFERROR(U10/(E10*12)*365,0)</f>
        <v/>
      </c>
      <c r="AC10">
        <f>Q10+M10-(Y10-Y9)</f>
        <v/>
      </c>
    </row>
    <row r="11">
      <c r="A11" t="inlineStr">
        <is>
          <t>okt-24</t>
        </is>
      </c>
      <c r="B11" t="n">
        <v>2024</v>
      </c>
      <c r="C11" t="n">
        <v>10</v>
      </c>
      <c r="D11">
        <f>-SUMIFS('Brondata'!$I$5:$I$1504,'Brondata'!$O$5:$O$1504,"Omzet",'Brondata'!$J$5:$J$1504,$B11,'Brondata'!$K$5:$K$1504,$C11)</f>
        <v/>
      </c>
      <c r="E11">
        <f>SUMIFS('Brondata'!$I$5:$I$1504,'Brondata'!$O$5:$O$1504,"Inkoopwaarde",'Brondata'!$J$5:$J$1504,$B11,'Brondata'!$K$5:$K$1504,$C11)</f>
        <v/>
      </c>
      <c r="F11">
        <f>D11-E11</f>
        <v/>
      </c>
      <c r="G11">
        <f>SUMIFS('Brondata'!$I$5:$I$1504,'Brondata'!$O$5:$O$1504,"Personeelskosten",'Brondata'!$J$5:$J$1504,$B11,'Brondata'!$K$5:$K$1504,$C11)</f>
        <v/>
      </c>
      <c r="H11">
        <f>SUMIFS('Brondata'!$I$5:$I$1504,'Brondata'!$O$5:$O$1504,"Huisvesting",'Brondata'!$J$5:$J$1504,$B11,'Brondata'!$K$5:$K$1504,$C11)</f>
        <v/>
      </c>
      <c r="I11">
        <f>SUMIFS('Brondata'!$I$5:$I$1504,'Brondata'!$O$5:$O$1504,"Autokosten",'Brondata'!$J$5:$J$1504,$B11,'Brondata'!$K$5:$K$1504,$C11)</f>
        <v/>
      </c>
      <c r="J11">
        <f>SUMIFS('Brondata'!$I$5:$I$1504,'Brondata'!$O$5:$O$1504,"Verkoopkosten",'Brondata'!$J$5:$J$1504,$B11,'Brondata'!$K$5:$K$1504,$C11)</f>
        <v/>
      </c>
      <c r="K11">
        <f>SUMIFS('Brondata'!$I$5:$I$1504,'Brondata'!$O$5:$O$1504,"Kantoorkosten",'Brondata'!$J$5:$J$1504,$B11,'Brondata'!$K$5:$K$1504,$C11)</f>
        <v/>
      </c>
      <c r="L11">
        <f>SUMIFS('Brondata'!$I$5:$I$1504,'Brondata'!$O$5:$O$1504,"Algemene kosten",'Brondata'!$J$5:$J$1504,$B11,'Brondata'!$K$5:$K$1504,$C11)</f>
        <v/>
      </c>
      <c r="M11">
        <f>SUMIFS('Brondata'!$I$5:$I$1504,'Brondata'!$O$5:$O$1504,"Afschrijvingen",'Brondata'!$J$5:$J$1504,$B11,'Brondata'!$K$5:$K$1504,$C11)</f>
        <v/>
      </c>
      <c r="N11">
        <f>SUM(G11:M11)</f>
        <v/>
      </c>
      <c r="O11">
        <f>F11-N11</f>
        <v/>
      </c>
      <c r="P11">
        <f>SUMIFS('Brondata'!$I$5:$I$1504,'Brondata'!$O$5:$O$1504,"Financiele baten en lasten",'Brondata'!$J$5:$J$1504,$B11,'Brondata'!$K$5:$K$1504,$C11)</f>
        <v/>
      </c>
      <c r="Q11">
        <f>O11-P11</f>
        <v/>
      </c>
      <c r="R11">
        <f>SUMIFS('Brondata'!$I$5:$I$1504,'Brondata'!$O$5:$O$1504,"Liquide middelen",'Brondata'!$J$5:$J$1504,$B11,'Brondata'!$K$5:$K$1504,"&lt;="&amp;$C11)</f>
        <v/>
      </c>
      <c r="S11">
        <f>SUMIFS('Brondata'!$I$5:$I$1504,'Brondata'!$O$5:$O$1504,"Voorraden",'Brondata'!$J$5:$J$1504,$B11,'Brondata'!$K$5:$K$1504,"&lt;="&amp;$C11)</f>
        <v/>
      </c>
      <c r="T11">
        <f>SUMIFS('Brondata'!$I$5:$I$1504,'Brondata'!$O$5:$O$1504,"Debiteuren",'Brondata'!$J$5:$J$1504,$B11,'Brondata'!$K$5:$K$1504,"&lt;="&amp;$C11)</f>
        <v/>
      </c>
      <c r="U11">
        <f>-SUMIFS('Brondata'!$I$5:$I$1504,'Brondata'!$O$5:$O$1504,"Crediteuren",'Brondata'!$J$5:$J$1504,$B11,'Brondata'!$K$5:$K$1504,"&lt;="&amp;$C11)</f>
        <v/>
      </c>
      <c r="V11">
        <f>-SUMIFS('Brondata'!$I$5:$I$1504,'Brondata'!$O$5:$O$1504,"Eigen vermogen",'Brondata'!$J$5:$J$1504,$B11,'Brondata'!$K$5:$K$1504,"&lt;="&amp;$C11)</f>
        <v/>
      </c>
      <c r="W11">
        <f>SUMIFS('Brondata'!$I$5:$I$1504,'Brondata'!$O$5:$O$1504,"Overige vorderingen",'Brondata'!$J$5:$J$1504,$B11,'Brondata'!$K$5:$K$1504,"&lt;="&amp;$C11)</f>
        <v/>
      </c>
      <c r="X11">
        <f>-SUMIFS('Brondata'!$I$5:$I$1504,'Brondata'!$O$5:$O$1504,"Overige schulden",'Brondata'!$J$5:$J$1504,$B11,'Brondata'!$K$5:$K$1504,"&lt;="&amp;$C11)</f>
        <v/>
      </c>
      <c r="Y11">
        <f>S11+T11+R11+W11-(U11+X11)</f>
        <v/>
      </c>
      <c r="Z11">
        <f>O11+M11</f>
        <v/>
      </c>
      <c r="AA11">
        <f>IFERROR(T11/(D11*12)*365,0)</f>
        <v/>
      </c>
      <c r="AB11">
        <f>IFERROR(U11/(E11*12)*365,0)</f>
        <v/>
      </c>
      <c r="AC11">
        <f>Q11+M11-(Y11-Y10)</f>
        <v/>
      </c>
    </row>
    <row r="12">
      <c r="A12" t="inlineStr">
        <is>
          <t>nov-24</t>
        </is>
      </c>
      <c r="B12" t="n">
        <v>2024</v>
      </c>
      <c r="C12" t="n">
        <v>11</v>
      </c>
      <c r="D12">
        <f>-SUMIFS('Brondata'!$I$5:$I$1504,'Brondata'!$O$5:$O$1504,"Omzet",'Brondata'!$J$5:$J$1504,$B12,'Brondata'!$K$5:$K$1504,$C12)</f>
        <v/>
      </c>
      <c r="E12">
        <f>SUMIFS('Brondata'!$I$5:$I$1504,'Brondata'!$O$5:$O$1504,"Inkoopwaarde",'Brondata'!$J$5:$J$1504,$B12,'Brondata'!$K$5:$K$1504,$C12)</f>
        <v/>
      </c>
      <c r="F12">
        <f>D12-E12</f>
        <v/>
      </c>
      <c r="G12">
        <f>SUMIFS('Brondata'!$I$5:$I$1504,'Brondata'!$O$5:$O$1504,"Personeelskosten",'Brondata'!$J$5:$J$1504,$B12,'Brondata'!$K$5:$K$1504,$C12)</f>
        <v/>
      </c>
      <c r="H12">
        <f>SUMIFS('Brondata'!$I$5:$I$1504,'Brondata'!$O$5:$O$1504,"Huisvesting",'Brondata'!$J$5:$J$1504,$B12,'Brondata'!$K$5:$K$1504,$C12)</f>
        <v/>
      </c>
      <c r="I12">
        <f>SUMIFS('Brondata'!$I$5:$I$1504,'Brondata'!$O$5:$O$1504,"Autokosten",'Brondata'!$J$5:$J$1504,$B12,'Brondata'!$K$5:$K$1504,$C12)</f>
        <v/>
      </c>
      <c r="J12">
        <f>SUMIFS('Brondata'!$I$5:$I$1504,'Brondata'!$O$5:$O$1504,"Verkoopkosten",'Brondata'!$J$5:$J$1504,$B12,'Brondata'!$K$5:$K$1504,$C12)</f>
        <v/>
      </c>
      <c r="K12">
        <f>SUMIFS('Brondata'!$I$5:$I$1504,'Brondata'!$O$5:$O$1504,"Kantoorkosten",'Brondata'!$J$5:$J$1504,$B12,'Brondata'!$K$5:$K$1504,$C12)</f>
        <v/>
      </c>
      <c r="L12">
        <f>SUMIFS('Brondata'!$I$5:$I$1504,'Brondata'!$O$5:$O$1504,"Algemene kosten",'Brondata'!$J$5:$J$1504,$B12,'Brondata'!$K$5:$K$1504,$C12)</f>
        <v/>
      </c>
      <c r="M12">
        <f>SUMIFS('Brondata'!$I$5:$I$1504,'Brondata'!$O$5:$O$1504,"Afschrijvingen",'Brondata'!$J$5:$J$1504,$B12,'Brondata'!$K$5:$K$1504,$C12)</f>
        <v/>
      </c>
      <c r="N12">
        <f>SUM(G12:M12)</f>
        <v/>
      </c>
      <c r="O12">
        <f>F12-N12</f>
        <v/>
      </c>
      <c r="P12">
        <f>SUMIFS('Brondata'!$I$5:$I$1504,'Brondata'!$O$5:$O$1504,"Financiele baten en lasten",'Brondata'!$J$5:$J$1504,$B12,'Brondata'!$K$5:$K$1504,$C12)</f>
        <v/>
      </c>
      <c r="Q12">
        <f>O12-P12</f>
        <v/>
      </c>
      <c r="R12">
        <f>SUMIFS('Brondata'!$I$5:$I$1504,'Brondata'!$O$5:$O$1504,"Liquide middelen",'Brondata'!$J$5:$J$1504,$B12,'Brondata'!$K$5:$K$1504,"&lt;="&amp;$C12)</f>
        <v/>
      </c>
      <c r="S12">
        <f>SUMIFS('Brondata'!$I$5:$I$1504,'Brondata'!$O$5:$O$1504,"Voorraden",'Brondata'!$J$5:$J$1504,$B12,'Brondata'!$K$5:$K$1504,"&lt;="&amp;$C12)</f>
        <v/>
      </c>
      <c r="T12">
        <f>SUMIFS('Brondata'!$I$5:$I$1504,'Brondata'!$O$5:$O$1504,"Debiteuren",'Brondata'!$J$5:$J$1504,$B12,'Brondata'!$K$5:$K$1504,"&lt;="&amp;$C12)</f>
        <v/>
      </c>
      <c r="U12">
        <f>-SUMIFS('Brondata'!$I$5:$I$1504,'Brondata'!$O$5:$O$1504,"Crediteuren",'Brondata'!$J$5:$J$1504,$B12,'Brondata'!$K$5:$K$1504,"&lt;="&amp;$C12)</f>
        <v/>
      </c>
      <c r="V12">
        <f>-SUMIFS('Brondata'!$I$5:$I$1504,'Brondata'!$O$5:$O$1504,"Eigen vermogen",'Brondata'!$J$5:$J$1504,$B12,'Brondata'!$K$5:$K$1504,"&lt;="&amp;$C12)</f>
        <v/>
      </c>
      <c r="W12">
        <f>SUMIFS('Brondata'!$I$5:$I$1504,'Brondata'!$O$5:$O$1504,"Overige vorderingen",'Brondata'!$J$5:$J$1504,$B12,'Brondata'!$K$5:$K$1504,"&lt;="&amp;$C12)</f>
        <v/>
      </c>
      <c r="X12">
        <f>-SUMIFS('Brondata'!$I$5:$I$1504,'Brondata'!$O$5:$O$1504,"Overige schulden",'Brondata'!$J$5:$J$1504,$B12,'Brondata'!$K$5:$K$1504,"&lt;="&amp;$C12)</f>
        <v/>
      </c>
      <c r="Y12">
        <f>S12+T12+R12+W12-(U12+X12)</f>
        <v/>
      </c>
      <c r="Z12">
        <f>O12+M12</f>
        <v/>
      </c>
      <c r="AA12">
        <f>IFERROR(T12/(D12*12)*365,0)</f>
        <v/>
      </c>
      <c r="AB12">
        <f>IFERROR(U12/(E12*12)*365,0)</f>
        <v/>
      </c>
      <c r="AC12">
        <f>Q12+M12-(Y12-Y11)</f>
        <v/>
      </c>
    </row>
    <row r="13">
      <c r="A13" t="inlineStr">
        <is>
          <t>dec-24</t>
        </is>
      </c>
      <c r="B13" t="n">
        <v>2024</v>
      </c>
      <c r="C13" t="n">
        <v>12</v>
      </c>
      <c r="D13">
        <f>-SUMIFS('Brondata'!$I$5:$I$1504,'Brondata'!$O$5:$O$1504,"Omzet",'Brondata'!$J$5:$J$1504,$B13,'Brondata'!$K$5:$K$1504,$C13)</f>
        <v/>
      </c>
      <c r="E13">
        <f>SUMIFS('Brondata'!$I$5:$I$1504,'Brondata'!$O$5:$O$1504,"Inkoopwaarde",'Brondata'!$J$5:$J$1504,$B13,'Brondata'!$K$5:$K$1504,$C13)</f>
        <v/>
      </c>
      <c r="F13">
        <f>D13-E13</f>
        <v/>
      </c>
      <c r="G13">
        <f>SUMIFS('Brondata'!$I$5:$I$1504,'Brondata'!$O$5:$O$1504,"Personeelskosten",'Brondata'!$J$5:$J$1504,$B13,'Brondata'!$K$5:$K$1504,$C13)</f>
        <v/>
      </c>
      <c r="H13">
        <f>SUMIFS('Brondata'!$I$5:$I$1504,'Brondata'!$O$5:$O$1504,"Huisvesting",'Brondata'!$J$5:$J$1504,$B13,'Brondata'!$K$5:$K$1504,$C13)</f>
        <v/>
      </c>
      <c r="I13">
        <f>SUMIFS('Brondata'!$I$5:$I$1504,'Brondata'!$O$5:$O$1504,"Autokosten",'Brondata'!$J$5:$J$1504,$B13,'Brondata'!$K$5:$K$1504,$C13)</f>
        <v/>
      </c>
      <c r="J13">
        <f>SUMIFS('Brondata'!$I$5:$I$1504,'Brondata'!$O$5:$O$1504,"Verkoopkosten",'Brondata'!$J$5:$J$1504,$B13,'Brondata'!$K$5:$K$1504,$C13)</f>
        <v/>
      </c>
      <c r="K13">
        <f>SUMIFS('Brondata'!$I$5:$I$1504,'Brondata'!$O$5:$O$1504,"Kantoorkosten",'Brondata'!$J$5:$J$1504,$B13,'Brondata'!$K$5:$K$1504,$C13)</f>
        <v/>
      </c>
      <c r="L13">
        <f>SUMIFS('Brondata'!$I$5:$I$1504,'Brondata'!$O$5:$O$1504,"Algemene kosten",'Brondata'!$J$5:$J$1504,$B13,'Brondata'!$K$5:$K$1504,$C13)</f>
        <v/>
      </c>
      <c r="M13">
        <f>SUMIFS('Brondata'!$I$5:$I$1504,'Brondata'!$O$5:$O$1504,"Afschrijvingen",'Brondata'!$J$5:$J$1504,$B13,'Brondata'!$K$5:$K$1504,$C13)</f>
        <v/>
      </c>
      <c r="N13">
        <f>SUM(G13:M13)</f>
        <v/>
      </c>
      <c r="O13">
        <f>F13-N13</f>
        <v/>
      </c>
      <c r="P13">
        <f>SUMIFS('Brondata'!$I$5:$I$1504,'Brondata'!$O$5:$O$1504,"Financiele baten en lasten",'Brondata'!$J$5:$J$1504,$B13,'Brondata'!$K$5:$K$1504,$C13)</f>
        <v/>
      </c>
      <c r="Q13">
        <f>O13-P13</f>
        <v/>
      </c>
      <c r="R13">
        <f>SUMIFS('Brondata'!$I$5:$I$1504,'Brondata'!$O$5:$O$1504,"Liquide middelen",'Brondata'!$J$5:$J$1504,$B13,'Brondata'!$K$5:$K$1504,"&lt;="&amp;$C13)</f>
        <v/>
      </c>
      <c r="S13">
        <f>SUMIFS('Brondata'!$I$5:$I$1504,'Brondata'!$O$5:$O$1504,"Voorraden",'Brondata'!$J$5:$J$1504,$B13,'Brondata'!$K$5:$K$1504,"&lt;="&amp;$C13)</f>
        <v/>
      </c>
      <c r="T13">
        <f>SUMIFS('Brondata'!$I$5:$I$1504,'Brondata'!$O$5:$O$1504,"Debiteuren",'Brondata'!$J$5:$J$1504,$B13,'Brondata'!$K$5:$K$1504,"&lt;="&amp;$C13)</f>
        <v/>
      </c>
      <c r="U13">
        <f>-SUMIFS('Brondata'!$I$5:$I$1504,'Brondata'!$O$5:$O$1504,"Crediteuren",'Brondata'!$J$5:$J$1504,$B13,'Brondata'!$K$5:$K$1504,"&lt;="&amp;$C13)</f>
        <v/>
      </c>
      <c r="V13">
        <f>-SUMIFS('Brondata'!$I$5:$I$1504,'Brondata'!$O$5:$O$1504,"Eigen vermogen",'Brondata'!$J$5:$J$1504,$B13,'Brondata'!$K$5:$K$1504,"&lt;="&amp;$C13)</f>
        <v/>
      </c>
      <c r="W13">
        <f>SUMIFS('Brondata'!$I$5:$I$1504,'Brondata'!$O$5:$O$1504,"Overige vorderingen",'Brondata'!$J$5:$J$1504,$B13,'Brondata'!$K$5:$K$1504,"&lt;="&amp;$C13)</f>
        <v/>
      </c>
      <c r="X13">
        <f>-SUMIFS('Brondata'!$I$5:$I$1504,'Brondata'!$O$5:$O$1504,"Overige schulden",'Brondata'!$J$5:$J$1504,$B13,'Brondata'!$K$5:$K$1504,"&lt;="&amp;$C13)</f>
        <v/>
      </c>
      <c r="Y13">
        <f>S13+T13+R13+W13-(U13+X13)</f>
        <v/>
      </c>
      <c r="Z13">
        <f>O13+M13</f>
        <v/>
      </c>
      <c r="AA13">
        <f>IFERROR(T13/(D13*12)*365,0)</f>
        <v/>
      </c>
      <c r="AB13">
        <f>IFERROR(U13/(E13*12)*365,0)</f>
        <v/>
      </c>
      <c r="AC13">
        <f>Q13+M13-(Y13-Y12)</f>
        <v/>
      </c>
    </row>
    <row r="14">
      <c r="A14" t="inlineStr">
        <is>
          <t>jan-25</t>
        </is>
      </c>
      <c r="B14" t="n">
        <v>2025</v>
      </c>
      <c r="C14" t="n">
        <v>1</v>
      </c>
      <c r="D14">
        <f>-SUMIFS('Brondata'!$I$5:$I$1504,'Brondata'!$O$5:$O$1504,"Omzet",'Brondata'!$J$5:$J$1504,$B14,'Brondata'!$K$5:$K$1504,$C14)</f>
        <v/>
      </c>
      <c r="E14">
        <f>SUMIFS('Brondata'!$I$5:$I$1504,'Brondata'!$O$5:$O$1504,"Inkoopwaarde",'Brondata'!$J$5:$J$1504,$B14,'Brondata'!$K$5:$K$1504,$C14)</f>
        <v/>
      </c>
      <c r="F14">
        <f>D14-E14</f>
        <v/>
      </c>
      <c r="G14">
        <f>SUMIFS('Brondata'!$I$5:$I$1504,'Brondata'!$O$5:$O$1504,"Personeelskosten",'Brondata'!$J$5:$J$1504,$B14,'Brondata'!$K$5:$K$1504,$C14)</f>
        <v/>
      </c>
      <c r="H14">
        <f>SUMIFS('Brondata'!$I$5:$I$1504,'Brondata'!$O$5:$O$1504,"Huisvesting",'Brondata'!$J$5:$J$1504,$B14,'Brondata'!$K$5:$K$1504,$C14)</f>
        <v/>
      </c>
      <c r="I14">
        <f>SUMIFS('Brondata'!$I$5:$I$1504,'Brondata'!$O$5:$O$1504,"Autokosten",'Brondata'!$J$5:$J$1504,$B14,'Brondata'!$K$5:$K$1504,$C14)</f>
        <v/>
      </c>
      <c r="J14">
        <f>SUMIFS('Brondata'!$I$5:$I$1504,'Brondata'!$O$5:$O$1504,"Verkoopkosten",'Brondata'!$J$5:$J$1504,$B14,'Brondata'!$K$5:$K$1504,$C14)</f>
        <v/>
      </c>
      <c r="K14">
        <f>SUMIFS('Brondata'!$I$5:$I$1504,'Brondata'!$O$5:$O$1504,"Kantoorkosten",'Brondata'!$J$5:$J$1504,$B14,'Brondata'!$K$5:$K$1504,$C14)</f>
        <v/>
      </c>
      <c r="L14">
        <f>SUMIFS('Brondata'!$I$5:$I$1504,'Brondata'!$O$5:$O$1504,"Algemene kosten",'Brondata'!$J$5:$J$1504,$B14,'Brondata'!$K$5:$K$1504,$C14)</f>
        <v/>
      </c>
      <c r="M14">
        <f>SUMIFS('Brondata'!$I$5:$I$1504,'Brondata'!$O$5:$O$1504,"Afschrijvingen",'Brondata'!$J$5:$J$1504,$B14,'Brondata'!$K$5:$K$1504,$C14)</f>
        <v/>
      </c>
      <c r="N14">
        <f>SUM(G14:M14)</f>
        <v/>
      </c>
      <c r="O14">
        <f>F14-N14</f>
        <v/>
      </c>
      <c r="P14">
        <f>SUMIFS('Brondata'!$I$5:$I$1504,'Brondata'!$O$5:$O$1504,"Financiele baten en lasten",'Brondata'!$J$5:$J$1504,$B14,'Brondata'!$K$5:$K$1504,$C14)</f>
        <v/>
      </c>
      <c r="Q14">
        <f>O14-P14</f>
        <v/>
      </c>
      <c r="R14">
        <f>SUMIFS('Brondata'!$I$5:$I$1504,'Brondata'!$O$5:$O$1504,"Liquide middelen",'Brondata'!$J$5:$J$1504,$B14,'Brondata'!$K$5:$K$1504,"&lt;="&amp;$C14)</f>
        <v/>
      </c>
      <c r="S14">
        <f>SUMIFS('Brondata'!$I$5:$I$1504,'Brondata'!$O$5:$O$1504,"Voorraden",'Brondata'!$J$5:$J$1504,$B14,'Brondata'!$K$5:$K$1504,"&lt;="&amp;$C14)</f>
        <v/>
      </c>
      <c r="T14">
        <f>SUMIFS('Brondata'!$I$5:$I$1504,'Brondata'!$O$5:$O$1504,"Debiteuren",'Brondata'!$J$5:$J$1504,$B14,'Brondata'!$K$5:$K$1504,"&lt;="&amp;$C14)</f>
        <v/>
      </c>
      <c r="U14">
        <f>-SUMIFS('Brondata'!$I$5:$I$1504,'Brondata'!$O$5:$O$1504,"Crediteuren",'Brondata'!$J$5:$J$1504,$B14,'Brondata'!$K$5:$K$1504,"&lt;="&amp;$C14)</f>
        <v/>
      </c>
      <c r="V14">
        <f>-SUMIFS('Brondata'!$I$5:$I$1504,'Brondata'!$O$5:$O$1504,"Eigen vermogen",'Brondata'!$J$5:$J$1504,$B14,'Brondata'!$K$5:$K$1504,"&lt;="&amp;$C14)</f>
        <v/>
      </c>
      <c r="W14">
        <f>SUMIFS('Brondata'!$I$5:$I$1504,'Brondata'!$O$5:$O$1504,"Overige vorderingen",'Brondata'!$J$5:$J$1504,$B14,'Brondata'!$K$5:$K$1504,"&lt;="&amp;$C14)</f>
        <v/>
      </c>
      <c r="X14">
        <f>-SUMIFS('Brondata'!$I$5:$I$1504,'Brondata'!$O$5:$O$1504,"Overige schulden",'Brondata'!$J$5:$J$1504,$B14,'Brondata'!$K$5:$K$1504,"&lt;="&amp;$C14)</f>
        <v/>
      </c>
      <c r="Y14">
        <f>S14+T14+R14+W14-(U14+X14)</f>
        <v/>
      </c>
      <c r="Z14">
        <f>O14+M14</f>
        <v/>
      </c>
      <c r="AA14">
        <f>IFERROR(T14/(D14*12)*365,0)</f>
        <v/>
      </c>
      <c r="AB14">
        <f>IFERROR(U14/(E14*12)*365,0)</f>
        <v/>
      </c>
      <c r="AC14">
        <f>Q14+M14-(Y14-Y13)</f>
        <v/>
      </c>
    </row>
    <row r="15">
      <c r="A15" t="inlineStr">
        <is>
          <t>feb-25</t>
        </is>
      </c>
      <c r="B15" t="n">
        <v>2025</v>
      </c>
      <c r="C15" t="n">
        <v>2</v>
      </c>
      <c r="D15">
        <f>-SUMIFS('Brondata'!$I$5:$I$1504,'Brondata'!$O$5:$O$1504,"Omzet",'Brondata'!$J$5:$J$1504,$B15,'Brondata'!$K$5:$K$1504,$C15)</f>
        <v/>
      </c>
      <c r="E15">
        <f>SUMIFS('Brondata'!$I$5:$I$1504,'Brondata'!$O$5:$O$1504,"Inkoopwaarde",'Brondata'!$J$5:$J$1504,$B15,'Brondata'!$K$5:$K$1504,$C15)</f>
        <v/>
      </c>
      <c r="F15">
        <f>D15-E15</f>
        <v/>
      </c>
      <c r="G15">
        <f>SUMIFS('Brondata'!$I$5:$I$1504,'Brondata'!$O$5:$O$1504,"Personeelskosten",'Brondata'!$J$5:$J$1504,$B15,'Brondata'!$K$5:$K$1504,$C15)</f>
        <v/>
      </c>
      <c r="H15">
        <f>SUMIFS('Brondata'!$I$5:$I$1504,'Brondata'!$O$5:$O$1504,"Huisvesting",'Brondata'!$J$5:$J$1504,$B15,'Brondata'!$K$5:$K$1504,$C15)</f>
        <v/>
      </c>
      <c r="I15">
        <f>SUMIFS('Brondata'!$I$5:$I$1504,'Brondata'!$O$5:$O$1504,"Autokosten",'Brondata'!$J$5:$J$1504,$B15,'Brondata'!$K$5:$K$1504,$C15)</f>
        <v/>
      </c>
      <c r="J15">
        <f>SUMIFS('Brondata'!$I$5:$I$1504,'Brondata'!$O$5:$O$1504,"Verkoopkosten",'Brondata'!$J$5:$J$1504,$B15,'Brondata'!$K$5:$K$1504,$C15)</f>
        <v/>
      </c>
      <c r="K15">
        <f>SUMIFS('Brondata'!$I$5:$I$1504,'Brondata'!$O$5:$O$1504,"Kantoorkosten",'Brondata'!$J$5:$J$1504,$B15,'Brondata'!$K$5:$K$1504,$C15)</f>
        <v/>
      </c>
      <c r="L15">
        <f>SUMIFS('Brondata'!$I$5:$I$1504,'Brondata'!$O$5:$O$1504,"Algemene kosten",'Brondata'!$J$5:$J$1504,$B15,'Brondata'!$K$5:$K$1504,$C15)</f>
        <v/>
      </c>
      <c r="M15">
        <f>SUMIFS('Brondata'!$I$5:$I$1504,'Brondata'!$O$5:$O$1504,"Afschrijvingen",'Brondata'!$J$5:$J$1504,$B15,'Brondata'!$K$5:$K$1504,$C15)</f>
        <v/>
      </c>
      <c r="N15">
        <f>SUM(G15:M15)</f>
        <v/>
      </c>
      <c r="O15">
        <f>F15-N15</f>
        <v/>
      </c>
      <c r="P15">
        <f>SUMIFS('Brondata'!$I$5:$I$1504,'Brondata'!$O$5:$O$1504,"Financiele baten en lasten",'Brondata'!$J$5:$J$1504,$B15,'Brondata'!$K$5:$K$1504,$C15)</f>
        <v/>
      </c>
      <c r="Q15">
        <f>O15-P15</f>
        <v/>
      </c>
      <c r="R15">
        <f>SUMIFS('Brondata'!$I$5:$I$1504,'Brondata'!$O$5:$O$1504,"Liquide middelen",'Brondata'!$J$5:$J$1504,$B15,'Brondata'!$K$5:$K$1504,"&lt;="&amp;$C15)</f>
        <v/>
      </c>
      <c r="S15">
        <f>SUMIFS('Brondata'!$I$5:$I$1504,'Brondata'!$O$5:$O$1504,"Voorraden",'Brondata'!$J$5:$J$1504,$B15,'Brondata'!$K$5:$K$1504,"&lt;="&amp;$C15)</f>
        <v/>
      </c>
      <c r="T15">
        <f>SUMIFS('Brondata'!$I$5:$I$1504,'Brondata'!$O$5:$O$1504,"Debiteuren",'Brondata'!$J$5:$J$1504,$B15,'Brondata'!$K$5:$K$1504,"&lt;="&amp;$C15)</f>
        <v/>
      </c>
      <c r="U15">
        <f>-SUMIFS('Brondata'!$I$5:$I$1504,'Brondata'!$O$5:$O$1504,"Crediteuren",'Brondata'!$J$5:$J$1504,$B15,'Brondata'!$K$5:$K$1504,"&lt;="&amp;$C15)</f>
        <v/>
      </c>
      <c r="V15">
        <f>-SUMIFS('Brondata'!$I$5:$I$1504,'Brondata'!$O$5:$O$1504,"Eigen vermogen",'Brondata'!$J$5:$J$1504,$B15,'Brondata'!$K$5:$K$1504,"&lt;="&amp;$C15)</f>
        <v/>
      </c>
      <c r="W15">
        <f>SUMIFS('Brondata'!$I$5:$I$1504,'Brondata'!$O$5:$O$1504,"Overige vorderingen",'Brondata'!$J$5:$J$1504,$B15,'Brondata'!$K$5:$K$1504,"&lt;="&amp;$C15)</f>
        <v/>
      </c>
      <c r="X15">
        <f>-SUMIFS('Brondata'!$I$5:$I$1504,'Brondata'!$O$5:$O$1504,"Overige schulden",'Brondata'!$J$5:$J$1504,$B15,'Brondata'!$K$5:$K$1504,"&lt;="&amp;$C15)</f>
        <v/>
      </c>
      <c r="Y15">
        <f>S15+T15+R15+W15-(U15+X15)</f>
        <v/>
      </c>
      <c r="Z15">
        <f>O15+M15</f>
        <v/>
      </c>
      <c r="AA15">
        <f>IFERROR(T15/(D15*12)*365,0)</f>
        <v/>
      </c>
      <c r="AB15">
        <f>IFERROR(U15/(E15*12)*365,0)</f>
        <v/>
      </c>
      <c r="AC15">
        <f>Q15+M15-(Y15-Y14)</f>
        <v/>
      </c>
    </row>
    <row r="16">
      <c r="A16" t="inlineStr">
        <is>
          <t>mrt-25</t>
        </is>
      </c>
      <c r="B16" t="n">
        <v>2025</v>
      </c>
      <c r="C16" t="n">
        <v>3</v>
      </c>
      <c r="D16">
        <f>-SUMIFS('Brondata'!$I$5:$I$1504,'Brondata'!$O$5:$O$1504,"Omzet",'Brondata'!$J$5:$J$1504,$B16,'Brondata'!$K$5:$K$1504,$C16)</f>
        <v/>
      </c>
      <c r="E16">
        <f>SUMIFS('Brondata'!$I$5:$I$1504,'Brondata'!$O$5:$O$1504,"Inkoopwaarde",'Brondata'!$J$5:$J$1504,$B16,'Brondata'!$K$5:$K$1504,$C16)</f>
        <v/>
      </c>
      <c r="F16">
        <f>D16-E16</f>
        <v/>
      </c>
      <c r="G16">
        <f>SUMIFS('Brondata'!$I$5:$I$1504,'Brondata'!$O$5:$O$1504,"Personeelskosten",'Brondata'!$J$5:$J$1504,$B16,'Brondata'!$K$5:$K$1504,$C16)</f>
        <v/>
      </c>
      <c r="H16">
        <f>SUMIFS('Brondata'!$I$5:$I$1504,'Brondata'!$O$5:$O$1504,"Huisvesting",'Brondata'!$J$5:$J$1504,$B16,'Brondata'!$K$5:$K$1504,$C16)</f>
        <v/>
      </c>
      <c r="I16">
        <f>SUMIFS('Brondata'!$I$5:$I$1504,'Brondata'!$O$5:$O$1504,"Autokosten",'Brondata'!$J$5:$J$1504,$B16,'Brondata'!$K$5:$K$1504,$C16)</f>
        <v/>
      </c>
      <c r="J16">
        <f>SUMIFS('Brondata'!$I$5:$I$1504,'Brondata'!$O$5:$O$1504,"Verkoopkosten",'Brondata'!$J$5:$J$1504,$B16,'Brondata'!$K$5:$K$1504,$C16)</f>
        <v/>
      </c>
      <c r="K16">
        <f>SUMIFS('Brondata'!$I$5:$I$1504,'Brondata'!$O$5:$O$1504,"Kantoorkosten",'Brondata'!$J$5:$J$1504,$B16,'Brondata'!$K$5:$K$1504,$C16)</f>
        <v/>
      </c>
      <c r="L16">
        <f>SUMIFS('Brondata'!$I$5:$I$1504,'Brondata'!$O$5:$O$1504,"Algemene kosten",'Brondata'!$J$5:$J$1504,$B16,'Brondata'!$K$5:$K$1504,$C16)</f>
        <v/>
      </c>
      <c r="M16">
        <f>SUMIFS('Brondata'!$I$5:$I$1504,'Brondata'!$O$5:$O$1504,"Afschrijvingen",'Brondata'!$J$5:$J$1504,$B16,'Brondata'!$K$5:$K$1504,$C16)</f>
        <v/>
      </c>
      <c r="N16">
        <f>SUM(G16:M16)</f>
        <v/>
      </c>
      <c r="O16">
        <f>F16-N16</f>
        <v/>
      </c>
      <c r="P16">
        <f>SUMIFS('Brondata'!$I$5:$I$1504,'Brondata'!$O$5:$O$1504,"Financiele baten en lasten",'Brondata'!$J$5:$J$1504,$B16,'Brondata'!$K$5:$K$1504,$C16)</f>
        <v/>
      </c>
      <c r="Q16">
        <f>O16-P16</f>
        <v/>
      </c>
      <c r="R16">
        <f>SUMIFS('Brondata'!$I$5:$I$1504,'Brondata'!$O$5:$O$1504,"Liquide middelen",'Brondata'!$J$5:$J$1504,$B16,'Brondata'!$K$5:$K$1504,"&lt;="&amp;$C16)</f>
        <v/>
      </c>
      <c r="S16">
        <f>SUMIFS('Brondata'!$I$5:$I$1504,'Brondata'!$O$5:$O$1504,"Voorraden",'Brondata'!$J$5:$J$1504,$B16,'Brondata'!$K$5:$K$1504,"&lt;="&amp;$C16)</f>
        <v/>
      </c>
      <c r="T16">
        <f>SUMIFS('Brondata'!$I$5:$I$1504,'Brondata'!$O$5:$O$1504,"Debiteuren",'Brondata'!$J$5:$J$1504,$B16,'Brondata'!$K$5:$K$1504,"&lt;="&amp;$C16)</f>
        <v/>
      </c>
      <c r="U16">
        <f>-SUMIFS('Brondata'!$I$5:$I$1504,'Brondata'!$O$5:$O$1504,"Crediteuren",'Brondata'!$J$5:$J$1504,$B16,'Brondata'!$K$5:$K$1504,"&lt;="&amp;$C16)</f>
        <v/>
      </c>
      <c r="V16">
        <f>-SUMIFS('Brondata'!$I$5:$I$1504,'Brondata'!$O$5:$O$1504,"Eigen vermogen",'Brondata'!$J$5:$J$1504,$B16,'Brondata'!$K$5:$K$1504,"&lt;="&amp;$C16)</f>
        <v/>
      </c>
      <c r="W16">
        <f>SUMIFS('Brondata'!$I$5:$I$1504,'Brondata'!$O$5:$O$1504,"Overige vorderingen",'Brondata'!$J$5:$J$1504,$B16,'Brondata'!$K$5:$K$1504,"&lt;="&amp;$C16)</f>
        <v/>
      </c>
      <c r="X16">
        <f>-SUMIFS('Brondata'!$I$5:$I$1504,'Brondata'!$O$5:$O$1504,"Overige schulden",'Brondata'!$J$5:$J$1504,$B16,'Brondata'!$K$5:$K$1504,"&lt;="&amp;$C16)</f>
        <v/>
      </c>
      <c r="Y16">
        <f>S16+T16+R16+W16-(U16+X16)</f>
        <v/>
      </c>
      <c r="Z16">
        <f>O16+M16</f>
        <v/>
      </c>
      <c r="AA16">
        <f>IFERROR(T16/(D16*12)*365,0)</f>
        <v/>
      </c>
      <c r="AB16">
        <f>IFERROR(U16/(E16*12)*365,0)</f>
        <v/>
      </c>
      <c r="AC16">
        <f>Q16+M16-(Y16-Y15)</f>
        <v/>
      </c>
    </row>
    <row r="17">
      <c r="A17" t="inlineStr">
        <is>
          <t>apr-25</t>
        </is>
      </c>
      <c r="B17" t="n">
        <v>2025</v>
      </c>
      <c r="C17" t="n">
        <v>4</v>
      </c>
      <c r="D17">
        <f>-SUMIFS('Brondata'!$I$5:$I$1504,'Brondata'!$O$5:$O$1504,"Omzet",'Brondata'!$J$5:$J$1504,$B17,'Brondata'!$K$5:$K$1504,$C17)</f>
        <v/>
      </c>
      <c r="E17">
        <f>SUMIFS('Brondata'!$I$5:$I$1504,'Brondata'!$O$5:$O$1504,"Inkoopwaarde",'Brondata'!$J$5:$J$1504,$B17,'Brondata'!$K$5:$K$1504,$C17)</f>
        <v/>
      </c>
      <c r="F17">
        <f>D17-E17</f>
        <v/>
      </c>
      <c r="G17">
        <f>SUMIFS('Brondata'!$I$5:$I$1504,'Brondata'!$O$5:$O$1504,"Personeelskosten",'Brondata'!$J$5:$J$1504,$B17,'Brondata'!$K$5:$K$1504,$C17)</f>
        <v/>
      </c>
      <c r="H17">
        <f>SUMIFS('Brondata'!$I$5:$I$1504,'Brondata'!$O$5:$O$1504,"Huisvesting",'Brondata'!$J$5:$J$1504,$B17,'Brondata'!$K$5:$K$1504,$C17)</f>
        <v/>
      </c>
      <c r="I17">
        <f>SUMIFS('Brondata'!$I$5:$I$1504,'Brondata'!$O$5:$O$1504,"Autokosten",'Brondata'!$J$5:$J$1504,$B17,'Brondata'!$K$5:$K$1504,$C17)</f>
        <v/>
      </c>
      <c r="J17">
        <f>SUMIFS('Brondata'!$I$5:$I$1504,'Brondata'!$O$5:$O$1504,"Verkoopkosten",'Brondata'!$J$5:$J$1504,$B17,'Brondata'!$K$5:$K$1504,$C17)</f>
        <v/>
      </c>
      <c r="K17">
        <f>SUMIFS('Brondata'!$I$5:$I$1504,'Brondata'!$O$5:$O$1504,"Kantoorkosten",'Brondata'!$J$5:$J$1504,$B17,'Brondata'!$K$5:$K$1504,$C17)</f>
        <v/>
      </c>
      <c r="L17">
        <f>SUMIFS('Brondata'!$I$5:$I$1504,'Brondata'!$O$5:$O$1504,"Algemene kosten",'Brondata'!$J$5:$J$1504,$B17,'Brondata'!$K$5:$K$1504,$C17)</f>
        <v/>
      </c>
      <c r="M17">
        <f>SUMIFS('Brondata'!$I$5:$I$1504,'Brondata'!$O$5:$O$1504,"Afschrijvingen",'Brondata'!$J$5:$J$1504,$B17,'Brondata'!$K$5:$K$1504,$C17)</f>
        <v/>
      </c>
      <c r="N17">
        <f>SUM(G17:M17)</f>
        <v/>
      </c>
      <c r="O17">
        <f>F17-N17</f>
        <v/>
      </c>
      <c r="P17">
        <f>SUMIFS('Brondata'!$I$5:$I$1504,'Brondata'!$O$5:$O$1504,"Financiele baten en lasten",'Brondata'!$J$5:$J$1504,$B17,'Brondata'!$K$5:$K$1504,$C17)</f>
        <v/>
      </c>
      <c r="Q17">
        <f>O17-P17</f>
        <v/>
      </c>
      <c r="R17">
        <f>SUMIFS('Brondata'!$I$5:$I$1504,'Brondata'!$O$5:$O$1504,"Liquide middelen",'Brondata'!$J$5:$J$1504,$B17,'Brondata'!$K$5:$K$1504,"&lt;="&amp;$C17)</f>
        <v/>
      </c>
      <c r="S17">
        <f>SUMIFS('Brondata'!$I$5:$I$1504,'Brondata'!$O$5:$O$1504,"Voorraden",'Brondata'!$J$5:$J$1504,$B17,'Brondata'!$K$5:$K$1504,"&lt;="&amp;$C17)</f>
        <v/>
      </c>
      <c r="T17">
        <f>SUMIFS('Brondata'!$I$5:$I$1504,'Brondata'!$O$5:$O$1504,"Debiteuren",'Brondata'!$J$5:$J$1504,$B17,'Brondata'!$K$5:$K$1504,"&lt;="&amp;$C17)</f>
        <v/>
      </c>
      <c r="U17">
        <f>-SUMIFS('Brondata'!$I$5:$I$1504,'Brondata'!$O$5:$O$1504,"Crediteuren",'Brondata'!$J$5:$J$1504,$B17,'Brondata'!$K$5:$K$1504,"&lt;="&amp;$C17)</f>
        <v/>
      </c>
      <c r="V17">
        <f>-SUMIFS('Brondata'!$I$5:$I$1504,'Brondata'!$O$5:$O$1504,"Eigen vermogen",'Brondata'!$J$5:$J$1504,$B17,'Brondata'!$K$5:$K$1504,"&lt;="&amp;$C17)</f>
        <v/>
      </c>
      <c r="W17">
        <f>SUMIFS('Brondata'!$I$5:$I$1504,'Brondata'!$O$5:$O$1504,"Overige vorderingen",'Brondata'!$J$5:$J$1504,$B17,'Brondata'!$K$5:$K$1504,"&lt;="&amp;$C17)</f>
        <v/>
      </c>
      <c r="X17">
        <f>-SUMIFS('Brondata'!$I$5:$I$1504,'Brondata'!$O$5:$O$1504,"Overige schulden",'Brondata'!$J$5:$J$1504,$B17,'Brondata'!$K$5:$K$1504,"&lt;="&amp;$C17)</f>
        <v/>
      </c>
      <c r="Y17">
        <f>S17+T17+R17+W17-(U17+X17)</f>
        <v/>
      </c>
      <c r="Z17">
        <f>O17+M17</f>
        <v/>
      </c>
      <c r="AA17">
        <f>IFERROR(T17/(D17*12)*365,0)</f>
        <v/>
      </c>
      <c r="AB17">
        <f>IFERROR(U17/(E17*12)*365,0)</f>
        <v/>
      </c>
      <c r="AC17">
        <f>Q17+M17-(Y17-Y16)</f>
        <v/>
      </c>
    </row>
    <row r="18">
      <c r="A18" t="inlineStr">
        <is>
          <t>mei-25</t>
        </is>
      </c>
      <c r="B18" t="n">
        <v>2025</v>
      </c>
      <c r="C18" t="n">
        <v>5</v>
      </c>
      <c r="D18">
        <f>-SUMIFS('Brondata'!$I$5:$I$1504,'Brondata'!$O$5:$O$1504,"Omzet",'Brondata'!$J$5:$J$1504,$B18,'Brondata'!$K$5:$K$1504,$C18)</f>
        <v/>
      </c>
      <c r="E18">
        <f>SUMIFS('Brondata'!$I$5:$I$1504,'Brondata'!$O$5:$O$1504,"Inkoopwaarde",'Brondata'!$J$5:$J$1504,$B18,'Brondata'!$K$5:$K$1504,$C18)</f>
        <v/>
      </c>
      <c r="F18">
        <f>D18-E18</f>
        <v/>
      </c>
      <c r="G18">
        <f>SUMIFS('Brondata'!$I$5:$I$1504,'Brondata'!$O$5:$O$1504,"Personeelskosten",'Brondata'!$J$5:$J$1504,$B18,'Brondata'!$K$5:$K$1504,$C18)</f>
        <v/>
      </c>
      <c r="H18">
        <f>SUMIFS('Brondata'!$I$5:$I$1504,'Brondata'!$O$5:$O$1504,"Huisvesting",'Brondata'!$J$5:$J$1504,$B18,'Brondata'!$K$5:$K$1504,$C18)</f>
        <v/>
      </c>
      <c r="I18">
        <f>SUMIFS('Brondata'!$I$5:$I$1504,'Brondata'!$O$5:$O$1504,"Autokosten",'Brondata'!$J$5:$J$1504,$B18,'Brondata'!$K$5:$K$1504,$C18)</f>
        <v/>
      </c>
      <c r="J18">
        <f>SUMIFS('Brondata'!$I$5:$I$1504,'Brondata'!$O$5:$O$1504,"Verkoopkosten",'Brondata'!$J$5:$J$1504,$B18,'Brondata'!$K$5:$K$1504,$C18)</f>
        <v/>
      </c>
      <c r="K18">
        <f>SUMIFS('Brondata'!$I$5:$I$1504,'Brondata'!$O$5:$O$1504,"Kantoorkosten",'Brondata'!$J$5:$J$1504,$B18,'Brondata'!$K$5:$K$1504,$C18)</f>
        <v/>
      </c>
      <c r="L18">
        <f>SUMIFS('Brondata'!$I$5:$I$1504,'Brondata'!$O$5:$O$1504,"Algemene kosten",'Brondata'!$J$5:$J$1504,$B18,'Brondata'!$K$5:$K$1504,$C18)</f>
        <v/>
      </c>
      <c r="M18">
        <f>SUMIFS('Brondata'!$I$5:$I$1504,'Brondata'!$O$5:$O$1504,"Afschrijvingen",'Brondata'!$J$5:$J$1504,$B18,'Brondata'!$K$5:$K$1504,$C18)</f>
        <v/>
      </c>
      <c r="N18">
        <f>SUM(G18:M18)</f>
        <v/>
      </c>
      <c r="O18">
        <f>F18-N18</f>
        <v/>
      </c>
      <c r="P18">
        <f>SUMIFS('Brondata'!$I$5:$I$1504,'Brondata'!$O$5:$O$1504,"Financiele baten en lasten",'Brondata'!$J$5:$J$1504,$B18,'Brondata'!$K$5:$K$1504,$C18)</f>
        <v/>
      </c>
      <c r="Q18">
        <f>O18-P18</f>
        <v/>
      </c>
      <c r="R18">
        <f>SUMIFS('Brondata'!$I$5:$I$1504,'Brondata'!$O$5:$O$1504,"Liquide middelen",'Brondata'!$J$5:$J$1504,$B18,'Brondata'!$K$5:$K$1504,"&lt;="&amp;$C18)</f>
        <v/>
      </c>
      <c r="S18">
        <f>SUMIFS('Brondata'!$I$5:$I$1504,'Brondata'!$O$5:$O$1504,"Voorraden",'Brondata'!$J$5:$J$1504,$B18,'Brondata'!$K$5:$K$1504,"&lt;="&amp;$C18)</f>
        <v/>
      </c>
      <c r="T18">
        <f>SUMIFS('Brondata'!$I$5:$I$1504,'Brondata'!$O$5:$O$1504,"Debiteuren",'Brondata'!$J$5:$J$1504,$B18,'Brondata'!$K$5:$K$1504,"&lt;="&amp;$C18)</f>
        <v/>
      </c>
      <c r="U18">
        <f>-SUMIFS('Brondata'!$I$5:$I$1504,'Brondata'!$O$5:$O$1504,"Crediteuren",'Brondata'!$J$5:$J$1504,$B18,'Brondata'!$K$5:$K$1504,"&lt;="&amp;$C18)</f>
        <v/>
      </c>
      <c r="V18">
        <f>-SUMIFS('Brondata'!$I$5:$I$1504,'Brondata'!$O$5:$O$1504,"Eigen vermogen",'Brondata'!$J$5:$J$1504,$B18,'Brondata'!$K$5:$K$1504,"&lt;="&amp;$C18)</f>
        <v/>
      </c>
      <c r="W18">
        <f>SUMIFS('Brondata'!$I$5:$I$1504,'Brondata'!$O$5:$O$1504,"Overige vorderingen",'Brondata'!$J$5:$J$1504,$B18,'Brondata'!$K$5:$K$1504,"&lt;="&amp;$C18)</f>
        <v/>
      </c>
      <c r="X18">
        <f>-SUMIFS('Brondata'!$I$5:$I$1504,'Brondata'!$O$5:$O$1504,"Overige schulden",'Brondata'!$J$5:$J$1504,$B18,'Brondata'!$K$5:$K$1504,"&lt;="&amp;$C18)</f>
        <v/>
      </c>
      <c r="Y18">
        <f>S18+T18+R18+W18-(U18+X18)</f>
        <v/>
      </c>
      <c r="Z18">
        <f>O18+M18</f>
        <v/>
      </c>
      <c r="AA18">
        <f>IFERROR(T18/(D18*12)*365,0)</f>
        <v/>
      </c>
      <c r="AB18">
        <f>IFERROR(U18/(E18*12)*365,0)</f>
        <v/>
      </c>
      <c r="AC18">
        <f>Q18+M18-(Y18-Y17)</f>
        <v/>
      </c>
    </row>
    <row r="19">
      <c r="A19" t="inlineStr">
        <is>
          <t>jun-25</t>
        </is>
      </c>
      <c r="B19" t="n">
        <v>2025</v>
      </c>
      <c r="C19" t="n">
        <v>6</v>
      </c>
      <c r="D19">
        <f>-SUMIFS('Brondata'!$I$5:$I$1504,'Brondata'!$O$5:$O$1504,"Omzet",'Brondata'!$J$5:$J$1504,$B19,'Brondata'!$K$5:$K$1504,$C19)</f>
        <v/>
      </c>
      <c r="E19">
        <f>SUMIFS('Brondata'!$I$5:$I$1504,'Brondata'!$O$5:$O$1504,"Inkoopwaarde",'Brondata'!$J$5:$J$1504,$B19,'Brondata'!$K$5:$K$1504,$C19)</f>
        <v/>
      </c>
      <c r="F19">
        <f>D19-E19</f>
        <v/>
      </c>
      <c r="G19">
        <f>SUMIFS('Brondata'!$I$5:$I$1504,'Brondata'!$O$5:$O$1504,"Personeelskosten",'Brondata'!$J$5:$J$1504,$B19,'Brondata'!$K$5:$K$1504,$C19)</f>
        <v/>
      </c>
      <c r="H19">
        <f>SUMIFS('Brondata'!$I$5:$I$1504,'Brondata'!$O$5:$O$1504,"Huisvesting",'Brondata'!$J$5:$J$1504,$B19,'Brondata'!$K$5:$K$1504,$C19)</f>
        <v/>
      </c>
      <c r="I19">
        <f>SUMIFS('Brondata'!$I$5:$I$1504,'Brondata'!$O$5:$O$1504,"Autokosten",'Brondata'!$J$5:$J$1504,$B19,'Brondata'!$K$5:$K$1504,$C19)</f>
        <v/>
      </c>
      <c r="J19">
        <f>SUMIFS('Brondata'!$I$5:$I$1504,'Brondata'!$O$5:$O$1504,"Verkoopkosten",'Brondata'!$J$5:$J$1504,$B19,'Brondata'!$K$5:$K$1504,$C19)</f>
        <v/>
      </c>
      <c r="K19">
        <f>SUMIFS('Brondata'!$I$5:$I$1504,'Brondata'!$O$5:$O$1504,"Kantoorkosten",'Brondata'!$J$5:$J$1504,$B19,'Brondata'!$K$5:$K$1504,$C19)</f>
        <v/>
      </c>
      <c r="L19">
        <f>SUMIFS('Brondata'!$I$5:$I$1504,'Brondata'!$O$5:$O$1504,"Algemene kosten",'Brondata'!$J$5:$J$1504,$B19,'Brondata'!$K$5:$K$1504,$C19)</f>
        <v/>
      </c>
      <c r="M19">
        <f>SUMIFS('Brondata'!$I$5:$I$1504,'Brondata'!$O$5:$O$1504,"Afschrijvingen",'Brondata'!$J$5:$J$1504,$B19,'Brondata'!$K$5:$K$1504,$C19)</f>
        <v/>
      </c>
      <c r="N19">
        <f>SUM(G19:M19)</f>
        <v/>
      </c>
      <c r="O19">
        <f>F19-N19</f>
        <v/>
      </c>
      <c r="P19">
        <f>SUMIFS('Brondata'!$I$5:$I$1504,'Brondata'!$O$5:$O$1504,"Financiele baten en lasten",'Brondata'!$J$5:$J$1504,$B19,'Brondata'!$K$5:$K$1504,$C19)</f>
        <v/>
      </c>
      <c r="Q19">
        <f>O19-P19</f>
        <v/>
      </c>
      <c r="R19">
        <f>SUMIFS('Brondata'!$I$5:$I$1504,'Brondata'!$O$5:$O$1504,"Liquide middelen",'Brondata'!$J$5:$J$1504,$B19,'Brondata'!$K$5:$K$1504,"&lt;="&amp;$C19)</f>
        <v/>
      </c>
      <c r="S19">
        <f>SUMIFS('Brondata'!$I$5:$I$1504,'Brondata'!$O$5:$O$1504,"Voorraden",'Brondata'!$J$5:$J$1504,$B19,'Brondata'!$K$5:$K$1504,"&lt;="&amp;$C19)</f>
        <v/>
      </c>
      <c r="T19">
        <f>SUMIFS('Brondata'!$I$5:$I$1504,'Brondata'!$O$5:$O$1504,"Debiteuren",'Brondata'!$J$5:$J$1504,$B19,'Brondata'!$K$5:$K$1504,"&lt;="&amp;$C19)</f>
        <v/>
      </c>
      <c r="U19">
        <f>-SUMIFS('Brondata'!$I$5:$I$1504,'Brondata'!$O$5:$O$1504,"Crediteuren",'Brondata'!$J$5:$J$1504,$B19,'Brondata'!$K$5:$K$1504,"&lt;="&amp;$C19)</f>
        <v/>
      </c>
      <c r="V19">
        <f>-SUMIFS('Brondata'!$I$5:$I$1504,'Brondata'!$O$5:$O$1504,"Eigen vermogen",'Brondata'!$J$5:$J$1504,$B19,'Brondata'!$K$5:$K$1504,"&lt;="&amp;$C19)</f>
        <v/>
      </c>
      <c r="W19">
        <f>SUMIFS('Brondata'!$I$5:$I$1504,'Brondata'!$O$5:$O$1504,"Overige vorderingen",'Brondata'!$J$5:$J$1504,$B19,'Brondata'!$K$5:$K$1504,"&lt;="&amp;$C19)</f>
        <v/>
      </c>
      <c r="X19">
        <f>-SUMIFS('Brondata'!$I$5:$I$1504,'Brondata'!$O$5:$O$1504,"Overige schulden",'Brondata'!$J$5:$J$1504,$B19,'Brondata'!$K$5:$K$1504,"&lt;="&amp;$C19)</f>
        <v/>
      </c>
      <c r="Y19">
        <f>S19+T19+R19+W19-(U19+X19)</f>
        <v/>
      </c>
      <c r="Z19">
        <f>O19+M19</f>
        <v/>
      </c>
      <c r="AA19">
        <f>IFERROR(T19/(D19*12)*365,0)</f>
        <v/>
      </c>
      <c r="AB19">
        <f>IFERROR(U19/(E19*12)*365,0)</f>
        <v/>
      </c>
      <c r="AC19">
        <f>Q19+M19-(Y19-Y18)</f>
        <v/>
      </c>
    </row>
    <row r="20">
      <c r="A20" t="inlineStr">
        <is>
          <t>jul-25</t>
        </is>
      </c>
      <c r="B20" t="n">
        <v>2025</v>
      </c>
      <c r="C20" t="n">
        <v>7</v>
      </c>
      <c r="D20">
        <f>-SUMIFS('Brondata'!$I$5:$I$1504,'Brondata'!$O$5:$O$1504,"Omzet",'Brondata'!$J$5:$J$1504,$B20,'Brondata'!$K$5:$K$1504,$C20)</f>
        <v/>
      </c>
      <c r="E20">
        <f>SUMIFS('Brondata'!$I$5:$I$1504,'Brondata'!$O$5:$O$1504,"Inkoopwaarde",'Brondata'!$J$5:$J$1504,$B20,'Brondata'!$K$5:$K$1504,$C20)</f>
        <v/>
      </c>
      <c r="F20">
        <f>D20-E20</f>
        <v/>
      </c>
      <c r="G20">
        <f>SUMIFS('Brondata'!$I$5:$I$1504,'Brondata'!$O$5:$O$1504,"Personeelskosten",'Brondata'!$J$5:$J$1504,$B20,'Brondata'!$K$5:$K$1504,$C20)</f>
        <v/>
      </c>
      <c r="H20">
        <f>SUMIFS('Brondata'!$I$5:$I$1504,'Brondata'!$O$5:$O$1504,"Huisvesting",'Brondata'!$J$5:$J$1504,$B20,'Brondata'!$K$5:$K$1504,$C20)</f>
        <v/>
      </c>
      <c r="I20">
        <f>SUMIFS('Brondata'!$I$5:$I$1504,'Brondata'!$O$5:$O$1504,"Autokosten",'Brondata'!$J$5:$J$1504,$B20,'Brondata'!$K$5:$K$1504,$C20)</f>
        <v/>
      </c>
      <c r="J20">
        <f>SUMIFS('Brondata'!$I$5:$I$1504,'Brondata'!$O$5:$O$1504,"Verkoopkosten",'Brondata'!$J$5:$J$1504,$B20,'Brondata'!$K$5:$K$1504,$C20)</f>
        <v/>
      </c>
      <c r="K20">
        <f>SUMIFS('Brondata'!$I$5:$I$1504,'Brondata'!$O$5:$O$1504,"Kantoorkosten",'Brondata'!$J$5:$J$1504,$B20,'Brondata'!$K$5:$K$1504,$C20)</f>
        <v/>
      </c>
      <c r="L20">
        <f>SUMIFS('Brondata'!$I$5:$I$1504,'Brondata'!$O$5:$O$1504,"Algemene kosten",'Brondata'!$J$5:$J$1504,$B20,'Brondata'!$K$5:$K$1504,$C20)</f>
        <v/>
      </c>
      <c r="M20">
        <f>SUMIFS('Brondata'!$I$5:$I$1504,'Brondata'!$O$5:$O$1504,"Afschrijvingen",'Brondata'!$J$5:$J$1504,$B20,'Brondata'!$K$5:$K$1504,$C20)</f>
        <v/>
      </c>
      <c r="N20">
        <f>SUM(G20:M20)</f>
        <v/>
      </c>
      <c r="O20">
        <f>F20-N20</f>
        <v/>
      </c>
      <c r="P20">
        <f>SUMIFS('Brondata'!$I$5:$I$1504,'Brondata'!$O$5:$O$1504,"Financiele baten en lasten",'Brondata'!$J$5:$J$1504,$B20,'Brondata'!$K$5:$K$1504,$C20)</f>
        <v/>
      </c>
      <c r="Q20">
        <f>O20-P20</f>
        <v/>
      </c>
      <c r="R20">
        <f>SUMIFS('Brondata'!$I$5:$I$1504,'Brondata'!$O$5:$O$1504,"Liquide middelen",'Brondata'!$J$5:$J$1504,$B20,'Brondata'!$K$5:$K$1504,"&lt;="&amp;$C20)</f>
        <v/>
      </c>
      <c r="S20">
        <f>SUMIFS('Brondata'!$I$5:$I$1504,'Brondata'!$O$5:$O$1504,"Voorraden",'Brondata'!$J$5:$J$1504,$B20,'Brondata'!$K$5:$K$1504,"&lt;="&amp;$C20)</f>
        <v/>
      </c>
      <c r="T20">
        <f>SUMIFS('Brondata'!$I$5:$I$1504,'Brondata'!$O$5:$O$1504,"Debiteuren",'Brondata'!$J$5:$J$1504,$B20,'Brondata'!$K$5:$K$1504,"&lt;="&amp;$C20)</f>
        <v/>
      </c>
      <c r="U20">
        <f>-SUMIFS('Brondata'!$I$5:$I$1504,'Brondata'!$O$5:$O$1504,"Crediteuren",'Brondata'!$J$5:$J$1504,$B20,'Brondata'!$K$5:$K$1504,"&lt;="&amp;$C20)</f>
        <v/>
      </c>
      <c r="V20">
        <f>-SUMIFS('Brondata'!$I$5:$I$1504,'Brondata'!$O$5:$O$1504,"Eigen vermogen",'Brondata'!$J$5:$J$1504,$B20,'Brondata'!$K$5:$K$1504,"&lt;="&amp;$C20)</f>
        <v/>
      </c>
      <c r="W20">
        <f>SUMIFS('Brondata'!$I$5:$I$1504,'Brondata'!$O$5:$O$1504,"Overige vorderingen",'Brondata'!$J$5:$J$1504,$B20,'Brondata'!$K$5:$K$1504,"&lt;="&amp;$C20)</f>
        <v/>
      </c>
      <c r="X20">
        <f>-SUMIFS('Brondata'!$I$5:$I$1504,'Brondata'!$O$5:$O$1504,"Overige schulden",'Brondata'!$J$5:$J$1504,$B20,'Brondata'!$K$5:$K$1504,"&lt;="&amp;$C20)</f>
        <v/>
      </c>
      <c r="Y20">
        <f>S20+T20+R20+W20-(U20+X20)</f>
        <v/>
      </c>
      <c r="Z20">
        <f>O20+M20</f>
        <v/>
      </c>
      <c r="AA20">
        <f>IFERROR(T20/(D20*12)*365,0)</f>
        <v/>
      </c>
      <c r="AB20">
        <f>IFERROR(U20/(E20*12)*365,0)</f>
        <v/>
      </c>
      <c r="AC20">
        <f>Q20+M20-(Y20-Y19)</f>
        <v/>
      </c>
    </row>
    <row r="21">
      <c r="A21" t="inlineStr">
        <is>
          <t>aug-25</t>
        </is>
      </c>
      <c r="B21" t="n">
        <v>2025</v>
      </c>
      <c r="C21" t="n">
        <v>8</v>
      </c>
      <c r="D21">
        <f>-SUMIFS('Brondata'!$I$5:$I$1504,'Brondata'!$O$5:$O$1504,"Omzet",'Brondata'!$J$5:$J$1504,$B21,'Brondata'!$K$5:$K$1504,$C21)</f>
        <v/>
      </c>
      <c r="E21">
        <f>SUMIFS('Brondata'!$I$5:$I$1504,'Brondata'!$O$5:$O$1504,"Inkoopwaarde",'Brondata'!$J$5:$J$1504,$B21,'Brondata'!$K$5:$K$1504,$C21)</f>
        <v/>
      </c>
      <c r="F21">
        <f>D21-E21</f>
        <v/>
      </c>
      <c r="G21">
        <f>SUMIFS('Brondata'!$I$5:$I$1504,'Brondata'!$O$5:$O$1504,"Personeelskosten",'Brondata'!$J$5:$J$1504,$B21,'Brondata'!$K$5:$K$1504,$C21)</f>
        <v/>
      </c>
      <c r="H21">
        <f>SUMIFS('Brondata'!$I$5:$I$1504,'Brondata'!$O$5:$O$1504,"Huisvesting",'Brondata'!$J$5:$J$1504,$B21,'Brondata'!$K$5:$K$1504,$C21)</f>
        <v/>
      </c>
      <c r="I21">
        <f>SUMIFS('Brondata'!$I$5:$I$1504,'Brondata'!$O$5:$O$1504,"Autokosten",'Brondata'!$J$5:$J$1504,$B21,'Brondata'!$K$5:$K$1504,$C21)</f>
        <v/>
      </c>
      <c r="J21">
        <f>SUMIFS('Brondata'!$I$5:$I$1504,'Brondata'!$O$5:$O$1504,"Verkoopkosten",'Brondata'!$J$5:$J$1504,$B21,'Brondata'!$K$5:$K$1504,$C21)</f>
        <v/>
      </c>
      <c r="K21">
        <f>SUMIFS('Brondata'!$I$5:$I$1504,'Brondata'!$O$5:$O$1504,"Kantoorkosten",'Brondata'!$J$5:$J$1504,$B21,'Brondata'!$K$5:$K$1504,$C21)</f>
        <v/>
      </c>
      <c r="L21">
        <f>SUMIFS('Brondata'!$I$5:$I$1504,'Brondata'!$O$5:$O$1504,"Algemene kosten",'Brondata'!$J$5:$J$1504,$B21,'Brondata'!$K$5:$K$1504,$C21)</f>
        <v/>
      </c>
      <c r="M21">
        <f>SUMIFS('Brondata'!$I$5:$I$1504,'Brondata'!$O$5:$O$1504,"Afschrijvingen",'Brondata'!$J$5:$J$1504,$B21,'Brondata'!$K$5:$K$1504,$C21)</f>
        <v/>
      </c>
      <c r="N21">
        <f>SUM(G21:M21)</f>
        <v/>
      </c>
      <c r="O21">
        <f>F21-N21</f>
        <v/>
      </c>
      <c r="P21">
        <f>SUMIFS('Brondata'!$I$5:$I$1504,'Brondata'!$O$5:$O$1504,"Financiele baten en lasten",'Brondata'!$J$5:$J$1504,$B21,'Brondata'!$K$5:$K$1504,$C21)</f>
        <v/>
      </c>
      <c r="Q21">
        <f>O21-P21</f>
        <v/>
      </c>
      <c r="R21">
        <f>SUMIFS('Brondata'!$I$5:$I$1504,'Brondata'!$O$5:$O$1504,"Liquide middelen",'Brondata'!$J$5:$J$1504,$B21,'Brondata'!$K$5:$K$1504,"&lt;="&amp;$C21)</f>
        <v/>
      </c>
      <c r="S21">
        <f>SUMIFS('Brondata'!$I$5:$I$1504,'Brondata'!$O$5:$O$1504,"Voorraden",'Brondata'!$J$5:$J$1504,$B21,'Brondata'!$K$5:$K$1504,"&lt;="&amp;$C21)</f>
        <v/>
      </c>
      <c r="T21">
        <f>SUMIFS('Brondata'!$I$5:$I$1504,'Brondata'!$O$5:$O$1504,"Debiteuren",'Brondata'!$J$5:$J$1504,$B21,'Brondata'!$K$5:$K$1504,"&lt;="&amp;$C21)</f>
        <v/>
      </c>
      <c r="U21">
        <f>-SUMIFS('Brondata'!$I$5:$I$1504,'Brondata'!$O$5:$O$1504,"Crediteuren",'Brondata'!$J$5:$J$1504,$B21,'Brondata'!$K$5:$K$1504,"&lt;="&amp;$C21)</f>
        <v/>
      </c>
      <c r="V21">
        <f>-SUMIFS('Brondata'!$I$5:$I$1504,'Brondata'!$O$5:$O$1504,"Eigen vermogen",'Brondata'!$J$5:$J$1504,$B21,'Brondata'!$K$5:$K$1504,"&lt;="&amp;$C21)</f>
        <v/>
      </c>
      <c r="W21">
        <f>SUMIFS('Brondata'!$I$5:$I$1504,'Brondata'!$O$5:$O$1504,"Overige vorderingen",'Brondata'!$J$5:$J$1504,$B21,'Brondata'!$K$5:$K$1504,"&lt;="&amp;$C21)</f>
        <v/>
      </c>
      <c r="X21">
        <f>-SUMIFS('Brondata'!$I$5:$I$1504,'Brondata'!$O$5:$O$1504,"Overige schulden",'Brondata'!$J$5:$J$1504,$B21,'Brondata'!$K$5:$K$1504,"&lt;="&amp;$C21)</f>
        <v/>
      </c>
      <c r="Y21">
        <f>S21+T21+R21+W21-(U21+X21)</f>
        <v/>
      </c>
      <c r="Z21">
        <f>O21+M21</f>
        <v/>
      </c>
      <c r="AA21">
        <f>IFERROR(T21/(D21*12)*365,0)</f>
        <v/>
      </c>
      <c r="AB21">
        <f>IFERROR(U21/(E21*12)*365,0)</f>
        <v/>
      </c>
      <c r="AC21">
        <f>Q21+M21-(Y21-Y20)</f>
        <v/>
      </c>
    </row>
    <row r="22">
      <c r="A22" t="inlineStr">
        <is>
          <t>sep-25</t>
        </is>
      </c>
      <c r="B22" t="n">
        <v>2025</v>
      </c>
      <c r="C22" t="n">
        <v>9</v>
      </c>
      <c r="D22">
        <f>-SUMIFS('Brondata'!$I$5:$I$1504,'Brondata'!$O$5:$O$1504,"Omzet",'Brondata'!$J$5:$J$1504,$B22,'Brondata'!$K$5:$K$1504,$C22)</f>
        <v/>
      </c>
      <c r="E22">
        <f>SUMIFS('Brondata'!$I$5:$I$1504,'Brondata'!$O$5:$O$1504,"Inkoopwaarde",'Brondata'!$J$5:$J$1504,$B22,'Brondata'!$K$5:$K$1504,$C22)</f>
        <v/>
      </c>
      <c r="F22">
        <f>D22-E22</f>
        <v/>
      </c>
      <c r="G22">
        <f>SUMIFS('Brondata'!$I$5:$I$1504,'Brondata'!$O$5:$O$1504,"Personeelskosten",'Brondata'!$J$5:$J$1504,$B22,'Brondata'!$K$5:$K$1504,$C22)</f>
        <v/>
      </c>
      <c r="H22">
        <f>SUMIFS('Brondata'!$I$5:$I$1504,'Brondata'!$O$5:$O$1504,"Huisvesting",'Brondata'!$J$5:$J$1504,$B22,'Brondata'!$K$5:$K$1504,$C22)</f>
        <v/>
      </c>
      <c r="I22">
        <f>SUMIFS('Brondata'!$I$5:$I$1504,'Brondata'!$O$5:$O$1504,"Autokosten",'Brondata'!$J$5:$J$1504,$B22,'Brondata'!$K$5:$K$1504,$C22)</f>
        <v/>
      </c>
      <c r="J22">
        <f>SUMIFS('Brondata'!$I$5:$I$1504,'Brondata'!$O$5:$O$1504,"Verkoopkosten",'Brondata'!$J$5:$J$1504,$B22,'Brondata'!$K$5:$K$1504,$C22)</f>
        <v/>
      </c>
      <c r="K22">
        <f>SUMIFS('Brondata'!$I$5:$I$1504,'Brondata'!$O$5:$O$1504,"Kantoorkosten",'Brondata'!$J$5:$J$1504,$B22,'Brondata'!$K$5:$K$1504,$C22)</f>
        <v/>
      </c>
      <c r="L22">
        <f>SUMIFS('Brondata'!$I$5:$I$1504,'Brondata'!$O$5:$O$1504,"Algemene kosten",'Brondata'!$J$5:$J$1504,$B22,'Brondata'!$K$5:$K$1504,$C22)</f>
        <v/>
      </c>
      <c r="M22">
        <f>SUMIFS('Brondata'!$I$5:$I$1504,'Brondata'!$O$5:$O$1504,"Afschrijvingen",'Brondata'!$J$5:$J$1504,$B22,'Brondata'!$K$5:$K$1504,$C22)</f>
        <v/>
      </c>
      <c r="N22">
        <f>SUM(G22:M22)</f>
        <v/>
      </c>
      <c r="O22">
        <f>F22-N22</f>
        <v/>
      </c>
      <c r="P22">
        <f>SUMIFS('Brondata'!$I$5:$I$1504,'Brondata'!$O$5:$O$1504,"Financiele baten en lasten",'Brondata'!$J$5:$J$1504,$B22,'Brondata'!$K$5:$K$1504,$C22)</f>
        <v/>
      </c>
      <c r="Q22">
        <f>O22-P22</f>
        <v/>
      </c>
      <c r="R22">
        <f>SUMIFS('Brondata'!$I$5:$I$1504,'Brondata'!$O$5:$O$1504,"Liquide middelen",'Brondata'!$J$5:$J$1504,$B22,'Brondata'!$K$5:$K$1504,"&lt;="&amp;$C22)</f>
        <v/>
      </c>
      <c r="S22">
        <f>SUMIFS('Brondata'!$I$5:$I$1504,'Brondata'!$O$5:$O$1504,"Voorraden",'Brondata'!$J$5:$J$1504,$B22,'Brondata'!$K$5:$K$1504,"&lt;="&amp;$C22)</f>
        <v/>
      </c>
      <c r="T22">
        <f>SUMIFS('Brondata'!$I$5:$I$1504,'Brondata'!$O$5:$O$1504,"Debiteuren",'Brondata'!$J$5:$J$1504,$B22,'Brondata'!$K$5:$K$1504,"&lt;="&amp;$C22)</f>
        <v/>
      </c>
      <c r="U22">
        <f>-SUMIFS('Brondata'!$I$5:$I$1504,'Brondata'!$O$5:$O$1504,"Crediteuren",'Brondata'!$J$5:$J$1504,$B22,'Brondata'!$K$5:$K$1504,"&lt;="&amp;$C22)</f>
        <v/>
      </c>
      <c r="V22">
        <f>-SUMIFS('Brondata'!$I$5:$I$1504,'Brondata'!$O$5:$O$1504,"Eigen vermogen",'Brondata'!$J$5:$J$1504,$B22,'Brondata'!$K$5:$K$1504,"&lt;="&amp;$C22)</f>
        <v/>
      </c>
      <c r="W22">
        <f>SUMIFS('Brondata'!$I$5:$I$1504,'Brondata'!$O$5:$O$1504,"Overige vorderingen",'Brondata'!$J$5:$J$1504,$B22,'Brondata'!$K$5:$K$1504,"&lt;="&amp;$C22)</f>
        <v/>
      </c>
      <c r="X22">
        <f>-SUMIFS('Brondata'!$I$5:$I$1504,'Brondata'!$O$5:$O$1504,"Overige schulden",'Brondata'!$J$5:$J$1504,$B22,'Brondata'!$K$5:$K$1504,"&lt;="&amp;$C22)</f>
        <v/>
      </c>
      <c r="Y22">
        <f>S22+T22+R22+W22-(U22+X22)</f>
        <v/>
      </c>
      <c r="Z22">
        <f>O22+M22</f>
        <v/>
      </c>
      <c r="AA22">
        <f>IFERROR(T22/(D22*12)*365,0)</f>
        <v/>
      </c>
      <c r="AB22">
        <f>IFERROR(U22/(E22*12)*365,0)</f>
        <v/>
      </c>
      <c r="AC22">
        <f>Q22+M22-(Y22-Y21)</f>
        <v/>
      </c>
    </row>
    <row r="23">
      <c r="A23" t="inlineStr">
        <is>
          <t>okt-25</t>
        </is>
      </c>
      <c r="B23" t="n">
        <v>2025</v>
      </c>
      <c r="C23" t="n">
        <v>10</v>
      </c>
      <c r="D23">
        <f>-SUMIFS('Brondata'!$I$5:$I$1504,'Brondata'!$O$5:$O$1504,"Omzet",'Brondata'!$J$5:$J$1504,$B23,'Brondata'!$K$5:$K$1504,$C23)</f>
        <v/>
      </c>
      <c r="E23">
        <f>SUMIFS('Brondata'!$I$5:$I$1504,'Brondata'!$O$5:$O$1504,"Inkoopwaarde",'Brondata'!$J$5:$J$1504,$B23,'Brondata'!$K$5:$K$1504,$C23)</f>
        <v/>
      </c>
      <c r="F23">
        <f>D23-E23</f>
        <v/>
      </c>
      <c r="G23">
        <f>SUMIFS('Brondata'!$I$5:$I$1504,'Brondata'!$O$5:$O$1504,"Personeelskosten",'Brondata'!$J$5:$J$1504,$B23,'Brondata'!$K$5:$K$1504,$C23)</f>
        <v/>
      </c>
      <c r="H23">
        <f>SUMIFS('Brondata'!$I$5:$I$1504,'Brondata'!$O$5:$O$1504,"Huisvesting",'Brondata'!$J$5:$J$1504,$B23,'Brondata'!$K$5:$K$1504,$C23)</f>
        <v/>
      </c>
      <c r="I23">
        <f>SUMIFS('Brondata'!$I$5:$I$1504,'Brondata'!$O$5:$O$1504,"Autokosten",'Brondata'!$J$5:$J$1504,$B23,'Brondata'!$K$5:$K$1504,$C23)</f>
        <v/>
      </c>
      <c r="J23">
        <f>SUMIFS('Brondata'!$I$5:$I$1504,'Brondata'!$O$5:$O$1504,"Verkoopkosten",'Brondata'!$J$5:$J$1504,$B23,'Brondata'!$K$5:$K$1504,$C23)</f>
        <v/>
      </c>
      <c r="K23">
        <f>SUMIFS('Brondata'!$I$5:$I$1504,'Brondata'!$O$5:$O$1504,"Kantoorkosten",'Brondata'!$J$5:$J$1504,$B23,'Brondata'!$K$5:$K$1504,$C23)</f>
        <v/>
      </c>
      <c r="L23">
        <f>SUMIFS('Brondata'!$I$5:$I$1504,'Brondata'!$O$5:$O$1504,"Algemene kosten",'Brondata'!$J$5:$J$1504,$B23,'Brondata'!$K$5:$K$1504,$C23)</f>
        <v/>
      </c>
      <c r="M23">
        <f>SUMIFS('Brondata'!$I$5:$I$1504,'Brondata'!$O$5:$O$1504,"Afschrijvingen",'Brondata'!$J$5:$J$1504,$B23,'Brondata'!$K$5:$K$1504,$C23)</f>
        <v/>
      </c>
      <c r="N23">
        <f>SUM(G23:M23)</f>
        <v/>
      </c>
      <c r="O23">
        <f>F23-N23</f>
        <v/>
      </c>
      <c r="P23">
        <f>SUMIFS('Brondata'!$I$5:$I$1504,'Brondata'!$O$5:$O$1504,"Financiele baten en lasten",'Brondata'!$J$5:$J$1504,$B23,'Brondata'!$K$5:$K$1504,$C23)</f>
        <v/>
      </c>
      <c r="Q23">
        <f>O23-P23</f>
        <v/>
      </c>
      <c r="R23">
        <f>SUMIFS('Brondata'!$I$5:$I$1504,'Brondata'!$O$5:$O$1504,"Liquide middelen",'Brondata'!$J$5:$J$1504,$B23,'Brondata'!$K$5:$K$1504,"&lt;="&amp;$C23)</f>
        <v/>
      </c>
      <c r="S23">
        <f>SUMIFS('Brondata'!$I$5:$I$1504,'Brondata'!$O$5:$O$1504,"Voorraden",'Brondata'!$J$5:$J$1504,$B23,'Brondata'!$K$5:$K$1504,"&lt;="&amp;$C23)</f>
        <v/>
      </c>
      <c r="T23">
        <f>SUMIFS('Brondata'!$I$5:$I$1504,'Brondata'!$O$5:$O$1504,"Debiteuren",'Brondata'!$J$5:$J$1504,$B23,'Brondata'!$K$5:$K$1504,"&lt;="&amp;$C23)</f>
        <v/>
      </c>
      <c r="U23">
        <f>-SUMIFS('Brondata'!$I$5:$I$1504,'Brondata'!$O$5:$O$1504,"Crediteuren",'Brondata'!$J$5:$J$1504,$B23,'Brondata'!$K$5:$K$1504,"&lt;="&amp;$C23)</f>
        <v/>
      </c>
      <c r="V23">
        <f>-SUMIFS('Brondata'!$I$5:$I$1504,'Brondata'!$O$5:$O$1504,"Eigen vermogen",'Brondata'!$J$5:$J$1504,$B23,'Brondata'!$K$5:$K$1504,"&lt;="&amp;$C23)</f>
        <v/>
      </c>
      <c r="W23">
        <f>SUMIFS('Brondata'!$I$5:$I$1504,'Brondata'!$O$5:$O$1504,"Overige vorderingen",'Brondata'!$J$5:$J$1504,$B23,'Brondata'!$K$5:$K$1504,"&lt;="&amp;$C23)</f>
        <v/>
      </c>
      <c r="X23">
        <f>-SUMIFS('Brondata'!$I$5:$I$1504,'Brondata'!$O$5:$O$1504,"Overige schulden",'Brondata'!$J$5:$J$1504,$B23,'Brondata'!$K$5:$K$1504,"&lt;="&amp;$C23)</f>
        <v/>
      </c>
      <c r="Y23">
        <f>S23+T23+R23+W23-(U23+X23)</f>
        <v/>
      </c>
      <c r="Z23">
        <f>O23+M23</f>
        <v/>
      </c>
      <c r="AA23">
        <f>IFERROR(T23/(D23*12)*365,0)</f>
        <v/>
      </c>
      <c r="AB23">
        <f>IFERROR(U23/(E23*12)*365,0)</f>
        <v/>
      </c>
      <c r="AC23">
        <f>Q23+M23-(Y23-Y22)</f>
        <v/>
      </c>
    </row>
    <row r="24">
      <c r="A24" t="inlineStr">
        <is>
          <t>nov-25</t>
        </is>
      </c>
      <c r="B24" t="n">
        <v>2025</v>
      </c>
      <c r="C24" t="n">
        <v>11</v>
      </c>
      <c r="D24">
        <f>-SUMIFS('Brondata'!$I$5:$I$1504,'Brondata'!$O$5:$O$1504,"Omzet",'Brondata'!$J$5:$J$1504,$B24,'Brondata'!$K$5:$K$1504,$C24)</f>
        <v/>
      </c>
      <c r="E24">
        <f>SUMIFS('Brondata'!$I$5:$I$1504,'Brondata'!$O$5:$O$1504,"Inkoopwaarde",'Brondata'!$J$5:$J$1504,$B24,'Brondata'!$K$5:$K$1504,$C24)</f>
        <v/>
      </c>
      <c r="F24">
        <f>D24-E24</f>
        <v/>
      </c>
      <c r="G24">
        <f>SUMIFS('Brondata'!$I$5:$I$1504,'Brondata'!$O$5:$O$1504,"Personeelskosten",'Brondata'!$J$5:$J$1504,$B24,'Brondata'!$K$5:$K$1504,$C24)</f>
        <v/>
      </c>
      <c r="H24">
        <f>SUMIFS('Brondata'!$I$5:$I$1504,'Brondata'!$O$5:$O$1504,"Huisvesting",'Brondata'!$J$5:$J$1504,$B24,'Brondata'!$K$5:$K$1504,$C24)</f>
        <v/>
      </c>
      <c r="I24">
        <f>SUMIFS('Brondata'!$I$5:$I$1504,'Brondata'!$O$5:$O$1504,"Autokosten",'Brondata'!$J$5:$J$1504,$B24,'Brondata'!$K$5:$K$1504,$C24)</f>
        <v/>
      </c>
      <c r="J24">
        <f>SUMIFS('Brondata'!$I$5:$I$1504,'Brondata'!$O$5:$O$1504,"Verkoopkosten",'Brondata'!$J$5:$J$1504,$B24,'Brondata'!$K$5:$K$1504,$C24)</f>
        <v/>
      </c>
      <c r="K24">
        <f>SUMIFS('Brondata'!$I$5:$I$1504,'Brondata'!$O$5:$O$1504,"Kantoorkosten",'Brondata'!$J$5:$J$1504,$B24,'Brondata'!$K$5:$K$1504,$C24)</f>
        <v/>
      </c>
      <c r="L24">
        <f>SUMIFS('Brondata'!$I$5:$I$1504,'Brondata'!$O$5:$O$1504,"Algemene kosten",'Brondata'!$J$5:$J$1504,$B24,'Brondata'!$K$5:$K$1504,$C24)</f>
        <v/>
      </c>
      <c r="M24">
        <f>SUMIFS('Brondata'!$I$5:$I$1504,'Brondata'!$O$5:$O$1504,"Afschrijvingen",'Brondata'!$J$5:$J$1504,$B24,'Brondata'!$K$5:$K$1504,$C24)</f>
        <v/>
      </c>
      <c r="N24">
        <f>SUM(G24:M24)</f>
        <v/>
      </c>
      <c r="O24">
        <f>F24-N24</f>
        <v/>
      </c>
      <c r="P24">
        <f>SUMIFS('Brondata'!$I$5:$I$1504,'Brondata'!$O$5:$O$1504,"Financiele baten en lasten",'Brondata'!$J$5:$J$1504,$B24,'Brondata'!$K$5:$K$1504,$C24)</f>
        <v/>
      </c>
      <c r="Q24">
        <f>O24-P24</f>
        <v/>
      </c>
      <c r="R24">
        <f>SUMIFS('Brondata'!$I$5:$I$1504,'Brondata'!$O$5:$O$1504,"Liquide middelen",'Brondata'!$J$5:$J$1504,$B24,'Brondata'!$K$5:$K$1504,"&lt;="&amp;$C24)</f>
        <v/>
      </c>
      <c r="S24">
        <f>SUMIFS('Brondata'!$I$5:$I$1504,'Brondata'!$O$5:$O$1504,"Voorraden",'Brondata'!$J$5:$J$1504,$B24,'Brondata'!$K$5:$K$1504,"&lt;="&amp;$C24)</f>
        <v/>
      </c>
      <c r="T24">
        <f>SUMIFS('Brondata'!$I$5:$I$1504,'Brondata'!$O$5:$O$1504,"Debiteuren",'Brondata'!$J$5:$J$1504,$B24,'Brondata'!$K$5:$K$1504,"&lt;="&amp;$C24)</f>
        <v/>
      </c>
      <c r="U24">
        <f>-SUMIFS('Brondata'!$I$5:$I$1504,'Brondata'!$O$5:$O$1504,"Crediteuren",'Brondata'!$J$5:$J$1504,$B24,'Brondata'!$K$5:$K$1504,"&lt;="&amp;$C24)</f>
        <v/>
      </c>
      <c r="V24">
        <f>-SUMIFS('Brondata'!$I$5:$I$1504,'Brondata'!$O$5:$O$1504,"Eigen vermogen",'Brondata'!$J$5:$J$1504,$B24,'Brondata'!$K$5:$K$1504,"&lt;="&amp;$C24)</f>
        <v/>
      </c>
      <c r="W24">
        <f>SUMIFS('Brondata'!$I$5:$I$1504,'Brondata'!$O$5:$O$1504,"Overige vorderingen",'Brondata'!$J$5:$J$1504,$B24,'Brondata'!$K$5:$K$1504,"&lt;="&amp;$C24)</f>
        <v/>
      </c>
      <c r="X24">
        <f>-SUMIFS('Brondata'!$I$5:$I$1504,'Brondata'!$O$5:$O$1504,"Overige schulden",'Brondata'!$J$5:$J$1504,$B24,'Brondata'!$K$5:$K$1504,"&lt;="&amp;$C24)</f>
        <v/>
      </c>
      <c r="Y24">
        <f>S24+T24+R24+W24-(U24+X24)</f>
        <v/>
      </c>
      <c r="Z24">
        <f>O24+M24</f>
        <v/>
      </c>
      <c r="AA24">
        <f>IFERROR(T24/(D24*12)*365,0)</f>
        <v/>
      </c>
      <c r="AB24">
        <f>IFERROR(U24/(E24*12)*365,0)</f>
        <v/>
      </c>
      <c r="AC24">
        <f>Q24+M24-(Y24-Y23)</f>
        <v/>
      </c>
    </row>
    <row r="25">
      <c r="A25" t="inlineStr">
        <is>
          <t>dec-25</t>
        </is>
      </c>
      <c r="B25" t="n">
        <v>2025</v>
      </c>
      <c r="C25" t="n">
        <v>12</v>
      </c>
      <c r="D25">
        <f>-SUMIFS('Brondata'!$I$5:$I$1504,'Brondata'!$O$5:$O$1504,"Omzet",'Brondata'!$J$5:$J$1504,$B25,'Brondata'!$K$5:$K$1504,$C25)</f>
        <v/>
      </c>
      <c r="E25">
        <f>SUMIFS('Brondata'!$I$5:$I$1504,'Brondata'!$O$5:$O$1504,"Inkoopwaarde",'Brondata'!$J$5:$J$1504,$B25,'Brondata'!$K$5:$K$1504,$C25)</f>
        <v/>
      </c>
      <c r="F25">
        <f>D25-E25</f>
        <v/>
      </c>
      <c r="G25">
        <f>SUMIFS('Brondata'!$I$5:$I$1504,'Brondata'!$O$5:$O$1504,"Personeelskosten",'Brondata'!$J$5:$J$1504,$B25,'Brondata'!$K$5:$K$1504,$C25)</f>
        <v/>
      </c>
      <c r="H25">
        <f>SUMIFS('Brondata'!$I$5:$I$1504,'Brondata'!$O$5:$O$1504,"Huisvesting",'Brondata'!$J$5:$J$1504,$B25,'Brondata'!$K$5:$K$1504,$C25)</f>
        <v/>
      </c>
      <c r="I25">
        <f>SUMIFS('Brondata'!$I$5:$I$1504,'Brondata'!$O$5:$O$1504,"Autokosten",'Brondata'!$J$5:$J$1504,$B25,'Brondata'!$K$5:$K$1504,$C25)</f>
        <v/>
      </c>
      <c r="J25">
        <f>SUMIFS('Brondata'!$I$5:$I$1504,'Brondata'!$O$5:$O$1504,"Verkoopkosten",'Brondata'!$J$5:$J$1504,$B25,'Brondata'!$K$5:$K$1504,$C25)</f>
        <v/>
      </c>
      <c r="K25">
        <f>SUMIFS('Brondata'!$I$5:$I$1504,'Brondata'!$O$5:$O$1504,"Kantoorkosten",'Brondata'!$J$5:$J$1504,$B25,'Brondata'!$K$5:$K$1504,$C25)</f>
        <v/>
      </c>
      <c r="L25">
        <f>SUMIFS('Brondata'!$I$5:$I$1504,'Brondata'!$O$5:$O$1504,"Algemene kosten",'Brondata'!$J$5:$J$1504,$B25,'Brondata'!$K$5:$K$1504,$C25)</f>
        <v/>
      </c>
      <c r="M25">
        <f>SUMIFS('Brondata'!$I$5:$I$1504,'Brondata'!$O$5:$O$1504,"Afschrijvingen",'Brondata'!$J$5:$J$1504,$B25,'Brondata'!$K$5:$K$1504,$C25)</f>
        <v/>
      </c>
      <c r="N25">
        <f>SUM(G25:M25)</f>
        <v/>
      </c>
      <c r="O25">
        <f>F25-N25</f>
        <v/>
      </c>
      <c r="P25">
        <f>SUMIFS('Brondata'!$I$5:$I$1504,'Brondata'!$O$5:$O$1504,"Financiele baten en lasten",'Brondata'!$J$5:$J$1504,$B25,'Brondata'!$K$5:$K$1504,$C25)</f>
        <v/>
      </c>
      <c r="Q25">
        <f>O25-P25</f>
        <v/>
      </c>
      <c r="R25">
        <f>SUMIFS('Brondata'!$I$5:$I$1504,'Brondata'!$O$5:$O$1504,"Liquide middelen",'Brondata'!$J$5:$J$1504,$B25,'Brondata'!$K$5:$K$1504,"&lt;="&amp;$C25)</f>
        <v/>
      </c>
      <c r="S25">
        <f>SUMIFS('Brondata'!$I$5:$I$1504,'Brondata'!$O$5:$O$1504,"Voorraden",'Brondata'!$J$5:$J$1504,$B25,'Brondata'!$K$5:$K$1504,"&lt;="&amp;$C25)</f>
        <v/>
      </c>
      <c r="T25">
        <f>SUMIFS('Brondata'!$I$5:$I$1504,'Brondata'!$O$5:$O$1504,"Debiteuren",'Brondata'!$J$5:$J$1504,$B25,'Brondata'!$K$5:$K$1504,"&lt;="&amp;$C25)</f>
        <v/>
      </c>
      <c r="U25">
        <f>-SUMIFS('Brondata'!$I$5:$I$1504,'Brondata'!$O$5:$O$1504,"Crediteuren",'Brondata'!$J$5:$J$1504,$B25,'Brondata'!$K$5:$K$1504,"&lt;="&amp;$C25)</f>
        <v/>
      </c>
      <c r="V25">
        <f>-SUMIFS('Brondata'!$I$5:$I$1504,'Brondata'!$O$5:$O$1504,"Eigen vermogen",'Brondata'!$J$5:$J$1504,$B25,'Brondata'!$K$5:$K$1504,"&lt;="&amp;$C25)</f>
        <v/>
      </c>
      <c r="W25">
        <f>SUMIFS('Brondata'!$I$5:$I$1504,'Brondata'!$O$5:$O$1504,"Overige vorderingen",'Brondata'!$J$5:$J$1504,$B25,'Brondata'!$K$5:$K$1504,"&lt;="&amp;$C25)</f>
        <v/>
      </c>
      <c r="X25">
        <f>-SUMIFS('Brondata'!$I$5:$I$1504,'Brondata'!$O$5:$O$1504,"Overige schulden",'Brondata'!$J$5:$J$1504,$B25,'Brondata'!$K$5:$K$1504,"&lt;="&amp;$C25)</f>
        <v/>
      </c>
      <c r="Y25">
        <f>S25+T25+R25+W25-(U25+X25)</f>
        <v/>
      </c>
      <c r="Z25">
        <f>O25+M25</f>
        <v/>
      </c>
      <c r="AA25">
        <f>IFERROR(T25/(D25*12)*365,0)</f>
        <v/>
      </c>
      <c r="AB25">
        <f>IFERROR(U25/(E25*12)*365,0)</f>
        <v/>
      </c>
      <c r="AC25">
        <f>Q25+M25-(Y25-Y24)</f>
        <v/>
      </c>
    </row>
    <row r="28">
      <c r="A28" s="104" t="inlineStr">
        <is>
          <t>Maand</t>
        </is>
      </c>
      <c r="B28" s="104" t="inlineStr">
        <is>
          <t>Omzet dit jaar</t>
        </is>
      </c>
      <c r="C28" s="104" t="inlineStr">
        <is>
          <t>Omzet vorig jaar</t>
        </is>
      </c>
      <c r="D28" s="104" t="inlineStr">
        <is>
          <t>Brutowinst dit jaar</t>
        </is>
      </c>
      <c r="E28" s="104" t="inlineStr">
        <is>
          <t>Brutowinst vorig jaar</t>
        </is>
      </c>
      <c r="F28" s="104" t="inlineStr">
        <is>
          <t>Resultaat dit jaar</t>
        </is>
      </c>
      <c r="G28" s="104" t="inlineStr">
        <is>
          <t>Resultaat vorig jaar</t>
        </is>
      </c>
      <c r="H28" s="104" t="inlineStr">
        <is>
          <t>Liquide dit jaar</t>
        </is>
      </c>
      <c r="I28" s="104" t="inlineStr">
        <is>
          <t>Liquide vorig jaar</t>
        </is>
      </c>
      <c r="J28" s="104" t="inlineStr">
        <is>
          <t>Voorraad dit jaar</t>
        </is>
      </c>
      <c r="K28" s="104" t="inlineStr">
        <is>
          <t>Voorraad vorig jaar</t>
        </is>
      </c>
      <c r="L28" s="104" t="inlineStr">
        <is>
          <t>Debiteuren</t>
        </is>
      </c>
      <c r="M28" s="104" t="inlineStr">
        <is>
          <t>Crediteuren</t>
        </is>
      </c>
      <c r="N28" s="104" t="inlineStr">
        <is>
          <t>DSO</t>
        </is>
      </c>
      <c r="O28" s="104" t="inlineStr">
        <is>
          <t>DPO</t>
        </is>
      </c>
      <c r="P28" s="104" t="inlineStr">
        <is>
          <t>Cashflow</t>
        </is>
      </c>
    </row>
    <row r="29">
      <c r="A29" t="inlineStr">
        <is>
          <t>jan</t>
        </is>
      </c>
      <c r="B29">
        <f>D14</f>
        <v/>
      </c>
      <c r="C29">
        <f>D2</f>
        <v/>
      </c>
      <c r="D29">
        <f>F14</f>
        <v/>
      </c>
      <c r="E29">
        <f>F2</f>
        <v/>
      </c>
      <c r="F29">
        <f>Q14</f>
        <v/>
      </c>
      <c r="G29">
        <f>Q2</f>
        <v/>
      </c>
      <c r="H29">
        <f>R14</f>
        <v/>
      </c>
      <c r="I29">
        <f>R2</f>
        <v/>
      </c>
      <c r="J29">
        <f>S14</f>
        <v/>
      </c>
      <c r="K29">
        <f>S2</f>
        <v/>
      </c>
      <c r="L29">
        <f>T14</f>
        <v/>
      </c>
      <c r="M29">
        <f>U14</f>
        <v/>
      </c>
      <c r="N29">
        <f>AA14</f>
        <v/>
      </c>
      <c r="O29">
        <f>AB14</f>
        <v/>
      </c>
      <c r="P29">
        <f>AC14</f>
        <v/>
      </c>
    </row>
    <row r="30">
      <c r="A30" t="inlineStr">
        <is>
          <t>feb</t>
        </is>
      </c>
      <c r="B30">
        <f>D15</f>
        <v/>
      </c>
      <c r="C30">
        <f>D3</f>
        <v/>
      </c>
      <c r="D30">
        <f>F15</f>
        <v/>
      </c>
      <c r="E30">
        <f>F3</f>
        <v/>
      </c>
      <c r="F30">
        <f>Q15</f>
        <v/>
      </c>
      <c r="G30">
        <f>Q3</f>
        <v/>
      </c>
      <c r="H30">
        <f>R15</f>
        <v/>
      </c>
      <c r="I30">
        <f>R3</f>
        <v/>
      </c>
      <c r="J30">
        <f>S15</f>
        <v/>
      </c>
      <c r="K30">
        <f>S3</f>
        <v/>
      </c>
      <c r="L30">
        <f>T15</f>
        <v/>
      </c>
      <c r="M30">
        <f>U15</f>
        <v/>
      </c>
      <c r="N30">
        <f>AA15</f>
        <v/>
      </c>
      <c r="O30">
        <f>AB15</f>
        <v/>
      </c>
      <c r="P30">
        <f>AC15</f>
        <v/>
      </c>
    </row>
    <row r="31">
      <c r="A31" t="inlineStr">
        <is>
          <t>mrt</t>
        </is>
      </c>
      <c r="B31">
        <f>D16</f>
        <v/>
      </c>
      <c r="C31">
        <f>D4</f>
        <v/>
      </c>
      <c r="D31">
        <f>F16</f>
        <v/>
      </c>
      <c r="E31">
        <f>F4</f>
        <v/>
      </c>
      <c r="F31">
        <f>Q16</f>
        <v/>
      </c>
      <c r="G31">
        <f>Q4</f>
        <v/>
      </c>
      <c r="H31">
        <f>R16</f>
        <v/>
      </c>
      <c r="I31">
        <f>R4</f>
        <v/>
      </c>
      <c r="J31">
        <f>S16</f>
        <v/>
      </c>
      <c r="K31">
        <f>S4</f>
        <v/>
      </c>
      <c r="L31">
        <f>T16</f>
        <v/>
      </c>
      <c r="M31">
        <f>U16</f>
        <v/>
      </c>
      <c r="N31">
        <f>AA16</f>
        <v/>
      </c>
      <c r="O31">
        <f>AB16</f>
        <v/>
      </c>
      <c r="P31">
        <f>AC16</f>
        <v/>
      </c>
    </row>
    <row r="32">
      <c r="A32" t="inlineStr">
        <is>
          <t>apr</t>
        </is>
      </c>
      <c r="B32">
        <f>D17</f>
        <v/>
      </c>
      <c r="C32">
        <f>D5</f>
        <v/>
      </c>
      <c r="D32">
        <f>F17</f>
        <v/>
      </c>
      <c r="E32">
        <f>F5</f>
        <v/>
      </c>
      <c r="F32">
        <f>Q17</f>
        <v/>
      </c>
      <c r="G32">
        <f>Q5</f>
        <v/>
      </c>
      <c r="H32">
        <f>R17</f>
        <v/>
      </c>
      <c r="I32">
        <f>R5</f>
        <v/>
      </c>
      <c r="J32">
        <f>S17</f>
        <v/>
      </c>
      <c r="K32">
        <f>S5</f>
        <v/>
      </c>
      <c r="L32">
        <f>T17</f>
        <v/>
      </c>
      <c r="M32">
        <f>U17</f>
        <v/>
      </c>
      <c r="N32">
        <f>AA17</f>
        <v/>
      </c>
      <c r="O32">
        <f>AB17</f>
        <v/>
      </c>
      <c r="P32">
        <f>AC17</f>
        <v/>
      </c>
    </row>
    <row r="33">
      <c r="A33" t="inlineStr">
        <is>
          <t>mei</t>
        </is>
      </c>
      <c r="B33">
        <f>D18</f>
        <v/>
      </c>
      <c r="C33">
        <f>D6</f>
        <v/>
      </c>
      <c r="D33">
        <f>F18</f>
        <v/>
      </c>
      <c r="E33">
        <f>F6</f>
        <v/>
      </c>
      <c r="F33">
        <f>Q18</f>
        <v/>
      </c>
      <c r="G33">
        <f>Q6</f>
        <v/>
      </c>
      <c r="H33">
        <f>R18</f>
        <v/>
      </c>
      <c r="I33">
        <f>R6</f>
        <v/>
      </c>
      <c r="J33">
        <f>S18</f>
        <v/>
      </c>
      <c r="K33">
        <f>S6</f>
        <v/>
      </c>
      <c r="L33">
        <f>T18</f>
        <v/>
      </c>
      <c r="M33">
        <f>U18</f>
        <v/>
      </c>
      <c r="N33">
        <f>AA18</f>
        <v/>
      </c>
      <c r="O33">
        <f>AB18</f>
        <v/>
      </c>
      <c r="P33">
        <f>AC18</f>
        <v/>
      </c>
    </row>
    <row r="34">
      <c r="A34" t="inlineStr">
        <is>
          <t>jun</t>
        </is>
      </c>
      <c r="B34">
        <f>D19</f>
        <v/>
      </c>
      <c r="C34">
        <f>D7</f>
        <v/>
      </c>
      <c r="D34">
        <f>F19</f>
        <v/>
      </c>
      <c r="E34">
        <f>F7</f>
        <v/>
      </c>
      <c r="F34">
        <f>Q19</f>
        <v/>
      </c>
      <c r="G34">
        <f>Q7</f>
        <v/>
      </c>
      <c r="H34">
        <f>R19</f>
        <v/>
      </c>
      <c r="I34">
        <f>R7</f>
        <v/>
      </c>
      <c r="J34">
        <f>S19</f>
        <v/>
      </c>
      <c r="K34">
        <f>S7</f>
        <v/>
      </c>
      <c r="L34">
        <f>T19</f>
        <v/>
      </c>
      <c r="M34">
        <f>U19</f>
        <v/>
      </c>
      <c r="N34">
        <f>AA19</f>
        <v/>
      </c>
      <c r="O34">
        <f>AB19</f>
        <v/>
      </c>
      <c r="P34">
        <f>AC19</f>
        <v/>
      </c>
    </row>
    <row r="35">
      <c r="A35" t="inlineStr">
        <is>
          <t>jul</t>
        </is>
      </c>
      <c r="B35">
        <f>D20</f>
        <v/>
      </c>
      <c r="C35">
        <f>D8</f>
        <v/>
      </c>
      <c r="D35">
        <f>F20</f>
        <v/>
      </c>
      <c r="E35">
        <f>F8</f>
        <v/>
      </c>
      <c r="F35">
        <f>Q20</f>
        <v/>
      </c>
      <c r="G35">
        <f>Q8</f>
        <v/>
      </c>
      <c r="H35">
        <f>R20</f>
        <v/>
      </c>
      <c r="I35">
        <f>R8</f>
        <v/>
      </c>
      <c r="J35">
        <f>S20</f>
        <v/>
      </c>
      <c r="K35">
        <f>S8</f>
        <v/>
      </c>
      <c r="L35">
        <f>T20</f>
        <v/>
      </c>
      <c r="M35">
        <f>U20</f>
        <v/>
      </c>
      <c r="N35">
        <f>AA20</f>
        <v/>
      </c>
      <c r="O35">
        <f>AB20</f>
        <v/>
      </c>
      <c r="P35">
        <f>AC20</f>
        <v/>
      </c>
    </row>
    <row r="36">
      <c r="A36" t="inlineStr">
        <is>
          <t>aug</t>
        </is>
      </c>
      <c r="B36">
        <f>D21</f>
        <v/>
      </c>
      <c r="C36">
        <f>D9</f>
        <v/>
      </c>
      <c r="D36">
        <f>F21</f>
        <v/>
      </c>
      <c r="E36">
        <f>F9</f>
        <v/>
      </c>
      <c r="F36">
        <f>Q21</f>
        <v/>
      </c>
      <c r="G36">
        <f>Q9</f>
        <v/>
      </c>
      <c r="H36">
        <f>R21</f>
        <v/>
      </c>
      <c r="I36">
        <f>R9</f>
        <v/>
      </c>
      <c r="J36">
        <f>S21</f>
        <v/>
      </c>
      <c r="K36">
        <f>S9</f>
        <v/>
      </c>
      <c r="L36">
        <f>T21</f>
        <v/>
      </c>
      <c r="M36">
        <f>U21</f>
        <v/>
      </c>
      <c r="N36">
        <f>AA21</f>
        <v/>
      </c>
      <c r="O36">
        <f>AB21</f>
        <v/>
      </c>
      <c r="P36">
        <f>AC21</f>
        <v/>
      </c>
    </row>
    <row r="37">
      <c r="A37" t="inlineStr">
        <is>
          <t>sep</t>
        </is>
      </c>
      <c r="B37">
        <f>D22</f>
        <v/>
      </c>
      <c r="C37">
        <f>D10</f>
        <v/>
      </c>
      <c r="D37">
        <f>F22</f>
        <v/>
      </c>
      <c r="E37">
        <f>F10</f>
        <v/>
      </c>
      <c r="F37">
        <f>Q22</f>
        <v/>
      </c>
      <c r="G37">
        <f>Q10</f>
        <v/>
      </c>
      <c r="H37">
        <f>R22</f>
        <v/>
      </c>
      <c r="I37">
        <f>R10</f>
        <v/>
      </c>
      <c r="J37">
        <f>S22</f>
        <v/>
      </c>
      <c r="K37">
        <f>S10</f>
        <v/>
      </c>
      <c r="L37">
        <f>T22</f>
        <v/>
      </c>
      <c r="M37">
        <f>U22</f>
        <v/>
      </c>
      <c r="N37">
        <f>AA22</f>
        <v/>
      </c>
      <c r="O37">
        <f>AB22</f>
        <v/>
      </c>
      <c r="P37">
        <f>AC22</f>
        <v/>
      </c>
    </row>
    <row r="38">
      <c r="A38" t="inlineStr">
        <is>
          <t>okt</t>
        </is>
      </c>
      <c r="B38">
        <f>D23</f>
        <v/>
      </c>
      <c r="C38">
        <f>D11</f>
        <v/>
      </c>
      <c r="D38">
        <f>F23</f>
        <v/>
      </c>
      <c r="E38">
        <f>F11</f>
        <v/>
      </c>
      <c r="F38">
        <f>Q23</f>
        <v/>
      </c>
      <c r="G38">
        <f>Q11</f>
        <v/>
      </c>
      <c r="H38">
        <f>R23</f>
        <v/>
      </c>
      <c r="I38">
        <f>R11</f>
        <v/>
      </c>
      <c r="J38">
        <f>S23</f>
        <v/>
      </c>
      <c r="K38">
        <f>S11</f>
        <v/>
      </c>
      <c r="L38">
        <f>T23</f>
        <v/>
      </c>
      <c r="M38">
        <f>U23</f>
        <v/>
      </c>
      <c r="N38">
        <f>AA23</f>
        <v/>
      </c>
      <c r="O38">
        <f>AB23</f>
        <v/>
      </c>
      <c r="P38">
        <f>AC23</f>
        <v/>
      </c>
    </row>
    <row r="39">
      <c r="A39" t="inlineStr">
        <is>
          <t>nov</t>
        </is>
      </c>
      <c r="B39">
        <f>D24</f>
        <v/>
      </c>
      <c r="C39">
        <f>D12</f>
        <v/>
      </c>
      <c r="D39">
        <f>F24</f>
        <v/>
      </c>
      <c r="E39">
        <f>F12</f>
        <v/>
      </c>
      <c r="F39">
        <f>Q24</f>
        <v/>
      </c>
      <c r="G39">
        <f>Q12</f>
        <v/>
      </c>
      <c r="H39">
        <f>R24</f>
        <v/>
      </c>
      <c r="I39">
        <f>R12</f>
        <v/>
      </c>
      <c r="J39">
        <f>S24</f>
        <v/>
      </c>
      <c r="K39">
        <f>S12</f>
        <v/>
      </c>
      <c r="L39">
        <f>T24</f>
        <v/>
      </c>
      <c r="M39">
        <f>U24</f>
        <v/>
      </c>
      <c r="N39">
        <f>AA24</f>
        <v/>
      </c>
      <c r="O39">
        <f>AB24</f>
        <v/>
      </c>
      <c r="P39">
        <f>AC24</f>
        <v/>
      </c>
    </row>
    <row r="40">
      <c r="A40" t="inlineStr">
        <is>
          <t>dec</t>
        </is>
      </c>
      <c r="B40">
        <f>D25</f>
        <v/>
      </c>
      <c r="C40">
        <f>D13</f>
        <v/>
      </c>
      <c r="D40">
        <f>F25</f>
        <v/>
      </c>
      <c r="E40">
        <f>F13</f>
        <v/>
      </c>
      <c r="F40">
        <f>Q25</f>
        <v/>
      </c>
      <c r="G40">
        <f>Q13</f>
        <v/>
      </c>
      <c r="H40">
        <f>R25</f>
        <v/>
      </c>
      <c r="I40">
        <f>R13</f>
        <v/>
      </c>
      <c r="J40">
        <f>S25</f>
        <v/>
      </c>
      <c r="K40">
        <f>S13</f>
        <v/>
      </c>
      <c r="L40">
        <f>T25</f>
        <v/>
      </c>
      <c r="M40">
        <f>U25</f>
        <v/>
      </c>
      <c r="N40">
        <f>AA25</f>
        <v/>
      </c>
      <c r="O40">
        <f>AB25</f>
        <v/>
      </c>
      <c r="P40">
        <f>AC25</f>
        <v/>
      </c>
    </row>
    <row r="43">
      <c r="A43" s="104" t="inlineStr">
        <is>
          <t>Kostensoort</t>
        </is>
      </c>
      <c r="B43" s="104" t="inlineStr">
        <is>
          <t>Bedrag</t>
        </is>
      </c>
    </row>
    <row r="44">
      <c r="A44" t="inlineStr">
        <is>
          <t>Inkoopwaarde</t>
        </is>
      </c>
      <c r="B44">
        <f>SUMIFS('Brondata'!$I$5:$I$1504,'Brondata'!$O$5:$O$1504,"Inkoopwaarde",'Brondata'!$J$5:$J$1504,'Instellingen'!$D$8,'Brondata'!$K$5:$K$1504,"&gt;=1",'Brondata'!$K$5:$K$1504,"&lt;="&amp;'Instellingen'!$F$17)</f>
        <v/>
      </c>
    </row>
    <row r="45">
      <c r="A45" t="inlineStr">
        <is>
          <t>Personeel</t>
        </is>
      </c>
      <c r="B45">
        <f>SUMIFS('Brondata'!$I$5:$I$1504,'Brondata'!$O$5:$O$1504,"Personeelskosten",'Brondata'!$J$5:$J$1504,'Instellingen'!$D$8,'Brondata'!$K$5:$K$1504,"&gt;=1",'Brondata'!$K$5:$K$1504,"&lt;="&amp;'Instellingen'!$F$17)</f>
        <v/>
      </c>
    </row>
    <row r="46">
      <c r="A46" t="inlineStr">
        <is>
          <t>Huisvesting</t>
        </is>
      </c>
      <c r="B46">
        <f>SUMIFS('Brondata'!$I$5:$I$1504,'Brondata'!$O$5:$O$1504,"Huisvesting",'Brondata'!$J$5:$J$1504,'Instellingen'!$D$8,'Brondata'!$K$5:$K$1504,"&gt;=1",'Brondata'!$K$5:$K$1504,"&lt;="&amp;'Instellingen'!$F$17)</f>
        <v/>
      </c>
    </row>
    <row r="47">
      <c r="A47" t="inlineStr">
        <is>
          <t>Auto</t>
        </is>
      </c>
      <c r="B47">
        <f>SUMIFS('Brondata'!$I$5:$I$1504,'Brondata'!$O$5:$O$1504,"Autokosten",'Brondata'!$J$5:$J$1504,'Instellingen'!$D$8,'Brondata'!$K$5:$K$1504,"&gt;=1",'Brondata'!$K$5:$K$1504,"&lt;="&amp;'Instellingen'!$F$17)</f>
        <v/>
      </c>
    </row>
    <row r="48">
      <c r="A48" t="inlineStr">
        <is>
          <t>Verkoop</t>
        </is>
      </c>
      <c r="B48">
        <f>SUMIFS('Brondata'!$I$5:$I$1504,'Brondata'!$O$5:$O$1504,"Verkoopkosten",'Brondata'!$J$5:$J$1504,'Instellingen'!$D$8,'Brondata'!$K$5:$K$1504,"&gt;=1",'Brondata'!$K$5:$K$1504,"&lt;="&amp;'Instellingen'!$F$17)</f>
        <v/>
      </c>
    </row>
    <row r="49">
      <c r="A49" t="inlineStr">
        <is>
          <t>Kantoor</t>
        </is>
      </c>
      <c r="B49">
        <f>SUMIFS('Brondata'!$I$5:$I$1504,'Brondata'!$O$5:$O$1504,"Kantoorkosten",'Brondata'!$J$5:$J$1504,'Instellingen'!$D$8,'Brondata'!$K$5:$K$1504,"&gt;=1",'Brondata'!$K$5:$K$1504,"&lt;="&amp;'Instellingen'!$F$17)</f>
        <v/>
      </c>
    </row>
    <row r="50">
      <c r="A50" t="inlineStr">
        <is>
          <t>Algemeen</t>
        </is>
      </c>
      <c r="B50">
        <f>SUMIFS('Brondata'!$I$5:$I$1504,'Brondata'!$O$5:$O$1504,"Algemene kosten",'Brondata'!$J$5:$J$1504,'Instellingen'!$D$8,'Brondata'!$K$5:$K$1504,"&gt;=1",'Brondata'!$K$5:$K$1504,"&lt;="&amp;'Instellingen'!$F$17)</f>
        <v/>
      </c>
    </row>
    <row r="51">
      <c r="A51" t="inlineStr">
        <is>
          <t>Afschrijving</t>
        </is>
      </c>
      <c r="B51">
        <f>SUMIFS('Brondata'!$I$5:$I$1504,'Brondata'!$O$5:$O$1504,"Afschrijvingen",'Brondata'!$J$5:$J$1504,'Instellingen'!$D$8,'Brondata'!$K$5:$K$1504,"&gt;=1",'Brondata'!$K$5:$K$1504,"&lt;="&amp;'Instellingen'!$F$17)</f>
        <v/>
      </c>
    </row>
    <row r="54">
      <c r="A54" s="104" t="inlineStr">
        <is>
          <t>Activa</t>
        </is>
      </c>
      <c r="B54" s="104" t="inlineStr">
        <is>
          <t>Bedrag</t>
        </is>
      </c>
    </row>
    <row r="55">
      <c r="A55" t="inlineStr">
        <is>
          <t>Materiële VA</t>
        </is>
      </c>
      <c r="B55">
        <f>SUMIFS('Brondata'!$I$5:$I$1504,'Brondata'!$O$5:$O$1504,"Materiele vaste activa",'Brondata'!$J$5:$J$1504,'Instellingen'!$D$8,'Brondata'!$K$5:$K$1504,"&lt;="&amp;'Instellingen'!$F$17)</f>
        <v/>
      </c>
    </row>
    <row r="56">
      <c r="A56" t="inlineStr">
        <is>
          <t>Immateriële VA</t>
        </is>
      </c>
      <c r="B56">
        <f>SUMIFS('Brondata'!$I$5:$I$1504,'Brondata'!$O$5:$O$1504,"Immateriele vaste activa",'Brondata'!$J$5:$J$1504,'Instellingen'!$D$8,'Brondata'!$K$5:$K$1504,"&lt;="&amp;'Instellingen'!$F$17)</f>
        <v/>
      </c>
    </row>
    <row r="57">
      <c r="A57" t="inlineStr">
        <is>
          <t>Voorraden</t>
        </is>
      </c>
      <c r="B57">
        <f>SUMIFS('Brondata'!$I$5:$I$1504,'Brondata'!$O$5:$O$1504,"Voorraden",'Brondata'!$J$5:$J$1504,'Instellingen'!$D$8,'Brondata'!$K$5:$K$1504,"&lt;="&amp;'Instellingen'!$F$17)</f>
        <v/>
      </c>
    </row>
    <row r="58">
      <c r="A58" t="inlineStr">
        <is>
          <t>Debiteuren</t>
        </is>
      </c>
      <c r="B58">
        <f>SUMIFS('Brondata'!$I$5:$I$1504,'Brondata'!$O$5:$O$1504,"Debiteuren",'Brondata'!$J$5:$J$1504,'Instellingen'!$D$8,'Brondata'!$K$5:$K$1504,"&lt;="&amp;'Instellingen'!$F$17)</f>
        <v/>
      </c>
    </row>
    <row r="59">
      <c r="A59" t="inlineStr">
        <is>
          <t>Ov. vorderingen</t>
        </is>
      </c>
      <c r="B59">
        <f>SUMIFS('Brondata'!$I$5:$I$1504,'Brondata'!$O$5:$O$1504,"Overige vorderingen",'Brondata'!$J$5:$J$1504,'Instellingen'!$D$8,'Brondata'!$K$5:$K$1504,"&lt;="&amp;'Instellingen'!$F$17)</f>
        <v/>
      </c>
    </row>
    <row r="60">
      <c r="A60" t="inlineStr">
        <is>
          <t>Liquide middelen</t>
        </is>
      </c>
      <c r="B60">
        <f>SUMIFS('Brondata'!$I$5:$I$1504,'Brondata'!$O$5:$O$1504,"Liquide middelen",'Brondata'!$J$5:$J$1504,'Instellingen'!$D$8,'Brondata'!$K$5:$K$1504,"&lt;="&amp;'Instellingen'!$F$17)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2026-07-23T05:13:02Z</dcterms:created>
  <dcterms:modified xsi:type="dcterms:W3CDTF">2026-07-23T05:13:03Z</dcterms:modified>
</cp:coreProperties>
</file>