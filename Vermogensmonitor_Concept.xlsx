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01_Klant" sheetId="2" state="visible" r:id="rId2"/>
    <sheet name="02_Input_IB" sheetId="3" state="visible" r:id="rId3"/>
    <sheet name="03_Input_JR" sheetId="4" state="visible" r:id="rId4"/>
    <sheet name="04_Input_Vermogen" sheetId="5" state="visible" r:id="rId5"/>
    <sheet name="05_Historie" sheetId="6" state="visible" r:id="rId6"/>
    <sheet name="11_Berekeningen" sheetId="7" state="visible" r:id="rId7"/>
    <sheet name="20_Dashboard" sheetId="8" state="visible" r:id="rId8"/>
    <sheet name="21_Scenario" sheetId="9" state="visible" r:id="rId9"/>
    <sheet name="90_Config" sheetId="10" state="visible" r:id="rId10"/>
    <sheet name="91_Mapping" sheetId="11" state="visible" r:id="rId11"/>
    <sheet name="99_Controles" sheetId="12" state="visible" r:id="rId12"/>
  </sheets>
  <definedNames>
    <definedName name="Klant_Naam">START!$C$6</definedName>
    <definedName name="Peildatum_Actueel">START!$C$8</definedName>
    <definedName name="Heeft_Partner">START!$C$9</definedName>
    <definedName name="Partner_Naam">START!$C$10</definedName>
    <definedName name="Categorieen">'90_Config'!$B$7:$B$14</definedName>
    <definedName name="TypeLijst">'90_Config'!$C$7:$C$8</definedName>
    <definedName name="BoxLijst">'90_Config'!$D$7:$D$10</definedName>
    <definedName name="EigenaarLijst">'90_Config'!$E$7:$E$9</definedName>
    <definedName name="BronLijst">'90_Config'!$F$7:$F$10</definedName>
    <definedName name="JaNee">'90_Config'!$G$7:$G$8</definedName>
    <definedName name="Betrouwbaar">'90_Config'!$H$7:$H$8</definedName>
    <definedName name="IB_Box3_Grondslag">'02_Input_IB'!$E$19</definedName>
    <definedName name="IB_AB_Waarde">'02_Input_IB'!$E$13</definedName>
    <definedName name="JR_EigenVermogen">'03_Input_JR'!$C$14</definedName>
    <definedName name="JR_RC_DGA">'03_Input_JR'!$C$17</definedName>
    <definedName name="JR_ODV">'03_Input_JR'!$C$15</definedName>
    <definedName name="v_Peildatum">'04_Input_Vermogen'!$B$6:$B$405</definedName>
    <definedName name="v_Categorie">'04_Input_Vermogen'!$C$6:$C$405</definedName>
    <definedName name="v_Type">'04_Input_Vermogen'!$F$6:$F$405</definedName>
    <definedName name="v_Box">'04_Input_Vermogen'!$G$6:$G$405</definedName>
    <definedName name="v_Eigenaar">'04_Input_Vermogen'!$H$6:$H$405</definedName>
    <definedName name="v_Aandeel">'04_Input_Vermogen'!$I$6:$I$405</definedName>
    <definedName name="v_Waarde">'04_Input_Vermogen'!$J$6:$J$405</definedName>
    <definedName name="v_Teken">'04_Input_Vermogen'!$K$6:$K$405</definedName>
    <definedName name="h_Peildatum">'05_Historie'!$B$6:$B$8</definedName>
    <definedName name="h_Netto">'05_Historie'!$E$6:$E$8</definedName>
    <definedName name="calc_CatLabels">'11_Berekeningen'!$B$13:$B$18</definedName>
    <definedName name="calc_CatValues">'11_Berekeningen'!$C$13:$C$18</definedName>
    <definedName name="calc_Netto">'11_Berekeningen'!$C$8</definedName>
    <definedName name="calc_NettoKlant">'11_Berekeningen'!$D$8</definedName>
    <definedName name="calc_NettoPartner">'11_Berekeningen'!$E$8</definedName>
    <definedName name="calc_Bezit">'11_Berekeningen'!$C$6</definedName>
    <definedName name="calc_Schuld">'11_Berekeningen'!$C$7</definedName>
    <definedName name="calc_Box3Monitor">'11_Berekeningen'!$C$25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€ #,##0;€ -#,##0;&quot;-&quot;"/>
    <numFmt numFmtId="165" formatCode="0.0%"/>
    <numFmt numFmtId="166" formatCode="yyyy-mm-dd"/>
    <numFmt numFmtId="167" formatCode="dd-mm-yyyy"/>
    <numFmt numFmtId="168" formatCode="0;-0;-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864"/>
      <sz val="11"/>
    </font>
    <font>
      <name val="Arial"/>
      <color rgb="000000FF"/>
      <sz val="9"/>
    </font>
    <font>
      <name val="Arial"/>
      <i val="1"/>
      <color rgb="00808080"/>
      <sz val="8"/>
    </font>
    <font>
      <name val="Arial"/>
      <b val="1"/>
      <color rgb="00FFFFFF"/>
      <sz val="22"/>
    </font>
    <font>
      <name val="Arial"/>
      <i val="1"/>
      <color rgb="00FFFFFF"/>
      <sz val="10"/>
    </font>
    <font>
      <name val="Arial"/>
      <b val="1"/>
      <color rgb="001F3864"/>
      <sz val="12"/>
    </font>
    <font>
      <name val="Arial"/>
      <b val="1"/>
      <color rgb="00404040"/>
      <sz val="11"/>
    </font>
    <font>
      <name val="Arial"/>
      <b val="1"/>
      <color rgb="000000FF"/>
      <sz val="11"/>
    </font>
    <font>
      <name val="Arial"/>
      <color rgb="00008000"/>
      <sz val="11"/>
    </font>
    <font>
      <name val="Arial"/>
      <b val="1"/>
      <color rgb="002E75B6"/>
      <sz val="10"/>
    </font>
    <font>
      <name val="Arial"/>
      <color rgb="00404040"/>
      <sz val="9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40404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color rgb="00808080"/>
      <sz val="9"/>
    </font>
    <font>
      <name val="Arial"/>
      <i val="1"/>
      <color rgb="00008000"/>
      <sz val="8"/>
    </font>
    <font>
      <name val="Arial"/>
      <b val="1"/>
      <color rgb="00000000"/>
      <sz val="11"/>
    </font>
    <font>
      <name val="Arial"/>
      <b val="1"/>
      <color rgb="00C55A11"/>
      <sz val="9"/>
    </font>
    <font>
      <name val="Arial"/>
      <i val="1"/>
      <color rgb="00808080"/>
      <sz val="9"/>
    </font>
    <font>
      <name val="Arial"/>
      <i val="1"/>
      <color rgb="00404040"/>
      <sz val="9"/>
    </font>
    <font>
      <name val="Arial"/>
      <b val="1"/>
      <color rgb="00FFFFFF"/>
      <sz val="18"/>
    </font>
    <font>
      <name val="Arial"/>
      <b val="1"/>
      <color rgb="00548235"/>
      <sz val="18"/>
    </font>
    <font>
      <name val="Arial"/>
      <b val="1"/>
      <color rgb="002E75B6"/>
      <sz val="18"/>
    </font>
    <font>
      <name val="Arial"/>
      <b val="1"/>
      <color rgb="00C00000"/>
      <sz val="18"/>
    </font>
    <font>
      <name val="Arial"/>
      <b val="1"/>
      <color rgb="00C55A11"/>
      <sz val="18"/>
    </font>
    <font>
      <name val="Arial"/>
      <b val="1"/>
      <color rgb="00FFFFFF"/>
      <sz val="8"/>
    </font>
    <font>
      <name val="Arial"/>
      <b val="1"/>
      <color rgb="00404040"/>
      <sz val="12"/>
    </font>
    <font>
      <name val="Arial"/>
      <b val="1"/>
      <color rgb="002E75B6"/>
      <sz val="12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8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167" fontId="12" fillId="5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0" fillId="4" borderId="1" pivotButton="0" quotePrefix="0" xfId="0"/>
    <xf numFmtId="167" fontId="19" fillId="5" borderId="1" pivotButton="0" quotePrefix="0" xfId="0"/>
    <xf numFmtId="0" fontId="19" fillId="5" borderId="1" pivotButton="0" quotePrefix="0" xfId="0"/>
    <xf numFmtId="0" fontId="21" fillId="7" borderId="0" pivotButton="0" quotePrefix="0" xfId="0"/>
    <xf numFmtId="0" fontId="0" fillId="7" borderId="0" pivotButton="0" quotePrefix="0" xfId="0"/>
    <xf numFmtId="0" fontId="22" fillId="0" borderId="0" pivotButton="0" quotePrefix="0" xfId="0"/>
    <xf numFmtId="164" fontId="19" fillId="5" borderId="1" pivotButton="0" quotePrefix="0" xfId="0"/>
    <xf numFmtId="164" fontId="22" fillId="0" borderId="1" pivotButton="0" quotePrefix="0" xfId="0"/>
    <xf numFmtId="0" fontId="23" fillId="0" borderId="0" pivotButton="0" quotePrefix="0" xfId="0"/>
    <xf numFmtId="164" fontId="23" fillId="0" borderId="1" pivotButton="0" quotePrefix="0" xfId="0"/>
    <xf numFmtId="0" fontId="7" fillId="7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7" fontId="6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168" fontId="24" fillId="0" borderId="1" applyAlignment="1" pivotButton="0" quotePrefix="0" xfId="0">
      <alignment horizontal="center" vertical="center"/>
    </xf>
    <xf numFmtId="167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7" fillId="0" borderId="1" pivotButton="0" quotePrefix="0" xfId="0"/>
    <xf numFmtId="164" fontId="20" fillId="0" borderId="1" pivotButton="0" quotePrefix="0" xfId="0"/>
    <xf numFmtId="0" fontId="25" fillId="0" borderId="1" pivotButton="0" quotePrefix="0" xfId="0"/>
    <xf numFmtId="0" fontId="1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18" fillId="0" borderId="1" pivotButton="0" quotePrefix="0" xfId="0"/>
    <xf numFmtId="164" fontId="16" fillId="0" borderId="1" pivotButton="0" quotePrefix="0" xfId="0"/>
    <xf numFmtId="0" fontId="5" fillId="9" borderId="1" pivotButton="0" quotePrefix="0" xfId="0"/>
    <xf numFmtId="164" fontId="26" fillId="9" borderId="1" pivotButton="0" quotePrefix="0" xfId="0"/>
    <xf numFmtId="164" fontId="16" fillId="9" borderId="1" pivotButton="0" quotePrefix="0" xfId="0"/>
    <xf numFmtId="0" fontId="5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16" fillId="0" borderId="1" pivotButton="0" quotePrefix="0" xfId="0"/>
    <xf numFmtId="165" fontId="22" fillId="0" borderId="1" pivotButton="0" quotePrefix="0" xfId="0"/>
    <xf numFmtId="0" fontId="27" fillId="0" borderId="1" pivotButton="0" quotePrefix="0" xfId="0"/>
    <xf numFmtId="0" fontId="30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1" fillId="11" borderId="1" applyAlignment="1" pivotButton="0" quotePrefix="0" xfId="0">
      <alignment horizontal="center" vertical="center"/>
    </xf>
    <xf numFmtId="164" fontId="32" fillId="11" borderId="1" applyAlignment="1" pivotButton="0" quotePrefix="0" xfId="0">
      <alignment horizontal="center" vertical="center"/>
    </xf>
    <xf numFmtId="164" fontId="33" fillId="11" borderId="1" applyAlignment="1" pivotButton="0" quotePrefix="0" xfId="0">
      <alignment horizontal="center" vertical="center"/>
    </xf>
    <xf numFmtId="165" fontId="34" fillId="11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center" vertical="center"/>
    </xf>
    <xf numFmtId="0" fontId="35" fillId="7" borderId="1" applyAlignment="1" pivotButton="0" quotePrefix="0" xfId="0">
      <alignment horizontal="center" vertical="center"/>
    </xf>
    <xf numFmtId="164" fontId="36" fillId="11" borderId="1" applyAlignment="1" pivotButton="0" quotePrefix="0" xfId="0">
      <alignment horizontal="center" vertical="center"/>
    </xf>
    <xf numFmtId="164" fontId="37" fillId="11" borderId="1" applyAlignment="1" pivotButton="0" quotePrefix="0" xfId="0">
      <alignment horizontal="center" vertical="center"/>
    </xf>
    <xf numFmtId="0" fontId="38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1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165" fontId="19" fillId="5" borderId="1" pivotButton="0" quotePrefix="0" xfId="0"/>
    <xf numFmtId="164" fontId="17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6" fillId="5" borderId="1" pivotButton="0" quotePrefix="0" xfId="0"/>
    <xf numFmtId="0" fontId="4" fillId="0" borderId="1" applyAlignment="1" pivotButton="0" quotePrefix="0" xfId="0">
      <alignment horizontal="center" vertical="center"/>
    </xf>
    <xf numFmtId="165" fontId="6" fillId="5" borderId="1" pivotButton="0" quotePrefix="0" xfId="0"/>
    <xf numFmtId="0" fontId="6" fillId="5" borderId="1" pivotButton="0" quotePrefix="0" xfId="0"/>
    <xf numFmtId="0" fontId="28" fillId="4" borderId="1" pivotButton="0" quotePrefix="0" xfId="0"/>
    <xf numFmtId="0" fontId="29" fillId="0" borderId="0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C00000"/>
        <sz val="9"/>
      </font>
    </dxf>
    <dxf>
      <font>
        <name val="Arial"/>
        <b val="1"/>
        <color rgb="00548235"/>
        <sz val="10"/>
      </font>
      <fill>
        <patternFill patternType="solid">
          <fgColor rgb="00E2EFDA"/>
        </patternFill>
      </fill>
    </dxf>
    <dxf>
      <font>
        <name val="Arial"/>
        <b val="1"/>
        <color rgb="00C00000"/>
        <sz val="1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Vermogensopbouw per categorie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'11_Berekeningen'!C12</f>
            </strRef>
          </tx>
          <spPr>
            <a:ln>
              <a:prstDash val="solid"/>
            </a:ln>
          </spPr>
          <cat>
            <numRef>
              <f>'11_Berekeningen'!$B$13:$B$18</f>
            </numRef>
          </cat>
          <val>
            <numRef>
              <f>'11_Berekeningen'!$C$13:$C$18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€ 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Ontwikkeling netto vermogen</a:t>
            </a:r>
          </a:p>
        </rich>
      </tx>
    </title>
    <plotArea>
      <lineChart>
        <grouping val="standard"/>
        <ser>
          <idx val="0"/>
          <order val="0"/>
          <tx>
            <strRef>
              <f>'05_Historie'!E5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'05_Historie'!$B$6:$B$8</f>
            </numRef>
          </cat>
          <val>
            <numRef>
              <f>'05_Historie'!$E$6:$E$8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Netto vermogen: klant vs. partner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'20_Dashboard'!$B$31:$B$32</f>
            </numRef>
          </cat>
          <val>
            <numRef>
              <f>'20_Dashboard'!$C$31:$C$32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€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Prognose netto vermogen — 3 scenario's</a:t>
            </a:r>
          </a:p>
        </rich>
      </tx>
    </title>
    <plotArea>
      <lineChart>
        <grouping val="standard"/>
        <ser>
          <idx val="0"/>
          <order val="0"/>
          <tx>
            <strRef>
              <f>'21_Scenario'!B17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'21_Scenario'!$C$16:$M$16</f>
            </numRef>
          </cat>
          <val>
            <numRef>
              <f>'21_Scenario'!$C$17:$M$17</f>
            </numRef>
          </val>
        </ser>
        <ser>
          <idx val="1"/>
          <order val="1"/>
          <tx>
            <strRef>
              <f>'21_Scenario'!B18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'21_Scenario'!$C$16:$M$16</f>
            </numRef>
          </cat>
          <val>
            <numRef>
              <f>'21_Scenario'!$C$18:$M$18</f>
            </numRef>
          </val>
        </ser>
        <ser>
          <idx val="2"/>
          <order val="2"/>
          <tx>
            <strRef>
              <f>'21_Scenario'!B19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'21_Scenario'!$C$16:$M$16</f>
            </numRef>
          </cat>
          <val>
            <numRef>
              <f>'21_Scenario'!$C$19:$M$19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Vermogensmonitor</author>
  </authors>
  <commentList>
    <comment ref="C9" authorId="0" shapeId="0">
      <text>
        <t>Eén schakelaar die het hele bestand stuurt. Bij NEE worden partnervelden onderdrukt.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540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40" customWidth="1" min="4" max="4"/>
  </cols>
  <sheetData>
    <row r="1"/>
    <row r="2" ht="40" customHeight="1">
      <c r="B2" s="1" t="inlineStr">
        <is>
          <t>VERMOGENSMONITOR</t>
        </is>
      </c>
    </row>
    <row r="3" ht="18" customHeight="1">
      <c r="B3" s="2" t="inlineStr">
        <is>
          <t>Geïntegreerd standaardbestand · vermogensinzicht &amp; financiële planning</t>
        </is>
      </c>
    </row>
    <row r="4"/>
    <row r="5">
      <c r="B5" s="3" t="inlineStr">
        <is>
          <t>KLANTGEGEVENS</t>
        </is>
      </c>
    </row>
    <row r="6">
      <c r="B6" s="4" t="inlineStr">
        <is>
          <t>Klantnaam</t>
        </is>
      </c>
      <c r="C6" s="5" t="inlineStr">
        <is>
          <t>Voorbeeld: J. Jansen (fictief)</t>
        </is>
      </c>
    </row>
    <row r="7">
      <c r="B7" s="4" t="inlineStr">
        <is>
          <t>Dossier / relatienummer</t>
        </is>
      </c>
      <c r="C7" s="5" t="inlineStr">
        <is>
          <t>REL-0001</t>
        </is>
      </c>
    </row>
    <row r="8">
      <c r="B8" s="4" t="inlineStr">
        <is>
          <t>Peildatum (actueel)</t>
        </is>
      </c>
      <c r="C8" s="6" t="n">
        <v>46023</v>
      </c>
    </row>
    <row r="9">
      <c r="B9" s="4" t="inlineStr">
        <is>
          <t>Heeft partner? (JA/NEE)</t>
        </is>
      </c>
      <c r="C9" s="5" t="inlineStr">
        <is>
          <t>JA</t>
        </is>
      </c>
    </row>
    <row r="10">
      <c r="B10" s="4" t="inlineStr">
        <is>
          <t>Naam partner</t>
        </is>
      </c>
      <c r="C10" s="5" t="inlineStr">
        <is>
          <t>Voorbeeld: M. Jansen (fictief)</t>
        </is>
      </c>
    </row>
    <row r="11">
      <c r="B11" s="4" t="inlineStr">
        <is>
          <t>Opgesteld door</t>
        </is>
      </c>
      <c r="C11" s="5" t="inlineStr">
        <is>
          <t>Newtone</t>
        </is>
      </c>
    </row>
    <row r="12">
      <c r="B12" s="4" t="inlineStr">
        <is>
          <t>Versie template</t>
        </is>
      </c>
      <c r="C12" s="7" t="inlineStr">
        <is>
          <t>v1.0 (MVP)</t>
        </is>
      </c>
    </row>
    <row r="13"/>
    <row r="14">
      <c r="B14" s="3" t="inlineStr">
        <is>
          <t>NAVIGATIE</t>
        </is>
      </c>
    </row>
    <row r="15">
      <c r="B15" s="8" t="inlineStr">
        <is>
          <t>▶ 01_Klant</t>
        </is>
      </c>
      <c r="C15" s="9" t="inlineStr">
        <is>
          <t>Klant- en partnergegevens</t>
        </is>
      </c>
    </row>
    <row r="16">
      <c r="B16" s="8" t="inlineStr">
        <is>
          <t>▶ 02_Input_IB</t>
        </is>
      </c>
      <c r="C16" s="9" t="inlineStr">
        <is>
          <t>Overname aangifte inkomstenbelasting (box 1/2/3)</t>
        </is>
      </c>
    </row>
    <row r="17">
      <c r="B17" s="8" t="inlineStr">
        <is>
          <t>▶ 03_Input_JR</t>
        </is>
      </c>
      <c r="C17" s="9" t="inlineStr">
        <is>
          <t>Overname jaarrekening (balans + W&amp;V)</t>
        </is>
      </c>
    </row>
    <row r="18">
      <c r="B18" s="8" t="inlineStr">
        <is>
          <t>▶ 04_Input_Vermogen</t>
        </is>
      </c>
      <c r="C18" s="9" t="inlineStr">
        <is>
          <t>Bezittingen &amp; schulden (feitentabel)</t>
        </is>
      </c>
    </row>
    <row r="19">
      <c r="B19" s="8" t="inlineStr">
        <is>
          <t>▶ 05_Historie</t>
        </is>
      </c>
      <c r="C19" s="9" t="inlineStr">
        <is>
          <t>Meerjarige snapshots (trend)</t>
        </is>
      </c>
    </row>
    <row r="20">
      <c r="B20" s="8" t="inlineStr">
        <is>
          <t>▶ 11_Berekeningen</t>
        </is>
      </c>
      <c r="C20" s="9" t="inlineStr">
        <is>
          <t>KPI's, ratio's, consolidatie</t>
        </is>
      </c>
    </row>
    <row r="21">
      <c r="B21" s="8" t="inlineStr">
        <is>
          <t>▶ 20_Dashboard</t>
        </is>
      </c>
      <c r="C21" s="9" t="inlineStr">
        <is>
          <t>Cliëntdashboard</t>
        </is>
      </c>
    </row>
    <row r="22">
      <c r="B22" s="8" t="inlineStr">
        <is>
          <t>▶ 21_Scenario</t>
        </is>
      </c>
      <c r="C22" s="9" t="inlineStr">
        <is>
          <t>Financiële planning / scenario's</t>
        </is>
      </c>
    </row>
    <row r="23">
      <c r="B23" s="8" t="inlineStr">
        <is>
          <t>▶ 99_Controles</t>
        </is>
      </c>
      <c r="C23" s="9" t="inlineStr">
        <is>
          <t>Kwaliteitscontroles &amp; aansluitingen</t>
        </is>
      </c>
    </row>
    <row r="24"/>
    <row r="25">
      <c r="B25" s="3" t="inlineStr">
        <is>
          <t>STATUS (zie 99_Controles)</t>
        </is>
      </c>
    </row>
    <row r="26">
      <c r="B26" s="10" t="inlineStr">
        <is>
          <t>Volledigheid invoer</t>
        </is>
      </c>
      <c r="C26" s="11">
        <f>'99_Controles'!$C$6</f>
        <v/>
      </c>
    </row>
    <row r="27">
      <c r="B27" s="10" t="inlineStr">
        <is>
          <t>Aansluiting IB ↔ Monitor</t>
        </is>
      </c>
      <c r="C27" s="11">
        <f>'99_Controles'!$C$7</f>
        <v/>
      </c>
    </row>
  </sheetData>
  <mergeCells count="2">
    <mergeCell ref="B3:D3"/>
    <mergeCell ref="B2:D2"/>
  </mergeCells>
  <dataValidations count="1">
    <dataValidation sqref="C9" showDropDown="0" showInputMessage="0" showErrorMessage="0" allowBlank="0" type="list">
      <formula1>='90_Config'!$G$7:$G$8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30" customWidth="1" min="3" max="3"/>
    <col width="30" customWidth="1" min="4" max="4"/>
  </cols>
  <sheetData>
    <row r="1"/>
    <row r="2" ht="26" customHeight="1">
      <c r="B2" s="12" t="inlineStr">
        <is>
          <t>KLANT- EN PARTNERGEGEVENS</t>
        </is>
      </c>
    </row>
    <row r="3" ht="14" customHeight="1">
      <c r="B3" s="13" t="inlineStr">
        <is>
          <t>01_Klant  ·  Blauwe cellen = handmatige invoer · partnerkolom volgt uit Heeft_Partner</t>
        </is>
      </c>
    </row>
    <row r="4"/>
    <row r="5">
      <c r="B5" s="14" t="inlineStr">
        <is>
          <t>Gegeven</t>
        </is>
      </c>
      <c r="C5" s="14" t="inlineStr">
        <is>
          <t>Klant</t>
        </is>
      </c>
      <c r="D5" s="14">
        <f>IF(Heeft_Partner="JA","Partner","(geen partner)")</f>
        <v/>
      </c>
    </row>
    <row r="6">
      <c r="B6" s="15" t="inlineStr">
        <is>
          <t>Naam</t>
        </is>
      </c>
      <c r="C6" s="16">
        <f>Klant_Naam</f>
        <v/>
      </c>
      <c r="D6" s="16">
        <f>IF(Heeft_Partner="JA",Partner_Naam,"-")</f>
        <v/>
      </c>
    </row>
    <row r="7">
      <c r="B7" s="15" t="inlineStr">
        <is>
          <t>Geboortedatum</t>
        </is>
      </c>
      <c r="C7" s="17" t="n">
        <v>27526</v>
      </c>
      <c r="D7" s="17" t="n">
        <v>28736</v>
      </c>
    </row>
    <row r="8">
      <c r="B8" s="15" t="inlineStr">
        <is>
          <t>BSN (gemaskeerd)</t>
        </is>
      </c>
      <c r="C8" s="18" t="n"/>
      <c r="D8" s="18" t="n"/>
    </row>
    <row r="9">
      <c r="B9" s="15" t="inlineStr">
        <is>
          <t>Burgerlijke staat</t>
        </is>
      </c>
      <c r="C9" s="18" t="n"/>
      <c r="D9" s="18" t="n"/>
    </row>
    <row r="10">
      <c r="B10" s="15" t="inlineStr">
        <is>
          <t>Fiscaal partnerschap (JA/NEE)</t>
        </is>
      </c>
      <c r="C10" s="18" t="inlineStr">
        <is>
          <t>JA</t>
        </is>
      </c>
      <c r="D10" s="18" t="inlineStr">
        <is>
          <t>JA</t>
        </is>
      </c>
    </row>
    <row r="11">
      <c r="B11" s="15" t="inlineStr">
        <is>
          <t>AOW-leeftijd (indicatief)</t>
        </is>
      </c>
      <c r="C11" s="18" t="n"/>
      <c r="D11" s="18" t="n"/>
    </row>
    <row r="12">
      <c r="B12" s="15" t="inlineStr">
        <is>
          <t>E-mail</t>
        </is>
      </c>
      <c r="C12" s="18" t="n"/>
      <c r="D12" s="18" t="n"/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1"/>
    <row r="2" ht="26" customHeight="1">
      <c r="B2" s="12" t="inlineStr">
        <is>
          <t>OVERNAME AANGIFTE INKOMSTENBELASTING</t>
        </is>
      </c>
    </row>
    <row r="3" ht="14" customHeight="1">
      <c r="B3" s="13" t="inlineStr">
        <is>
          <t>02_Input_IB  ·  Box 1/2/3 · verdeling tussen fiscale partners · voedt controles &amp; box 3-grondslag</t>
        </is>
      </c>
    </row>
    <row r="4"/>
    <row r="5">
      <c r="B5" s="14" t="inlineStr">
        <is>
          <t>Post (aangifte IB)</t>
        </is>
      </c>
      <c r="C5" s="14" t="inlineStr">
        <is>
          <t>Klant</t>
        </is>
      </c>
      <c r="D5" s="14" t="inlineStr">
        <is>
          <t>Partner</t>
        </is>
      </c>
      <c r="E5" s="14" t="inlineStr">
        <is>
          <t>Totaal</t>
        </is>
      </c>
      <c r="F5" s="14" t="inlineStr">
        <is>
          <t>Toelichting</t>
        </is>
      </c>
    </row>
    <row r="6">
      <c r="B6" s="19" t="inlineStr">
        <is>
          <t>BOX 1 – werk en woning</t>
        </is>
      </c>
      <c r="C6" s="20" t="n"/>
      <c r="D6" s="20" t="n"/>
      <c r="E6" s="20" t="n"/>
    </row>
    <row r="7">
      <c r="B7" s="21" t="inlineStr">
        <is>
          <t>Inkomen uit werk (loon/winst)</t>
        </is>
      </c>
      <c r="C7" s="22" t="n">
        <v>85000</v>
      </c>
      <c r="D7" s="22" t="n">
        <v>42000</v>
      </c>
      <c r="E7" s="23">
        <f>C7+D7</f>
        <v/>
      </c>
    </row>
    <row r="8">
      <c r="B8" s="21" t="inlineStr">
        <is>
          <t>Eigenwoningforfait</t>
        </is>
      </c>
      <c r="C8" s="22" t="n">
        <v>5200</v>
      </c>
      <c r="D8" s="22" t="n">
        <v>0</v>
      </c>
      <c r="E8" s="23">
        <f>C8+D8</f>
        <v/>
      </c>
    </row>
    <row r="9">
      <c r="B9" s="21" t="inlineStr">
        <is>
          <t>Aftrekbare hypotheekrente</t>
        </is>
      </c>
      <c r="C9" s="22" t="n">
        <v>-9600</v>
      </c>
      <c r="D9" s="22" t="n">
        <v>0</v>
      </c>
      <c r="E9" s="23">
        <f>C9+D9</f>
        <v/>
      </c>
    </row>
    <row r="10">
      <c r="B10" s="24" t="inlineStr">
        <is>
          <t>Belastbaar inkomen box 1</t>
        </is>
      </c>
      <c r="C10" s="25">
        <f>SUM(C7:C9)</f>
        <v/>
      </c>
      <c r="D10" s="25">
        <f>SUM(D7:D9)</f>
        <v/>
      </c>
      <c r="E10" s="25">
        <f>C10+D10</f>
        <v/>
      </c>
    </row>
    <row r="11">
      <c r="B11" s="19" t="inlineStr">
        <is>
          <t>BOX 2 – aanmerkelijk belang</t>
        </is>
      </c>
      <c r="C11" s="20" t="n"/>
      <c r="D11" s="20" t="n"/>
      <c r="E11" s="20" t="n"/>
    </row>
    <row r="12">
      <c r="B12" s="21" t="inlineStr">
        <is>
          <t>Reguliere voordelen (dividend)</t>
        </is>
      </c>
      <c r="C12" s="22" t="n">
        <v>0</v>
      </c>
      <c r="D12" s="22" t="n">
        <v>0</v>
      </c>
      <c r="E12" s="23">
        <f>C12+D12</f>
        <v/>
      </c>
    </row>
    <row r="13">
      <c r="B13" s="21" t="inlineStr">
        <is>
          <t>Waarde aandelen (economisch)</t>
        </is>
      </c>
      <c r="C13" s="22" t="n">
        <v>300000</v>
      </c>
      <c r="D13" s="22" t="n">
        <v>0</v>
      </c>
      <c r="E13" s="23">
        <f>C13+D13</f>
        <v/>
      </c>
    </row>
    <row r="14">
      <c r="B14" s="19" t="inlineStr">
        <is>
          <t>BOX 3 – sparen en beleggen</t>
        </is>
      </c>
      <c r="C14" s="20" t="n"/>
      <c r="D14" s="20" t="n"/>
      <c r="E14" s="20" t="n"/>
    </row>
    <row r="15">
      <c r="B15" s="21" t="inlineStr">
        <is>
          <t>Bank- en spaartegoeden</t>
        </is>
      </c>
      <c r="C15" s="22" t="n">
        <v>52500</v>
      </c>
      <c r="D15" s="22" t="n">
        <v>52500</v>
      </c>
      <c r="E15" s="23">
        <f>C15+D15</f>
        <v/>
      </c>
    </row>
    <row r="16">
      <c r="B16" s="21" t="inlineStr">
        <is>
          <t>Beleggingen</t>
        </is>
      </c>
      <c r="C16" s="22" t="n">
        <v>120000</v>
      </c>
      <c r="D16" s="22" t="n">
        <v>0</v>
      </c>
      <c r="E16" s="23">
        <f>C16+D16</f>
        <v/>
      </c>
    </row>
    <row r="17">
      <c r="B17" s="21" t="inlineStr">
        <is>
          <t>Overige bezittingen box 3</t>
        </is>
      </c>
      <c r="C17" s="22" t="n">
        <v>0</v>
      </c>
      <c r="D17" s="22" t="n">
        <v>0</v>
      </c>
      <c r="E17" s="23">
        <f>C17+D17</f>
        <v/>
      </c>
    </row>
    <row r="18">
      <c r="B18" s="21" t="inlineStr">
        <is>
          <t>Schulden box 3</t>
        </is>
      </c>
      <c r="C18" s="22" t="n">
        <v>-5000</v>
      </c>
      <c r="D18" s="22" t="n">
        <v>-5000</v>
      </c>
      <c r="E18" s="23">
        <f>C18+D18</f>
        <v/>
      </c>
    </row>
    <row r="19">
      <c r="B19" s="24" t="inlineStr">
        <is>
          <t>Grondslag box 3 (voor vrijstelling)</t>
        </is>
      </c>
      <c r="C19" s="25">
        <f>SUM(C15:C18)</f>
        <v/>
      </c>
      <c r="D19" s="25">
        <f>SUM(D15:D18)</f>
        <v/>
      </c>
      <c r="E19" s="25">
        <f>C19+D19</f>
        <v/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40" customWidth="1" min="4" max="4"/>
  </cols>
  <sheetData>
    <row r="1"/>
    <row r="2" ht="26" customHeight="1">
      <c r="B2" s="12" t="inlineStr">
        <is>
          <t>OVERNAME JAARREKENING (BV / DGA)</t>
        </is>
      </c>
    </row>
    <row r="3" ht="14" customHeight="1">
      <c r="B3" s="13" t="inlineStr">
        <is>
          <t>03_Input_JR  ·  Balans + W&amp;V · brug privé↔zakelijk: eigen vermogen, r/c DGA, ODV, dividendruimte</t>
        </is>
      </c>
    </row>
    <row r="4"/>
    <row r="5">
      <c r="B5" s="14" t="inlineStr">
        <is>
          <t>Post jaarrekening</t>
        </is>
      </c>
      <c r="C5" s="14" t="inlineStr">
        <is>
          <t>Bedrag</t>
        </is>
      </c>
      <c r="D5" s="14" t="inlineStr">
        <is>
          <t>Toelichting</t>
        </is>
      </c>
    </row>
    <row r="6">
      <c r="B6" s="19" t="inlineStr">
        <is>
          <t>BALANS – ACTIVA</t>
        </is>
      </c>
      <c r="C6" s="20" t="n"/>
      <c r="D6" s="26" t="inlineStr"/>
    </row>
    <row r="7">
      <c r="B7" s="21" t="inlineStr">
        <is>
          <t>Materiële vaste activa</t>
        </is>
      </c>
      <c r="C7" s="22" t="n">
        <v>45000</v>
      </c>
      <c r="D7" s="27" t="inlineStr"/>
    </row>
    <row r="8">
      <c r="B8" s="21" t="inlineStr">
        <is>
          <t>Financiële vaste activa</t>
        </is>
      </c>
      <c r="C8" s="22" t="n">
        <v>20000</v>
      </c>
      <c r="D8" s="27" t="inlineStr"/>
    </row>
    <row r="9">
      <c r="B9" s="21" t="inlineStr">
        <is>
          <t>Voorraden</t>
        </is>
      </c>
      <c r="C9" s="22" t="n">
        <v>0</v>
      </c>
      <c r="D9" s="27" t="inlineStr"/>
    </row>
    <row r="10">
      <c r="B10" s="21" t="inlineStr">
        <is>
          <t>Debiteuren</t>
        </is>
      </c>
      <c r="C10" s="22" t="n">
        <v>60000</v>
      </c>
      <c r="D10" s="27" t="inlineStr"/>
    </row>
    <row r="11">
      <c r="B11" s="21" t="inlineStr">
        <is>
          <t>Liquide middelen</t>
        </is>
      </c>
      <c r="C11" s="22" t="n">
        <v>300000</v>
      </c>
      <c r="D11" s="27" t="inlineStr"/>
    </row>
    <row r="12">
      <c r="B12" s="24" t="inlineStr">
        <is>
          <t>Balanstotaal (activa)</t>
        </is>
      </c>
      <c r="C12" s="25">
        <f>SUM(C7:C11)</f>
        <v/>
      </c>
      <c r="D12" s="27" t="inlineStr"/>
    </row>
    <row r="13">
      <c r="B13" s="19" t="inlineStr">
        <is>
          <t>BALANS – PASSIVA</t>
        </is>
      </c>
      <c r="C13" s="20" t="n"/>
      <c r="D13" s="26" t="inlineStr"/>
    </row>
    <row r="14">
      <c r="B14" s="21" t="inlineStr">
        <is>
          <t>Eigen vermogen</t>
        </is>
      </c>
      <c r="C14" s="22" t="n">
        <v>305000</v>
      </c>
      <c r="D14" s="27" t="inlineStr">
        <is>
          <t>→ basis AB-waarde box 2</t>
        </is>
      </c>
    </row>
    <row r="15">
      <c r="B15" s="21" t="inlineStr">
        <is>
          <t>Voorzieningen / ODV</t>
        </is>
      </c>
      <c r="C15" s="22" t="n">
        <v>40000</v>
      </c>
      <c r="D15" s="27" t="inlineStr">
        <is>
          <t>oudedagsverplichting</t>
        </is>
      </c>
    </row>
    <row r="16">
      <c r="B16" s="21" t="inlineStr">
        <is>
          <t>Langlopende schulden</t>
        </is>
      </c>
      <c r="C16" s="22" t="n">
        <v>0</v>
      </c>
      <c r="D16" s="27" t="inlineStr"/>
    </row>
    <row r="17">
      <c r="B17" s="21" t="inlineStr">
        <is>
          <t>Rekening-courant DGA</t>
        </is>
      </c>
      <c r="C17" s="22" t="n">
        <v>50000</v>
      </c>
      <c r="D17" s="27" t="inlineStr">
        <is>
          <t>→ schuld/vordering privé</t>
        </is>
      </c>
    </row>
    <row r="18">
      <c r="B18" s="21" t="inlineStr">
        <is>
          <t>Kortlopende schulden</t>
        </is>
      </c>
      <c r="C18" s="22" t="n">
        <v>30000</v>
      </c>
      <c r="D18" s="27" t="inlineStr"/>
    </row>
    <row r="19">
      <c r="B19" s="24" t="inlineStr">
        <is>
          <t>Balanstotaal (passiva)</t>
        </is>
      </c>
      <c r="C19" s="25">
        <f>SUM(C14:C18)</f>
        <v/>
      </c>
      <c r="D19" s="27" t="inlineStr"/>
    </row>
    <row r="20">
      <c r="B20" s="19" t="inlineStr">
        <is>
          <t>WINST- EN VERLIESREKENING</t>
        </is>
      </c>
      <c r="C20" s="20" t="n"/>
      <c r="D20" s="26" t="inlineStr"/>
    </row>
    <row r="21">
      <c r="B21" s="21" t="inlineStr">
        <is>
          <t>Omzet</t>
        </is>
      </c>
      <c r="C21" s="22" t="n">
        <v>420000</v>
      </c>
      <c r="D21" s="27" t="inlineStr"/>
    </row>
    <row r="22">
      <c r="B22" s="21" t="inlineStr">
        <is>
          <t>Bedrijfskosten</t>
        </is>
      </c>
      <c r="C22" s="22" t="n">
        <v>-300000</v>
      </c>
      <c r="D22" s="27" t="inlineStr"/>
    </row>
    <row r="23">
      <c r="B23" s="24" t="inlineStr">
        <is>
          <t>Resultaat voor belasting</t>
        </is>
      </c>
      <c r="C23" s="25">
        <f>SUM(C21:C22)</f>
        <v/>
      </c>
      <c r="D23" s="27" t="inlineStr"/>
    </row>
    <row r="24">
      <c r="B24" s="21" t="inlineStr">
        <is>
          <t>Uitkeerbare reserve (dividendruimte)</t>
        </is>
      </c>
      <c r="C24" s="22" t="n">
        <v>150000</v>
      </c>
      <c r="D24" s="27" t="inlineStr">
        <is>
          <t>[AANNAME] indicatief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6" customWidth="1" min="3" max="3"/>
    <col width="20" customWidth="1" min="4" max="4"/>
    <col width="26" customWidth="1" min="5" max="5"/>
    <col width="12" customWidth="1" min="6" max="6"/>
    <col width="9" customWidth="1" min="7" max="7"/>
    <col width="13" customWidth="1" min="8" max="8"/>
    <col width="14" customWidth="1" min="9" max="9"/>
    <col width="14" customWidth="1" min="10" max="10"/>
    <col width="8" customWidth="1" min="11" max="11"/>
    <col width="14" customWidth="1" min="12" max="12"/>
    <col width="15" customWidth="1" min="13" max="13"/>
    <col width="26" customWidth="1" min="14" max="14"/>
  </cols>
  <sheetData>
    <row r="1"/>
    <row r="2" ht="26" customHeight="1">
      <c r="B2" s="12" t="inlineStr">
        <is>
          <t>BEZITTINGEN &amp; SCHULDEN — genormaliseerde feitentabel</t>
        </is>
      </c>
    </row>
    <row r="3" ht="14" customHeight="1">
      <c r="B3" s="13" t="inlineStr">
        <is>
          <t>04_Input_Vermogen  ·  Eén regel per component · eigenaar stuurt partnerlogica · dit voedt alle berekeningen</t>
        </is>
      </c>
    </row>
    <row r="4" ht="24" customHeight="1">
      <c r="B4" s="28" t="inlineStr">
        <is>
          <t>LEGENDA: vul de blauwe kolommen in (Peildatum t/m Waarde, Bron). 'Teken' rekent automatisch. Eigenaar=Gezamenlijk → Aandeel klant % bepaalt de splitsing (default 50%).</t>
        </is>
      </c>
    </row>
    <row r="5">
      <c r="B5" s="14" t="inlineStr">
        <is>
          <t>Peildatum</t>
        </is>
      </c>
      <c r="C5" s="14" t="inlineStr">
        <is>
          <t>Categorie</t>
        </is>
      </c>
      <c r="D5" s="14" t="inlineStr">
        <is>
          <t>Subcategorie</t>
        </is>
      </c>
      <c r="E5" s="14" t="inlineStr">
        <is>
          <t>Omschrijving</t>
        </is>
      </c>
      <c r="F5" s="14" t="inlineStr">
        <is>
          <t>Type</t>
        </is>
      </c>
      <c r="G5" s="14" t="inlineStr">
        <is>
          <t>Box</t>
        </is>
      </c>
      <c r="H5" s="14" t="inlineStr">
        <is>
          <t>Eigenaar</t>
        </is>
      </c>
      <c r="I5" s="14" t="inlineStr">
        <is>
          <t>Aandeel klant %</t>
        </is>
      </c>
      <c r="J5" s="14" t="inlineStr">
        <is>
          <t>Waarde</t>
        </is>
      </c>
      <c r="K5" s="14" t="inlineStr">
        <is>
          <t>Teken</t>
        </is>
      </c>
      <c r="L5" s="14" t="inlineStr">
        <is>
          <t>Bron</t>
        </is>
      </c>
      <c r="M5" s="14" t="inlineStr">
        <is>
          <t>Betrouwbaarheid</t>
        </is>
      </c>
      <c r="N5" s="14" t="inlineStr">
        <is>
          <t>Toelichting</t>
        </is>
      </c>
    </row>
    <row r="6">
      <c r="B6" s="29" t="n">
        <v>46023</v>
      </c>
      <c r="C6" s="30" t="inlineStr">
        <is>
          <t>Liquiditeiten</t>
        </is>
      </c>
      <c r="D6" s="30" t="inlineStr">
        <is>
          <t>Betaalrekening</t>
        </is>
      </c>
      <c r="E6" s="30" t="inlineStr">
        <is>
          <t>Gezamenlijke betaalrekening</t>
        </is>
      </c>
      <c r="F6" s="30" t="inlineStr">
        <is>
          <t>Bezitting</t>
        </is>
      </c>
      <c r="G6" s="30" t="inlineStr">
        <is>
          <t>Box 3</t>
        </is>
      </c>
      <c r="H6" s="30" t="inlineStr">
        <is>
          <t>Gezamenlijk</t>
        </is>
      </c>
      <c r="I6" s="31" t="n">
        <v>0.5</v>
      </c>
      <c r="J6" s="32" t="n">
        <v>25000</v>
      </c>
      <c r="K6" s="33">
        <f>IF($F6="Schuld",-1,IF($F6="",0,1))</f>
        <v/>
      </c>
      <c r="L6" s="30" t="inlineStr">
        <is>
          <t>Bank</t>
        </is>
      </c>
      <c r="M6" s="30" t="n"/>
    </row>
    <row r="7">
      <c r="B7" s="29" t="n">
        <v>46023</v>
      </c>
      <c r="C7" s="30" t="inlineStr">
        <is>
          <t>Liquiditeiten</t>
        </is>
      </c>
      <c r="D7" s="30" t="inlineStr">
        <is>
          <t>Spaarrekening</t>
        </is>
      </c>
      <c r="E7" s="30" t="inlineStr">
        <is>
          <t>Spaargeld</t>
        </is>
      </c>
      <c r="F7" s="30" t="inlineStr">
        <is>
          <t>Bezitting</t>
        </is>
      </c>
      <c r="G7" s="30" t="inlineStr">
        <is>
          <t>Box 3</t>
        </is>
      </c>
      <c r="H7" s="30" t="inlineStr">
        <is>
          <t>Gezamenlijk</t>
        </is>
      </c>
      <c r="I7" s="31" t="n">
        <v>0.5</v>
      </c>
      <c r="J7" s="32" t="n">
        <v>80000</v>
      </c>
      <c r="K7" s="33">
        <f>IF($F7="Schuld",-1,IF($F7="",0,1))</f>
        <v/>
      </c>
      <c r="L7" s="30" t="inlineStr">
        <is>
          <t>Bank</t>
        </is>
      </c>
      <c r="M7" s="30" t="n"/>
    </row>
    <row r="8">
      <c r="B8" s="29" t="n">
        <v>46023</v>
      </c>
      <c r="C8" s="30" t="inlineStr">
        <is>
          <t>Vastgoed</t>
        </is>
      </c>
      <c r="D8" s="30" t="inlineStr">
        <is>
          <t>Eigen woning</t>
        </is>
      </c>
      <c r="E8" s="30" t="inlineStr">
        <is>
          <t>Woning (WOZ/marktwaarde)</t>
        </is>
      </c>
      <c r="F8" s="30" t="inlineStr">
        <is>
          <t>Bezitting</t>
        </is>
      </c>
      <c r="G8" s="30" t="inlineStr">
        <is>
          <t>Box 1</t>
        </is>
      </c>
      <c r="H8" s="30" t="inlineStr">
        <is>
          <t>Gezamenlijk</t>
        </is>
      </c>
      <c r="I8" s="31" t="n">
        <v>0.5</v>
      </c>
      <c r="J8" s="32" t="n">
        <v>550000</v>
      </c>
      <c r="K8" s="33">
        <f>IF($F8="Schuld",-1,IF($F8="",0,1))</f>
        <v/>
      </c>
      <c r="L8" s="30" t="inlineStr">
        <is>
          <t>Handmatig</t>
        </is>
      </c>
      <c r="M8" s="30" t="n"/>
    </row>
    <row r="9">
      <c r="B9" s="29" t="n">
        <v>46023</v>
      </c>
      <c r="C9" s="30" t="inlineStr">
        <is>
          <t>Beleggingen</t>
        </is>
      </c>
      <c r="D9" s="30" t="inlineStr">
        <is>
          <t>Effectenportefeuille</t>
        </is>
      </c>
      <c r="E9" s="30" t="inlineStr">
        <is>
          <t>Beleggingsrekening</t>
        </is>
      </c>
      <c r="F9" s="30" t="inlineStr">
        <is>
          <t>Bezitting</t>
        </is>
      </c>
      <c r="G9" s="30" t="inlineStr">
        <is>
          <t>Box 3</t>
        </is>
      </c>
      <c r="H9" s="30" t="inlineStr">
        <is>
          <t>Klant</t>
        </is>
      </c>
      <c r="I9" s="31" t="n">
        <v>1</v>
      </c>
      <c r="J9" s="32" t="n">
        <v>120000</v>
      </c>
      <c r="K9" s="33">
        <f>IF($F9="Schuld",-1,IF($F9="",0,1))</f>
        <v/>
      </c>
      <c r="L9" s="30" t="inlineStr">
        <is>
          <t>Aangifte IB</t>
        </is>
      </c>
      <c r="M9" s="30" t="n"/>
    </row>
    <row r="10">
      <c r="B10" s="29" t="n">
        <v>46023</v>
      </c>
      <c r="C10" s="30" t="inlineStr">
        <is>
          <t>Pensioen/ODV</t>
        </is>
      </c>
      <c r="D10" s="30" t="inlineStr">
        <is>
          <t>Lijfrente</t>
        </is>
      </c>
      <c r="E10" s="30" t="inlineStr">
        <is>
          <t>Lijfrentepolis</t>
        </is>
      </c>
      <c r="F10" s="30" t="inlineStr">
        <is>
          <t>Bezitting</t>
        </is>
      </c>
      <c r="G10" s="30" t="inlineStr">
        <is>
          <t>Box 1</t>
        </is>
      </c>
      <c r="H10" s="30" t="inlineStr">
        <is>
          <t>Klant</t>
        </is>
      </c>
      <c r="I10" s="31" t="n">
        <v>1</v>
      </c>
      <c r="J10" s="32" t="n">
        <v>45000</v>
      </c>
      <c r="K10" s="33">
        <f>IF($F10="Schuld",-1,IF($F10="",0,1))</f>
        <v/>
      </c>
      <c r="L10" s="30" t="inlineStr">
        <is>
          <t>Handmatig</t>
        </is>
      </c>
      <c r="M10" s="30" t="n"/>
    </row>
    <row r="11">
      <c r="B11" s="29" t="n">
        <v>46023</v>
      </c>
      <c r="C11" s="30" t="inlineStr">
        <is>
          <t>Onderneming/AB</t>
        </is>
      </c>
      <c r="D11" s="30" t="inlineStr">
        <is>
          <t>Aandelen Holding BV</t>
        </is>
      </c>
      <c r="E11" s="30" t="inlineStr">
        <is>
          <t>Aanmerkelijk belang (EV)</t>
        </is>
      </c>
      <c r="F11" s="30" t="inlineStr">
        <is>
          <t>Bezitting</t>
        </is>
      </c>
      <c r="G11" s="30" t="inlineStr">
        <is>
          <t>Box 2</t>
        </is>
      </c>
      <c r="H11" s="30" t="inlineStr">
        <is>
          <t>Klant</t>
        </is>
      </c>
      <c r="I11" s="31" t="n">
        <v>1</v>
      </c>
      <c r="J11" s="32" t="n">
        <v>305000</v>
      </c>
      <c r="K11" s="33">
        <f>IF($F11="Schuld",-1,IF($F11="",0,1))</f>
        <v/>
      </c>
      <c r="L11" s="30" t="inlineStr">
        <is>
          <t>Jaarrekening</t>
        </is>
      </c>
      <c r="M11" s="30" t="n"/>
    </row>
    <row r="12">
      <c r="B12" s="29" t="n">
        <v>46023</v>
      </c>
      <c r="C12" s="30" t="inlineStr">
        <is>
          <t>Overige bezitting</t>
        </is>
      </c>
      <c r="D12" s="30" t="inlineStr">
        <is>
          <t>Voertuig</t>
        </is>
      </c>
      <c r="E12" s="30" t="inlineStr">
        <is>
          <t>Auto</t>
        </is>
      </c>
      <c r="F12" s="30" t="inlineStr">
        <is>
          <t>Bezitting</t>
        </is>
      </c>
      <c r="G12" s="30" t="inlineStr">
        <is>
          <t>n.v.t.</t>
        </is>
      </c>
      <c r="H12" s="30" t="inlineStr">
        <is>
          <t>Gezamenlijk</t>
        </is>
      </c>
      <c r="I12" s="31" t="n">
        <v>0.5</v>
      </c>
      <c r="J12" s="32" t="n">
        <v>30000</v>
      </c>
      <c r="K12" s="33">
        <f>IF($F12="Schuld",-1,IF($F12="",0,1))</f>
        <v/>
      </c>
      <c r="L12" s="30" t="inlineStr">
        <is>
          <t>Handmatig</t>
        </is>
      </c>
      <c r="M12" s="30" t="n"/>
    </row>
    <row r="13">
      <c r="B13" s="29" t="n">
        <v>46023</v>
      </c>
      <c r="C13" s="30" t="inlineStr">
        <is>
          <t>Hypotheek</t>
        </is>
      </c>
      <c r="D13" s="30" t="inlineStr">
        <is>
          <t>Eigenwoningschuld</t>
        </is>
      </c>
      <c r="E13" s="30" t="inlineStr">
        <is>
          <t>Hypotheek eigen woning</t>
        </is>
      </c>
      <c r="F13" s="30" t="inlineStr">
        <is>
          <t>Schuld</t>
        </is>
      </c>
      <c r="G13" s="30" t="inlineStr">
        <is>
          <t>Box 1</t>
        </is>
      </c>
      <c r="H13" s="30" t="inlineStr">
        <is>
          <t>Gezamenlijk</t>
        </is>
      </c>
      <c r="I13" s="31" t="n">
        <v>0.5</v>
      </c>
      <c r="J13" s="32" t="n">
        <v>320000</v>
      </c>
      <c r="K13" s="33">
        <f>IF($F13="Schuld",-1,IF($F13="",0,1))</f>
        <v/>
      </c>
      <c r="L13" s="30" t="inlineStr">
        <is>
          <t>Handmatig</t>
        </is>
      </c>
      <c r="M13" s="30" t="n"/>
    </row>
    <row r="14">
      <c r="B14" s="29" t="n">
        <v>46023</v>
      </c>
      <c r="C14" s="30" t="inlineStr">
        <is>
          <t>Overige schuld</t>
        </is>
      </c>
      <c r="D14" s="30" t="inlineStr">
        <is>
          <t>Rekening-courant DGA</t>
        </is>
      </c>
      <c r="E14" s="30" t="inlineStr">
        <is>
          <t>R/C schuld aan BV</t>
        </is>
      </c>
      <c r="F14" s="30" t="inlineStr">
        <is>
          <t>Schuld</t>
        </is>
      </c>
      <c r="G14" s="30" t="inlineStr">
        <is>
          <t>Box 2</t>
        </is>
      </c>
      <c r="H14" s="30" t="inlineStr">
        <is>
          <t>Klant</t>
        </is>
      </c>
      <c r="I14" s="31" t="n">
        <v>1</v>
      </c>
      <c r="J14" s="32" t="n">
        <v>50000</v>
      </c>
      <c r="K14" s="33">
        <f>IF($F14="Schuld",-1,IF($F14="",0,1))</f>
        <v/>
      </c>
      <c r="L14" s="30" t="inlineStr">
        <is>
          <t>Jaarrekening</t>
        </is>
      </c>
      <c r="M14" s="30" t="n"/>
    </row>
    <row r="15">
      <c r="B15" s="29" t="n">
        <v>46023</v>
      </c>
      <c r="C15" s="30" t="inlineStr">
        <is>
          <t>Overige schuld</t>
        </is>
      </c>
      <c r="D15" s="30" t="inlineStr">
        <is>
          <t>Consumptief krediet</t>
        </is>
      </c>
      <c r="E15" s="30" t="inlineStr">
        <is>
          <t>Persoonlijke lening</t>
        </is>
      </c>
      <c r="F15" s="30" t="inlineStr">
        <is>
          <t>Schuld</t>
        </is>
      </c>
      <c r="G15" s="30" t="inlineStr">
        <is>
          <t>Box 3</t>
        </is>
      </c>
      <c r="H15" s="30" t="inlineStr">
        <is>
          <t>Gezamenlijk</t>
        </is>
      </c>
      <c r="I15" s="31" t="n">
        <v>0.5</v>
      </c>
      <c r="J15" s="32" t="n">
        <v>10000</v>
      </c>
      <c r="K15" s="33">
        <f>IF($F15="Schuld",-1,IF($F15="",0,1))</f>
        <v/>
      </c>
      <c r="L15" s="30" t="inlineStr">
        <is>
          <t>Handmatig</t>
        </is>
      </c>
      <c r="M15" s="30" t="n"/>
    </row>
    <row r="16">
      <c r="B16" s="29" t="n"/>
      <c r="C16" s="30" t="n"/>
      <c r="D16" s="30" t="n"/>
      <c r="E16" s="30" t="n"/>
      <c r="F16" s="30" t="n"/>
      <c r="G16" s="30" t="n"/>
      <c r="H16" s="30" t="n"/>
      <c r="I16" s="31" t="n"/>
      <c r="J16" s="32" t="n"/>
      <c r="K16" s="33">
        <f>IF($F16="Schuld",-1,IF($F16="",0,1))</f>
        <v/>
      </c>
      <c r="L16" s="30" t="n"/>
      <c r="M16" s="30" t="n"/>
    </row>
    <row r="17">
      <c r="B17" s="29" t="n"/>
      <c r="C17" s="30" t="n"/>
      <c r="D17" s="30" t="n"/>
      <c r="E17" s="30" t="n"/>
      <c r="F17" s="30" t="n"/>
      <c r="G17" s="30" t="n"/>
      <c r="H17" s="30" t="n"/>
      <c r="I17" s="31" t="n"/>
      <c r="J17" s="32" t="n"/>
      <c r="K17" s="33">
        <f>IF($F17="Schuld",-1,IF($F17="",0,1))</f>
        <v/>
      </c>
      <c r="L17" s="30" t="n"/>
      <c r="M17" s="30" t="n"/>
    </row>
    <row r="18">
      <c r="B18" s="34" t="n"/>
      <c r="C18" s="35" t="n"/>
      <c r="D18" s="35" t="n"/>
      <c r="E18" s="35" t="n"/>
      <c r="F18" s="35" t="n"/>
      <c r="G18" s="35" t="n"/>
      <c r="H18" s="35" t="n"/>
      <c r="I18" s="36" t="n"/>
      <c r="J18" s="37" t="n"/>
      <c r="K18" s="33">
        <f>IF($F18="Schuld",-1,IF($F18="",0,1))</f>
        <v/>
      </c>
      <c r="L18" s="35" t="n"/>
      <c r="M18" s="35" t="n"/>
    </row>
    <row r="19">
      <c r="B19" s="34" t="n"/>
      <c r="C19" s="35" t="n"/>
      <c r="D19" s="35" t="n"/>
      <c r="E19" s="35" t="n"/>
      <c r="F19" s="35" t="n"/>
      <c r="G19" s="35" t="n"/>
      <c r="H19" s="35" t="n"/>
      <c r="I19" s="36" t="n"/>
      <c r="J19" s="37" t="n"/>
      <c r="K19" s="33">
        <f>IF($F19="Schuld",-1,IF($F19="",0,1))</f>
        <v/>
      </c>
      <c r="L19" s="35" t="n"/>
      <c r="M19" s="35" t="n"/>
    </row>
    <row r="20">
      <c r="B20" s="34" t="n"/>
      <c r="C20" s="35" t="n"/>
      <c r="D20" s="35" t="n"/>
      <c r="E20" s="35" t="n"/>
      <c r="F20" s="35" t="n"/>
      <c r="G20" s="35" t="n"/>
      <c r="H20" s="35" t="n"/>
      <c r="I20" s="36" t="n"/>
      <c r="J20" s="37" t="n"/>
      <c r="K20" s="33">
        <f>IF($F20="Schuld",-1,IF($F20="",0,1))</f>
        <v/>
      </c>
      <c r="L20" s="35" t="n"/>
      <c r="M20" s="35" t="n"/>
    </row>
    <row r="21">
      <c r="B21" s="34" t="n"/>
      <c r="C21" s="35" t="n"/>
      <c r="D21" s="35" t="n"/>
      <c r="E21" s="35" t="n"/>
      <c r="F21" s="35" t="n"/>
      <c r="G21" s="35" t="n"/>
      <c r="H21" s="35" t="n"/>
      <c r="I21" s="36" t="n"/>
      <c r="J21" s="37" t="n"/>
      <c r="K21" s="33">
        <f>IF($F21="Schuld",-1,IF($F21="",0,1))</f>
        <v/>
      </c>
      <c r="L21" s="35" t="n"/>
      <c r="M21" s="35" t="n"/>
    </row>
    <row r="22">
      <c r="B22" s="34" t="n"/>
      <c r="C22" s="35" t="n"/>
      <c r="D22" s="35" t="n"/>
      <c r="E22" s="35" t="n"/>
      <c r="F22" s="35" t="n"/>
      <c r="G22" s="35" t="n"/>
      <c r="H22" s="35" t="n"/>
      <c r="I22" s="36" t="n"/>
      <c r="J22" s="37" t="n"/>
      <c r="K22" s="33">
        <f>IF($F22="Schuld",-1,IF($F22="",0,1))</f>
        <v/>
      </c>
      <c r="L22" s="35" t="n"/>
      <c r="M22" s="35" t="n"/>
    </row>
    <row r="23">
      <c r="B23" s="34" t="n"/>
      <c r="C23" s="35" t="n"/>
      <c r="D23" s="35" t="n"/>
      <c r="E23" s="35" t="n"/>
      <c r="F23" s="35" t="n"/>
      <c r="G23" s="35" t="n"/>
      <c r="H23" s="35" t="n"/>
      <c r="I23" s="36" t="n"/>
      <c r="J23" s="37" t="n"/>
      <c r="K23" s="33">
        <f>IF($F23="Schuld",-1,IF($F23="",0,1))</f>
        <v/>
      </c>
      <c r="L23" s="35" t="n"/>
      <c r="M23" s="35" t="n"/>
    </row>
    <row r="24">
      <c r="B24" s="34" t="n"/>
      <c r="C24" s="35" t="n"/>
      <c r="D24" s="35" t="n"/>
      <c r="E24" s="35" t="n"/>
      <c r="F24" s="35" t="n"/>
      <c r="G24" s="35" t="n"/>
      <c r="H24" s="35" t="n"/>
      <c r="I24" s="36" t="n"/>
      <c r="J24" s="37" t="n"/>
      <c r="K24" s="33">
        <f>IF($F24="Schuld",-1,IF($F24="",0,1))</f>
        <v/>
      </c>
      <c r="L24" s="35" t="n"/>
      <c r="M24" s="35" t="n"/>
    </row>
    <row r="25">
      <c r="B25" s="34" t="n"/>
      <c r="C25" s="35" t="n"/>
      <c r="D25" s="35" t="n"/>
      <c r="E25" s="35" t="n"/>
      <c r="F25" s="35" t="n"/>
      <c r="G25" s="35" t="n"/>
      <c r="H25" s="35" t="n"/>
      <c r="I25" s="36" t="n"/>
      <c r="J25" s="37" t="n"/>
      <c r="K25" s="33">
        <f>IF($F25="Schuld",-1,IF($F25="",0,1))</f>
        <v/>
      </c>
      <c r="L25" s="35" t="n"/>
      <c r="M25" s="35" t="n"/>
    </row>
    <row r="26">
      <c r="B26" s="34" t="n"/>
      <c r="C26" s="35" t="n"/>
      <c r="D26" s="35" t="n"/>
      <c r="E26" s="35" t="n"/>
      <c r="F26" s="35" t="n"/>
      <c r="G26" s="35" t="n"/>
      <c r="H26" s="35" t="n"/>
      <c r="I26" s="36" t="n"/>
      <c r="J26" s="37" t="n"/>
      <c r="K26" s="33">
        <f>IF($F26="Schuld",-1,IF($F26="",0,1))</f>
        <v/>
      </c>
      <c r="L26" s="35" t="n"/>
      <c r="M26" s="35" t="n"/>
    </row>
    <row r="27">
      <c r="B27" s="34" t="n"/>
      <c r="C27" s="35" t="n"/>
      <c r="D27" s="35" t="n"/>
      <c r="E27" s="35" t="n"/>
      <c r="F27" s="35" t="n"/>
      <c r="G27" s="35" t="n"/>
      <c r="H27" s="35" t="n"/>
      <c r="I27" s="36" t="n"/>
      <c r="J27" s="37" t="n"/>
      <c r="K27" s="33">
        <f>IF($F27="Schuld",-1,IF($F27="",0,1))</f>
        <v/>
      </c>
      <c r="L27" s="35" t="n"/>
      <c r="M27" s="35" t="n"/>
    </row>
    <row r="28">
      <c r="B28" s="34" t="n"/>
      <c r="C28" s="35" t="n"/>
      <c r="D28" s="35" t="n"/>
      <c r="E28" s="35" t="n"/>
      <c r="F28" s="35" t="n"/>
      <c r="G28" s="35" t="n"/>
      <c r="H28" s="35" t="n"/>
      <c r="I28" s="36" t="n"/>
      <c r="J28" s="37" t="n"/>
      <c r="K28" s="33">
        <f>IF($F28="Schuld",-1,IF($F28="",0,1))</f>
        <v/>
      </c>
      <c r="L28" s="35" t="n"/>
      <c r="M28" s="35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6" t="n"/>
      <c r="J29" s="37" t="n"/>
      <c r="K29" s="33">
        <f>IF($F29="Schuld",-1,IF($F29="",0,1))</f>
        <v/>
      </c>
      <c r="L29" s="35" t="n"/>
      <c r="M29" s="35" t="n"/>
    </row>
    <row r="30">
      <c r="B30" s="34" t="n"/>
      <c r="C30" s="35" t="n"/>
      <c r="D30" s="35" t="n"/>
      <c r="E30" s="35" t="n"/>
      <c r="F30" s="35" t="n"/>
      <c r="G30" s="35" t="n"/>
      <c r="H30" s="35" t="n"/>
      <c r="I30" s="36" t="n"/>
      <c r="J30" s="37" t="n"/>
      <c r="K30" s="33">
        <f>IF($F30="Schuld",-1,IF($F30="",0,1))</f>
        <v/>
      </c>
      <c r="L30" s="35" t="n"/>
      <c r="M30" s="35" t="n"/>
    </row>
    <row r="31">
      <c r="B31" s="34" t="n"/>
      <c r="C31" s="35" t="n"/>
      <c r="D31" s="35" t="n"/>
      <c r="E31" s="35" t="n"/>
      <c r="F31" s="35" t="n"/>
      <c r="G31" s="35" t="n"/>
      <c r="H31" s="35" t="n"/>
      <c r="I31" s="36" t="n"/>
      <c r="J31" s="37" t="n"/>
      <c r="K31" s="33">
        <f>IF($F31="Schuld",-1,IF($F31="",0,1))</f>
        <v/>
      </c>
      <c r="L31" s="35" t="n"/>
      <c r="M31" s="35" t="n"/>
    </row>
    <row r="32">
      <c r="B32" s="34" t="n"/>
      <c r="C32" s="35" t="n"/>
      <c r="D32" s="35" t="n"/>
      <c r="E32" s="35" t="n"/>
      <c r="F32" s="35" t="n"/>
      <c r="G32" s="35" t="n"/>
      <c r="H32" s="35" t="n"/>
      <c r="I32" s="36" t="n"/>
      <c r="J32" s="37" t="n"/>
      <c r="K32" s="33">
        <f>IF($F32="Schuld",-1,IF($F32="",0,1))</f>
        <v/>
      </c>
      <c r="L32" s="35" t="n"/>
      <c r="M32" s="35" t="n"/>
    </row>
    <row r="33">
      <c r="B33" s="34" t="n"/>
      <c r="C33" s="35" t="n"/>
      <c r="D33" s="35" t="n"/>
      <c r="E33" s="35" t="n"/>
      <c r="F33" s="35" t="n"/>
      <c r="G33" s="35" t="n"/>
      <c r="H33" s="35" t="n"/>
      <c r="I33" s="36" t="n"/>
      <c r="J33" s="37" t="n"/>
      <c r="K33" s="33">
        <f>IF($F33="Schuld",-1,IF($F33="",0,1))</f>
        <v/>
      </c>
      <c r="L33" s="35" t="n"/>
      <c r="M33" s="35" t="n"/>
    </row>
    <row r="34">
      <c r="B34" s="34" t="n"/>
      <c r="C34" s="35" t="n"/>
      <c r="D34" s="35" t="n"/>
      <c r="E34" s="35" t="n"/>
      <c r="F34" s="35" t="n"/>
      <c r="G34" s="35" t="n"/>
      <c r="H34" s="35" t="n"/>
      <c r="I34" s="36" t="n"/>
      <c r="J34" s="37" t="n"/>
      <c r="K34" s="33">
        <f>IF($F34="Schuld",-1,IF($F34="",0,1))</f>
        <v/>
      </c>
      <c r="L34" s="35" t="n"/>
      <c r="M34" s="35" t="n"/>
    </row>
    <row r="35">
      <c r="B35" s="34" t="n"/>
      <c r="C35" s="35" t="n"/>
      <c r="D35" s="35" t="n"/>
      <c r="E35" s="35" t="n"/>
      <c r="F35" s="35" t="n"/>
      <c r="G35" s="35" t="n"/>
      <c r="H35" s="35" t="n"/>
      <c r="I35" s="36" t="n"/>
      <c r="J35" s="37" t="n"/>
      <c r="K35" s="33">
        <f>IF($F35="Schuld",-1,IF($F35="",0,1))</f>
        <v/>
      </c>
      <c r="L35" s="35" t="n"/>
      <c r="M35" s="35" t="n"/>
    </row>
    <row r="36">
      <c r="B36" s="34" t="n"/>
      <c r="C36" s="35" t="n"/>
      <c r="D36" s="35" t="n"/>
      <c r="E36" s="35" t="n"/>
      <c r="F36" s="35" t="n"/>
      <c r="G36" s="35" t="n"/>
      <c r="H36" s="35" t="n"/>
      <c r="I36" s="36" t="n"/>
      <c r="J36" s="37" t="n"/>
      <c r="K36" s="33">
        <f>IF($F36="Schuld",-1,IF($F36="",0,1))</f>
        <v/>
      </c>
      <c r="L36" s="35" t="n"/>
      <c r="M36" s="35" t="n"/>
    </row>
    <row r="37">
      <c r="B37" s="34" t="n"/>
      <c r="C37" s="35" t="n"/>
      <c r="D37" s="35" t="n"/>
      <c r="E37" s="35" t="n"/>
      <c r="F37" s="35" t="n"/>
      <c r="G37" s="35" t="n"/>
      <c r="H37" s="35" t="n"/>
      <c r="I37" s="36" t="n"/>
      <c r="J37" s="37" t="n"/>
      <c r="K37" s="33">
        <f>IF($F37="Schuld",-1,IF($F37="",0,1))</f>
        <v/>
      </c>
      <c r="L37" s="35" t="n"/>
      <c r="M37" s="35" t="n"/>
    </row>
    <row r="38">
      <c r="B38" s="34" t="n"/>
      <c r="C38" s="35" t="n"/>
      <c r="D38" s="35" t="n"/>
      <c r="E38" s="35" t="n"/>
      <c r="F38" s="35" t="n"/>
      <c r="G38" s="35" t="n"/>
      <c r="H38" s="35" t="n"/>
      <c r="I38" s="36" t="n"/>
      <c r="J38" s="37" t="n"/>
      <c r="K38" s="33">
        <f>IF($F38="Schuld",-1,IF($F38="",0,1))</f>
        <v/>
      </c>
      <c r="L38" s="35" t="n"/>
      <c r="M38" s="35" t="n"/>
    </row>
    <row r="39">
      <c r="B39" s="34" t="n"/>
      <c r="C39" s="35" t="n"/>
      <c r="D39" s="35" t="n"/>
      <c r="E39" s="35" t="n"/>
      <c r="F39" s="35" t="n"/>
      <c r="G39" s="35" t="n"/>
      <c r="H39" s="35" t="n"/>
      <c r="I39" s="36" t="n"/>
      <c r="J39" s="37" t="n"/>
      <c r="K39" s="33">
        <f>IF($F39="Schuld",-1,IF($F39="",0,1))</f>
        <v/>
      </c>
      <c r="L39" s="35" t="n"/>
      <c r="M39" s="35" t="n"/>
    </row>
    <row r="40">
      <c r="B40" s="34" t="n"/>
      <c r="C40" s="35" t="n"/>
      <c r="D40" s="35" t="n"/>
      <c r="E40" s="35" t="n"/>
      <c r="F40" s="35" t="n"/>
      <c r="G40" s="35" t="n"/>
      <c r="H40" s="35" t="n"/>
      <c r="I40" s="36" t="n"/>
      <c r="J40" s="37" t="n"/>
      <c r="K40" s="33">
        <f>IF($F40="Schuld",-1,IF($F40="",0,1))</f>
        <v/>
      </c>
      <c r="L40" s="35" t="n"/>
      <c r="M40" s="35" t="n"/>
    </row>
    <row r="41">
      <c r="B41" s="34" t="n"/>
      <c r="C41" s="35" t="n"/>
      <c r="D41" s="35" t="n"/>
      <c r="E41" s="35" t="n"/>
      <c r="F41" s="35" t="n"/>
      <c r="G41" s="35" t="n"/>
      <c r="H41" s="35" t="n"/>
      <c r="I41" s="36" t="n"/>
      <c r="J41" s="37" t="n"/>
      <c r="K41" s="33">
        <f>IF($F41="Schuld",-1,IF($F41="",0,1))</f>
        <v/>
      </c>
      <c r="L41" s="35" t="n"/>
      <c r="M41" s="35" t="n"/>
    </row>
    <row r="42">
      <c r="B42" s="34" t="n"/>
      <c r="C42" s="35" t="n"/>
      <c r="D42" s="35" t="n"/>
      <c r="E42" s="35" t="n"/>
      <c r="F42" s="35" t="n"/>
      <c r="G42" s="35" t="n"/>
      <c r="H42" s="35" t="n"/>
      <c r="I42" s="36" t="n"/>
      <c r="J42" s="37" t="n"/>
      <c r="K42" s="33">
        <f>IF($F42="Schuld",-1,IF($F42="",0,1))</f>
        <v/>
      </c>
      <c r="L42" s="35" t="n"/>
      <c r="M42" s="35" t="n"/>
    </row>
    <row r="43">
      <c r="B43" s="34" t="n"/>
      <c r="C43" s="35" t="n"/>
      <c r="D43" s="35" t="n"/>
      <c r="E43" s="35" t="n"/>
      <c r="F43" s="35" t="n"/>
      <c r="G43" s="35" t="n"/>
      <c r="H43" s="35" t="n"/>
      <c r="I43" s="36" t="n"/>
      <c r="J43" s="37" t="n"/>
      <c r="K43" s="33">
        <f>IF($F43="Schuld",-1,IF($F43="",0,1))</f>
        <v/>
      </c>
      <c r="L43" s="35" t="n"/>
      <c r="M43" s="35" t="n"/>
    </row>
    <row r="44">
      <c r="B44" s="34" t="n"/>
      <c r="C44" s="35" t="n"/>
      <c r="D44" s="35" t="n"/>
      <c r="E44" s="35" t="n"/>
      <c r="F44" s="35" t="n"/>
      <c r="G44" s="35" t="n"/>
      <c r="H44" s="35" t="n"/>
      <c r="I44" s="36" t="n"/>
      <c r="J44" s="37" t="n"/>
      <c r="K44" s="33">
        <f>IF($F44="Schuld",-1,IF($F44="",0,1))</f>
        <v/>
      </c>
      <c r="L44" s="35" t="n"/>
      <c r="M44" s="35" t="n"/>
    </row>
    <row r="45">
      <c r="B45" s="34" t="n"/>
      <c r="C45" s="35" t="n"/>
      <c r="D45" s="35" t="n"/>
      <c r="E45" s="35" t="n"/>
      <c r="F45" s="35" t="n"/>
      <c r="G45" s="35" t="n"/>
      <c r="H45" s="35" t="n"/>
      <c r="I45" s="36" t="n"/>
      <c r="J45" s="37" t="n"/>
      <c r="K45" s="33">
        <f>IF($F45="Schuld",-1,IF($F45="",0,1))</f>
        <v/>
      </c>
      <c r="L45" s="35" t="n"/>
      <c r="M45" s="35" t="n"/>
    </row>
    <row r="46">
      <c r="B46" s="34" t="n"/>
      <c r="C46" s="35" t="n"/>
      <c r="D46" s="35" t="n"/>
      <c r="E46" s="35" t="n"/>
      <c r="F46" s="35" t="n"/>
      <c r="G46" s="35" t="n"/>
      <c r="H46" s="35" t="n"/>
      <c r="I46" s="36" t="n"/>
      <c r="J46" s="37" t="n"/>
      <c r="K46" s="33">
        <f>IF($F46="Schuld",-1,IF($F46="",0,1))</f>
        <v/>
      </c>
      <c r="L46" s="35" t="n"/>
      <c r="M46" s="35" t="n"/>
    </row>
    <row r="47">
      <c r="B47" s="34" t="n"/>
      <c r="C47" s="35" t="n"/>
      <c r="D47" s="35" t="n"/>
      <c r="E47" s="35" t="n"/>
      <c r="F47" s="35" t="n"/>
      <c r="G47" s="35" t="n"/>
      <c r="H47" s="35" t="n"/>
      <c r="I47" s="36" t="n"/>
      <c r="J47" s="37" t="n"/>
      <c r="K47" s="33">
        <f>IF($F47="Schuld",-1,IF($F47="",0,1))</f>
        <v/>
      </c>
      <c r="L47" s="35" t="n"/>
      <c r="M47" s="35" t="n"/>
    </row>
    <row r="48">
      <c r="B48" s="34" t="n"/>
      <c r="C48" s="35" t="n"/>
      <c r="D48" s="35" t="n"/>
      <c r="E48" s="35" t="n"/>
      <c r="F48" s="35" t="n"/>
      <c r="G48" s="35" t="n"/>
      <c r="H48" s="35" t="n"/>
      <c r="I48" s="36" t="n"/>
      <c r="J48" s="37" t="n"/>
      <c r="K48" s="33">
        <f>IF($F48="Schuld",-1,IF($F48="",0,1))</f>
        <v/>
      </c>
      <c r="L48" s="35" t="n"/>
      <c r="M48" s="35" t="n"/>
    </row>
    <row r="49">
      <c r="B49" s="34" t="n"/>
      <c r="C49" s="35" t="n"/>
      <c r="D49" s="35" t="n"/>
      <c r="E49" s="35" t="n"/>
      <c r="F49" s="35" t="n"/>
      <c r="G49" s="35" t="n"/>
      <c r="H49" s="35" t="n"/>
      <c r="I49" s="36" t="n"/>
      <c r="J49" s="37" t="n"/>
      <c r="K49" s="33">
        <f>IF($F49="Schuld",-1,IF($F49="",0,1))</f>
        <v/>
      </c>
      <c r="L49" s="35" t="n"/>
      <c r="M49" s="35" t="n"/>
    </row>
    <row r="50">
      <c r="B50" s="34" t="n"/>
      <c r="C50" s="35" t="n"/>
      <c r="D50" s="35" t="n"/>
      <c r="E50" s="35" t="n"/>
      <c r="F50" s="35" t="n"/>
      <c r="G50" s="35" t="n"/>
      <c r="H50" s="35" t="n"/>
      <c r="I50" s="36" t="n"/>
      <c r="J50" s="37" t="n"/>
      <c r="K50" s="33">
        <f>IF($F50="Schuld",-1,IF($F50="",0,1))</f>
        <v/>
      </c>
      <c r="L50" s="35" t="n"/>
      <c r="M50" s="35" t="n"/>
    </row>
    <row r="51">
      <c r="B51" s="34" t="n"/>
      <c r="C51" s="35" t="n"/>
      <c r="D51" s="35" t="n"/>
      <c r="E51" s="35" t="n"/>
      <c r="F51" s="35" t="n"/>
      <c r="G51" s="35" t="n"/>
      <c r="H51" s="35" t="n"/>
      <c r="I51" s="36" t="n"/>
      <c r="J51" s="37" t="n"/>
      <c r="K51" s="33">
        <f>IF($F51="Schuld",-1,IF($F51="",0,1))</f>
        <v/>
      </c>
      <c r="L51" s="35" t="n"/>
      <c r="M51" s="35" t="n"/>
    </row>
    <row r="52">
      <c r="B52" s="34" t="n"/>
      <c r="C52" s="35" t="n"/>
      <c r="D52" s="35" t="n"/>
      <c r="E52" s="35" t="n"/>
      <c r="F52" s="35" t="n"/>
      <c r="G52" s="35" t="n"/>
      <c r="H52" s="35" t="n"/>
      <c r="I52" s="36" t="n"/>
      <c r="J52" s="37" t="n"/>
      <c r="K52" s="33">
        <f>IF($F52="Schuld",-1,IF($F52="",0,1))</f>
        <v/>
      </c>
      <c r="L52" s="35" t="n"/>
      <c r="M52" s="35" t="n"/>
    </row>
    <row r="53">
      <c r="B53" s="34" t="n"/>
      <c r="C53" s="35" t="n"/>
      <c r="D53" s="35" t="n"/>
      <c r="E53" s="35" t="n"/>
      <c r="F53" s="35" t="n"/>
      <c r="G53" s="35" t="n"/>
      <c r="H53" s="35" t="n"/>
      <c r="I53" s="36" t="n"/>
      <c r="J53" s="37" t="n"/>
      <c r="K53" s="33">
        <f>IF($F53="Schuld",-1,IF($F53="",0,1))</f>
        <v/>
      </c>
      <c r="L53" s="35" t="n"/>
      <c r="M53" s="35" t="n"/>
    </row>
    <row r="54">
      <c r="B54" s="34" t="n"/>
      <c r="C54" s="35" t="n"/>
      <c r="D54" s="35" t="n"/>
      <c r="E54" s="35" t="n"/>
      <c r="F54" s="35" t="n"/>
      <c r="G54" s="35" t="n"/>
      <c r="H54" s="35" t="n"/>
      <c r="I54" s="36" t="n"/>
      <c r="J54" s="37" t="n"/>
      <c r="K54" s="33">
        <f>IF($F54="Schuld",-1,IF($F54="",0,1))</f>
        <v/>
      </c>
      <c r="L54" s="35" t="n"/>
      <c r="M54" s="35" t="n"/>
    </row>
    <row r="55">
      <c r="B55" s="34" t="n"/>
      <c r="C55" s="35" t="n"/>
      <c r="D55" s="35" t="n"/>
      <c r="E55" s="35" t="n"/>
      <c r="F55" s="35" t="n"/>
      <c r="G55" s="35" t="n"/>
      <c r="H55" s="35" t="n"/>
      <c r="I55" s="36" t="n"/>
      <c r="J55" s="37" t="n"/>
      <c r="K55" s="33">
        <f>IF($F55="Schuld",-1,IF($F55="",0,1))</f>
        <v/>
      </c>
      <c r="L55" s="35" t="n"/>
      <c r="M55" s="35" t="n"/>
    </row>
    <row r="56">
      <c r="B56" s="34" t="n"/>
      <c r="C56" s="35" t="n"/>
      <c r="D56" s="35" t="n"/>
      <c r="E56" s="35" t="n"/>
      <c r="F56" s="35" t="n"/>
      <c r="G56" s="35" t="n"/>
      <c r="H56" s="35" t="n"/>
      <c r="I56" s="36" t="n"/>
      <c r="J56" s="37" t="n"/>
      <c r="K56" s="33">
        <f>IF($F56="Schuld",-1,IF($F56="",0,1))</f>
        <v/>
      </c>
      <c r="L56" s="35" t="n"/>
      <c r="M56" s="35" t="n"/>
    </row>
    <row r="57">
      <c r="B57" s="34" t="n"/>
      <c r="C57" s="35" t="n"/>
      <c r="D57" s="35" t="n"/>
      <c r="E57" s="35" t="n"/>
      <c r="F57" s="35" t="n"/>
      <c r="G57" s="35" t="n"/>
      <c r="H57" s="35" t="n"/>
      <c r="I57" s="36" t="n"/>
      <c r="J57" s="37" t="n"/>
      <c r="K57" s="33">
        <f>IF($F57="Schuld",-1,IF($F57="",0,1))</f>
        <v/>
      </c>
      <c r="L57" s="35" t="n"/>
      <c r="M57" s="35" t="n"/>
    </row>
    <row r="58">
      <c r="B58" s="34" t="n"/>
      <c r="C58" s="35" t="n"/>
      <c r="D58" s="35" t="n"/>
      <c r="E58" s="35" t="n"/>
      <c r="F58" s="35" t="n"/>
      <c r="G58" s="35" t="n"/>
      <c r="H58" s="35" t="n"/>
      <c r="I58" s="36" t="n"/>
      <c r="J58" s="37" t="n"/>
      <c r="K58" s="33">
        <f>IF($F58="Schuld",-1,IF($F58="",0,1))</f>
        <v/>
      </c>
      <c r="L58" s="35" t="n"/>
      <c r="M58" s="35" t="n"/>
    </row>
    <row r="59">
      <c r="B59" s="34" t="n"/>
      <c r="C59" s="35" t="n"/>
      <c r="D59" s="35" t="n"/>
      <c r="E59" s="35" t="n"/>
      <c r="F59" s="35" t="n"/>
      <c r="G59" s="35" t="n"/>
      <c r="H59" s="35" t="n"/>
      <c r="I59" s="36" t="n"/>
      <c r="J59" s="37" t="n"/>
      <c r="K59" s="33">
        <f>IF($F59="Schuld",-1,IF($F59="",0,1))</f>
        <v/>
      </c>
      <c r="L59" s="35" t="n"/>
      <c r="M59" s="35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6" t="n"/>
      <c r="J60" s="37" t="n"/>
      <c r="K60" s="33">
        <f>IF($F60="Schuld",-1,IF($F60="",0,1))</f>
        <v/>
      </c>
      <c r="L60" s="35" t="n"/>
      <c r="M60" s="35" t="n"/>
    </row>
    <row r="61">
      <c r="B61" s="34" t="n"/>
      <c r="C61" s="35" t="n"/>
      <c r="D61" s="35" t="n"/>
      <c r="E61" s="35" t="n"/>
      <c r="F61" s="35" t="n"/>
      <c r="G61" s="35" t="n"/>
      <c r="H61" s="35" t="n"/>
      <c r="I61" s="36" t="n"/>
      <c r="J61" s="37" t="n"/>
      <c r="K61" s="33">
        <f>IF($F61="Schuld",-1,IF($F61="",0,1))</f>
        <v/>
      </c>
      <c r="L61" s="35" t="n"/>
      <c r="M61" s="35" t="n"/>
    </row>
    <row r="62">
      <c r="B62" s="34" t="n"/>
      <c r="C62" s="35" t="n"/>
      <c r="D62" s="35" t="n"/>
      <c r="E62" s="35" t="n"/>
      <c r="F62" s="35" t="n"/>
      <c r="G62" s="35" t="n"/>
      <c r="H62" s="35" t="n"/>
      <c r="I62" s="36" t="n"/>
      <c r="J62" s="37" t="n"/>
      <c r="K62" s="33">
        <f>IF($F62="Schuld",-1,IF($F62="",0,1))</f>
        <v/>
      </c>
      <c r="L62" s="35" t="n"/>
      <c r="M62" s="35" t="n"/>
    </row>
    <row r="63">
      <c r="B63" s="34" t="n"/>
      <c r="C63" s="35" t="n"/>
      <c r="D63" s="35" t="n"/>
      <c r="E63" s="35" t="n"/>
      <c r="F63" s="35" t="n"/>
      <c r="G63" s="35" t="n"/>
      <c r="H63" s="35" t="n"/>
      <c r="I63" s="36" t="n"/>
      <c r="J63" s="37" t="n"/>
      <c r="K63" s="33">
        <f>IF($F63="Schuld",-1,IF($F63="",0,1))</f>
        <v/>
      </c>
      <c r="L63" s="35" t="n"/>
      <c r="M63" s="35" t="n"/>
    </row>
    <row r="64">
      <c r="B64" s="34" t="n"/>
      <c r="C64" s="35" t="n"/>
      <c r="D64" s="35" t="n"/>
      <c r="E64" s="35" t="n"/>
      <c r="F64" s="35" t="n"/>
      <c r="G64" s="35" t="n"/>
      <c r="H64" s="35" t="n"/>
      <c r="I64" s="36" t="n"/>
      <c r="J64" s="37" t="n"/>
      <c r="K64" s="33">
        <f>IF($F64="Schuld",-1,IF($F64="",0,1))</f>
        <v/>
      </c>
      <c r="L64" s="35" t="n"/>
      <c r="M64" s="35" t="n"/>
    </row>
    <row r="65">
      <c r="B65" s="34" t="n"/>
      <c r="C65" s="35" t="n"/>
      <c r="D65" s="35" t="n"/>
      <c r="E65" s="35" t="n"/>
      <c r="F65" s="35" t="n"/>
      <c r="G65" s="35" t="n"/>
      <c r="H65" s="35" t="n"/>
      <c r="I65" s="36" t="n"/>
      <c r="J65" s="37" t="n"/>
      <c r="K65" s="33">
        <f>IF($F65="Schuld",-1,IF($F65="",0,1))</f>
        <v/>
      </c>
      <c r="L65" s="35" t="n"/>
      <c r="M65" s="35" t="n"/>
    </row>
    <row r="66">
      <c r="B66" s="34" t="n"/>
      <c r="C66" s="35" t="n"/>
      <c r="D66" s="35" t="n"/>
      <c r="E66" s="35" t="n"/>
      <c r="F66" s="35" t="n"/>
      <c r="G66" s="35" t="n"/>
      <c r="H66" s="35" t="n"/>
      <c r="I66" s="36" t="n"/>
      <c r="J66" s="37" t="n"/>
      <c r="K66" s="33">
        <f>IF($F66="Schuld",-1,IF($F66="",0,1))</f>
        <v/>
      </c>
      <c r="L66" s="35" t="n"/>
      <c r="M66" s="35" t="n"/>
    </row>
    <row r="67">
      <c r="B67" s="34" t="n"/>
      <c r="C67" s="35" t="n"/>
      <c r="D67" s="35" t="n"/>
      <c r="E67" s="35" t="n"/>
      <c r="F67" s="35" t="n"/>
      <c r="G67" s="35" t="n"/>
      <c r="H67" s="35" t="n"/>
      <c r="I67" s="36" t="n"/>
      <c r="J67" s="37" t="n"/>
      <c r="K67" s="33">
        <f>IF($F67="Schuld",-1,IF($F67="",0,1))</f>
        <v/>
      </c>
      <c r="L67" s="35" t="n"/>
      <c r="M67" s="35" t="n"/>
    </row>
    <row r="68">
      <c r="B68" s="34" t="n"/>
      <c r="C68" s="35" t="n"/>
      <c r="D68" s="35" t="n"/>
      <c r="E68" s="35" t="n"/>
      <c r="F68" s="35" t="n"/>
      <c r="G68" s="35" t="n"/>
      <c r="H68" s="35" t="n"/>
      <c r="I68" s="36" t="n"/>
      <c r="J68" s="37" t="n"/>
      <c r="K68" s="33">
        <f>IF($F68="Schuld",-1,IF($F68="",0,1))</f>
        <v/>
      </c>
      <c r="L68" s="35" t="n"/>
      <c r="M68" s="35" t="n"/>
    </row>
    <row r="69">
      <c r="B69" s="34" t="n"/>
      <c r="C69" s="35" t="n"/>
      <c r="D69" s="35" t="n"/>
      <c r="E69" s="35" t="n"/>
      <c r="F69" s="35" t="n"/>
      <c r="G69" s="35" t="n"/>
      <c r="H69" s="35" t="n"/>
      <c r="I69" s="36" t="n"/>
      <c r="J69" s="37" t="n"/>
      <c r="K69" s="33">
        <f>IF($F69="Schuld",-1,IF($F69="",0,1))</f>
        <v/>
      </c>
      <c r="L69" s="35" t="n"/>
      <c r="M69" s="35" t="n"/>
    </row>
    <row r="70">
      <c r="B70" s="34" t="n"/>
      <c r="C70" s="35" t="n"/>
      <c r="D70" s="35" t="n"/>
      <c r="E70" s="35" t="n"/>
      <c r="F70" s="35" t="n"/>
      <c r="G70" s="35" t="n"/>
      <c r="H70" s="35" t="n"/>
      <c r="I70" s="36" t="n"/>
      <c r="J70" s="37" t="n"/>
      <c r="K70" s="33">
        <f>IF($F70="Schuld",-1,IF($F70="",0,1))</f>
        <v/>
      </c>
      <c r="L70" s="35" t="n"/>
      <c r="M70" s="35" t="n"/>
    </row>
    <row r="71">
      <c r="B71" s="34" t="n"/>
      <c r="C71" s="35" t="n"/>
      <c r="D71" s="35" t="n"/>
      <c r="E71" s="35" t="n"/>
      <c r="F71" s="35" t="n"/>
      <c r="G71" s="35" t="n"/>
      <c r="H71" s="35" t="n"/>
      <c r="I71" s="36" t="n"/>
      <c r="J71" s="37" t="n"/>
      <c r="K71" s="33">
        <f>IF($F71="Schuld",-1,IF($F71="",0,1))</f>
        <v/>
      </c>
      <c r="L71" s="35" t="n"/>
      <c r="M71" s="35" t="n"/>
    </row>
    <row r="72">
      <c r="B72" s="34" t="n"/>
      <c r="C72" s="35" t="n"/>
      <c r="D72" s="35" t="n"/>
      <c r="E72" s="35" t="n"/>
      <c r="F72" s="35" t="n"/>
      <c r="G72" s="35" t="n"/>
      <c r="H72" s="35" t="n"/>
      <c r="I72" s="36" t="n"/>
      <c r="J72" s="37" t="n"/>
      <c r="K72" s="33">
        <f>IF($F72="Schuld",-1,IF($F72="",0,1))</f>
        <v/>
      </c>
      <c r="L72" s="35" t="n"/>
      <c r="M72" s="35" t="n"/>
    </row>
    <row r="73">
      <c r="B73" s="34" t="n"/>
      <c r="C73" s="35" t="n"/>
      <c r="D73" s="35" t="n"/>
      <c r="E73" s="35" t="n"/>
      <c r="F73" s="35" t="n"/>
      <c r="G73" s="35" t="n"/>
      <c r="H73" s="35" t="n"/>
      <c r="I73" s="36" t="n"/>
      <c r="J73" s="37" t="n"/>
      <c r="K73" s="33">
        <f>IF($F73="Schuld",-1,IF($F73="",0,1))</f>
        <v/>
      </c>
      <c r="L73" s="35" t="n"/>
      <c r="M73" s="35" t="n"/>
    </row>
    <row r="74">
      <c r="B74" s="34" t="n"/>
      <c r="C74" s="35" t="n"/>
      <c r="D74" s="35" t="n"/>
      <c r="E74" s="35" t="n"/>
      <c r="F74" s="35" t="n"/>
      <c r="G74" s="35" t="n"/>
      <c r="H74" s="35" t="n"/>
      <c r="I74" s="36" t="n"/>
      <c r="J74" s="37" t="n"/>
      <c r="K74" s="33">
        <f>IF($F74="Schuld",-1,IF($F74="",0,1))</f>
        <v/>
      </c>
      <c r="L74" s="35" t="n"/>
      <c r="M74" s="35" t="n"/>
    </row>
    <row r="75">
      <c r="B75" s="34" t="n"/>
      <c r="C75" s="35" t="n"/>
      <c r="D75" s="35" t="n"/>
      <c r="E75" s="35" t="n"/>
      <c r="F75" s="35" t="n"/>
      <c r="G75" s="35" t="n"/>
      <c r="H75" s="35" t="n"/>
      <c r="I75" s="36" t="n"/>
      <c r="J75" s="37" t="n"/>
      <c r="K75" s="33">
        <f>IF($F75="Schuld",-1,IF($F75="",0,1))</f>
        <v/>
      </c>
      <c r="L75" s="35" t="n"/>
      <c r="M75" s="35" t="n"/>
    </row>
    <row r="76">
      <c r="B76" s="34" t="n"/>
      <c r="C76" s="35" t="n"/>
      <c r="D76" s="35" t="n"/>
      <c r="E76" s="35" t="n"/>
      <c r="F76" s="35" t="n"/>
      <c r="G76" s="35" t="n"/>
      <c r="H76" s="35" t="n"/>
      <c r="I76" s="36" t="n"/>
      <c r="J76" s="37" t="n"/>
      <c r="K76" s="33">
        <f>IF($F76="Schuld",-1,IF($F76="",0,1))</f>
        <v/>
      </c>
      <c r="L76" s="35" t="n"/>
      <c r="M76" s="35" t="n"/>
    </row>
    <row r="77">
      <c r="B77" s="34" t="n"/>
      <c r="C77" s="35" t="n"/>
      <c r="D77" s="35" t="n"/>
      <c r="E77" s="35" t="n"/>
      <c r="F77" s="35" t="n"/>
      <c r="G77" s="35" t="n"/>
      <c r="H77" s="35" t="n"/>
      <c r="I77" s="36" t="n"/>
      <c r="J77" s="37" t="n"/>
      <c r="K77" s="33">
        <f>IF($F77="Schuld",-1,IF($F77="",0,1))</f>
        <v/>
      </c>
      <c r="L77" s="35" t="n"/>
      <c r="M77" s="35" t="n"/>
    </row>
    <row r="78">
      <c r="B78" s="34" t="n"/>
      <c r="C78" s="35" t="n"/>
      <c r="D78" s="35" t="n"/>
      <c r="E78" s="35" t="n"/>
      <c r="F78" s="35" t="n"/>
      <c r="G78" s="35" t="n"/>
      <c r="H78" s="35" t="n"/>
      <c r="I78" s="36" t="n"/>
      <c r="J78" s="37" t="n"/>
      <c r="K78" s="33">
        <f>IF($F78="Schuld",-1,IF($F78="",0,1))</f>
        <v/>
      </c>
      <c r="L78" s="35" t="n"/>
      <c r="M78" s="35" t="n"/>
    </row>
    <row r="79">
      <c r="B79" s="34" t="n"/>
      <c r="C79" s="35" t="n"/>
      <c r="D79" s="35" t="n"/>
      <c r="E79" s="35" t="n"/>
      <c r="F79" s="35" t="n"/>
      <c r="G79" s="35" t="n"/>
      <c r="H79" s="35" t="n"/>
      <c r="I79" s="36" t="n"/>
      <c r="J79" s="37" t="n"/>
      <c r="K79" s="33">
        <f>IF($F79="Schuld",-1,IF($F79="",0,1))</f>
        <v/>
      </c>
      <c r="L79" s="35" t="n"/>
      <c r="M79" s="35" t="n"/>
    </row>
    <row r="80">
      <c r="B80" s="34" t="n"/>
      <c r="C80" s="35" t="n"/>
      <c r="D80" s="35" t="n"/>
      <c r="E80" s="35" t="n"/>
      <c r="F80" s="35" t="n"/>
      <c r="G80" s="35" t="n"/>
      <c r="H80" s="35" t="n"/>
      <c r="I80" s="36" t="n"/>
      <c r="J80" s="37" t="n"/>
      <c r="K80" s="33">
        <f>IF($F80="Schuld",-1,IF($F80="",0,1))</f>
        <v/>
      </c>
      <c r="L80" s="35" t="n"/>
      <c r="M80" s="35" t="n"/>
    </row>
    <row r="81">
      <c r="B81" s="34" t="n"/>
      <c r="C81" s="35" t="n"/>
      <c r="D81" s="35" t="n"/>
      <c r="E81" s="35" t="n"/>
      <c r="F81" s="35" t="n"/>
      <c r="G81" s="35" t="n"/>
      <c r="H81" s="35" t="n"/>
      <c r="I81" s="36" t="n"/>
      <c r="J81" s="37" t="n"/>
      <c r="K81" s="33">
        <f>IF($F81="Schuld",-1,IF($F81="",0,1))</f>
        <v/>
      </c>
      <c r="L81" s="35" t="n"/>
      <c r="M81" s="35" t="n"/>
    </row>
    <row r="82">
      <c r="B82" s="34" t="n"/>
      <c r="C82" s="35" t="n"/>
      <c r="D82" s="35" t="n"/>
      <c r="E82" s="35" t="n"/>
      <c r="F82" s="35" t="n"/>
      <c r="G82" s="35" t="n"/>
      <c r="H82" s="35" t="n"/>
      <c r="I82" s="36" t="n"/>
      <c r="J82" s="37" t="n"/>
      <c r="K82" s="33">
        <f>IF($F82="Schuld",-1,IF($F82="",0,1))</f>
        <v/>
      </c>
      <c r="L82" s="35" t="n"/>
      <c r="M82" s="35" t="n"/>
    </row>
    <row r="83">
      <c r="B83" s="34" t="n"/>
      <c r="C83" s="35" t="n"/>
      <c r="D83" s="35" t="n"/>
      <c r="E83" s="35" t="n"/>
      <c r="F83" s="35" t="n"/>
      <c r="G83" s="35" t="n"/>
      <c r="H83" s="35" t="n"/>
      <c r="I83" s="36" t="n"/>
      <c r="J83" s="37" t="n"/>
      <c r="K83" s="33">
        <f>IF($F83="Schuld",-1,IF($F83="",0,1))</f>
        <v/>
      </c>
      <c r="L83" s="35" t="n"/>
      <c r="M83" s="35" t="n"/>
    </row>
    <row r="84">
      <c r="B84" s="34" t="n"/>
      <c r="C84" s="35" t="n"/>
      <c r="D84" s="35" t="n"/>
      <c r="E84" s="35" t="n"/>
      <c r="F84" s="35" t="n"/>
      <c r="G84" s="35" t="n"/>
      <c r="H84" s="35" t="n"/>
      <c r="I84" s="36" t="n"/>
      <c r="J84" s="37" t="n"/>
      <c r="K84" s="33">
        <f>IF($F84="Schuld",-1,IF($F84="",0,1))</f>
        <v/>
      </c>
      <c r="L84" s="35" t="n"/>
      <c r="M84" s="35" t="n"/>
    </row>
    <row r="85">
      <c r="B85" s="34" t="n"/>
      <c r="C85" s="35" t="n"/>
      <c r="D85" s="35" t="n"/>
      <c r="E85" s="35" t="n"/>
      <c r="F85" s="35" t="n"/>
      <c r="G85" s="35" t="n"/>
      <c r="H85" s="35" t="n"/>
      <c r="I85" s="36" t="n"/>
      <c r="J85" s="37" t="n"/>
      <c r="K85" s="33">
        <f>IF($F85="Schuld",-1,IF($F85="",0,1))</f>
        <v/>
      </c>
      <c r="L85" s="35" t="n"/>
      <c r="M85" s="35" t="n"/>
    </row>
    <row r="86">
      <c r="B86" s="34" t="n"/>
      <c r="C86" s="35" t="n"/>
      <c r="D86" s="35" t="n"/>
      <c r="E86" s="35" t="n"/>
      <c r="F86" s="35" t="n"/>
      <c r="G86" s="35" t="n"/>
      <c r="H86" s="35" t="n"/>
      <c r="I86" s="36" t="n"/>
      <c r="J86" s="37" t="n"/>
      <c r="K86" s="33">
        <f>IF($F86="Schuld",-1,IF($F86="",0,1))</f>
        <v/>
      </c>
      <c r="L86" s="35" t="n"/>
      <c r="M86" s="35" t="n"/>
    </row>
    <row r="87">
      <c r="B87" s="34" t="n"/>
      <c r="C87" s="35" t="n"/>
      <c r="D87" s="35" t="n"/>
      <c r="E87" s="35" t="n"/>
      <c r="F87" s="35" t="n"/>
      <c r="G87" s="35" t="n"/>
      <c r="H87" s="35" t="n"/>
      <c r="I87" s="36" t="n"/>
      <c r="J87" s="37" t="n"/>
      <c r="K87" s="33">
        <f>IF($F87="Schuld",-1,IF($F87="",0,1))</f>
        <v/>
      </c>
      <c r="L87" s="35" t="n"/>
      <c r="M87" s="35" t="n"/>
    </row>
    <row r="88">
      <c r="B88" s="34" t="n"/>
      <c r="C88" s="35" t="n"/>
      <c r="D88" s="35" t="n"/>
      <c r="E88" s="35" t="n"/>
      <c r="F88" s="35" t="n"/>
      <c r="G88" s="35" t="n"/>
      <c r="H88" s="35" t="n"/>
      <c r="I88" s="36" t="n"/>
      <c r="J88" s="37" t="n"/>
      <c r="K88" s="33">
        <f>IF($F88="Schuld",-1,IF($F88="",0,1))</f>
        <v/>
      </c>
      <c r="L88" s="35" t="n"/>
      <c r="M88" s="35" t="n"/>
    </row>
    <row r="89">
      <c r="B89" s="34" t="n"/>
      <c r="C89" s="35" t="n"/>
      <c r="D89" s="35" t="n"/>
      <c r="E89" s="35" t="n"/>
      <c r="F89" s="35" t="n"/>
      <c r="G89" s="35" t="n"/>
      <c r="H89" s="35" t="n"/>
      <c r="I89" s="36" t="n"/>
      <c r="J89" s="37" t="n"/>
      <c r="K89" s="33">
        <f>IF($F89="Schuld",-1,IF($F89="",0,1))</f>
        <v/>
      </c>
      <c r="L89" s="35" t="n"/>
      <c r="M89" s="35" t="n"/>
    </row>
    <row r="90">
      <c r="B90" s="34" t="n"/>
      <c r="C90" s="35" t="n"/>
      <c r="D90" s="35" t="n"/>
      <c r="E90" s="35" t="n"/>
      <c r="F90" s="35" t="n"/>
      <c r="G90" s="35" t="n"/>
      <c r="H90" s="35" t="n"/>
      <c r="I90" s="36" t="n"/>
      <c r="J90" s="37" t="n"/>
      <c r="K90" s="33">
        <f>IF($F90="Schuld",-1,IF($F90="",0,1))</f>
        <v/>
      </c>
      <c r="L90" s="35" t="n"/>
      <c r="M90" s="35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6" t="n"/>
      <c r="J91" s="37" t="n"/>
      <c r="K91" s="33">
        <f>IF($F91="Schuld",-1,IF($F91="",0,1))</f>
        <v/>
      </c>
      <c r="L91" s="35" t="n"/>
      <c r="M91" s="35" t="n"/>
    </row>
    <row r="92">
      <c r="B92" s="34" t="n"/>
      <c r="C92" s="35" t="n"/>
      <c r="D92" s="35" t="n"/>
      <c r="E92" s="35" t="n"/>
      <c r="F92" s="35" t="n"/>
      <c r="G92" s="35" t="n"/>
      <c r="H92" s="35" t="n"/>
      <c r="I92" s="36" t="n"/>
      <c r="J92" s="37" t="n"/>
      <c r="K92" s="33">
        <f>IF($F92="Schuld",-1,IF($F92="",0,1))</f>
        <v/>
      </c>
      <c r="L92" s="35" t="n"/>
      <c r="M92" s="35" t="n"/>
    </row>
    <row r="93">
      <c r="B93" s="34" t="n"/>
      <c r="C93" s="35" t="n"/>
      <c r="D93" s="35" t="n"/>
      <c r="E93" s="35" t="n"/>
      <c r="F93" s="35" t="n"/>
      <c r="G93" s="35" t="n"/>
      <c r="H93" s="35" t="n"/>
      <c r="I93" s="36" t="n"/>
      <c r="J93" s="37" t="n"/>
      <c r="K93" s="33">
        <f>IF($F93="Schuld",-1,IF($F93="",0,1))</f>
        <v/>
      </c>
      <c r="L93" s="35" t="n"/>
      <c r="M93" s="35" t="n"/>
    </row>
    <row r="94">
      <c r="B94" s="34" t="n"/>
      <c r="C94" s="35" t="n"/>
      <c r="D94" s="35" t="n"/>
      <c r="E94" s="35" t="n"/>
      <c r="F94" s="35" t="n"/>
      <c r="G94" s="35" t="n"/>
      <c r="H94" s="35" t="n"/>
      <c r="I94" s="36" t="n"/>
      <c r="J94" s="37" t="n"/>
      <c r="K94" s="33">
        <f>IF($F94="Schuld",-1,IF($F94="",0,1))</f>
        <v/>
      </c>
      <c r="L94" s="35" t="n"/>
      <c r="M94" s="35" t="n"/>
    </row>
    <row r="95">
      <c r="B95" s="34" t="n"/>
      <c r="C95" s="35" t="n"/>
      <c r="D95" s="35" t="n"/>
      <c r="E95" s="35" t="n"/>
      <c r="F95" s="35" t="n"/>
      <c r="G95" s="35" t="n"/>
      <c r="H95" s="35" t="n"/>
      <c r="I95" s="36" t="n"/>
      <c r="J95" s="37" t="n"/>
      <c r="K95" s="33">
        <f>IF($F95="Schuld",-1,IF($F95="",0,1))</f>
        <v/>
      </c>
      <c r="L95" s="35" t="n"/>
      <c r="M95" s="35" t="n"/>
    </row>
    <row r="96">
      <c r="B96" s="34" t="n"/>
      <c r="C96" s="35" t="n"/>
      <c r="D96" s="35" t="n"/>
      <c r="E96" s="35" t="n"/>
      <c r="F96" s="35" t="n"/>
      <c r="G96" s="35" t="n"/>
      <c r="H96" s="35" t="n"/>
      <c r="I96" s="36" t="n"/>
      <c r="J96" s="37" t="n"/>
      <c r="K96" s="33">
        <f>IF($F96="Schuld",-1,IF($F96="",0,1))</f>
        <v/>
      </c>
      <c r="L96" s="35" t="n"/>
      <c r="M96" s="35" t="n"/>
    </row>
    <row r="97">
      <c r="B97" s="34" t="n"/>
      <c r="C97" s="35" t="n"/>
      <c r="D97" s="35" t="n"/>
      <c r="E97" s="35" t="n"/>
      <c r="F97" s="35" t="n"/>
      <c r="G97" s="35" t="n"/>
      <c r="H97" s="35" t="n"/>
      <c r="I97" s="36" t="n"/>
      <c r="J97" s="37" t="n"/>
      <c r="K97" s="33">
        <f>IF($F97="Schuld",-1,IF($F97="",0,1))</f>
        <v/>
      </c>
      <c r="L97" s="35" t="n"/>
      <c r="M97" s="35" t="n"/>
    </row>
    <row r="98">
      <c r="B98" s="34" t="n"/>
      <c r="C98" s="35" t="n"/>
      <c r="D98" s="35" t="n"/>
      <c r="E98" s="35" t="n"/>
      <c r="F98" s="35" t="n"/>
      <c r="G98" s="35" t="n"/>
      <c r="H98" s="35" t="n"/>
      <c r="I98" s="36" t="n"/>
      <c r="J98" s="37" t="n"/>
      <c r="K98" s="33">
        <f>IF($F98="Schuld",-1,IF($F98="",0,1))</f>
        <v/>
      </c>
      <c r="L98" s="35" t="n"/>
      <c r="M98" s="35" t="n"/>
    </row>
    <row r="99">
      <c r="B99" s="34" t="n"/>
      <c r="C99" s="35" t="n"/>
      <c r="D99" s="35" t="n"/>
      <c r="E99" s="35" t="n"/>
      <c r="F99" s="35" t="n"/>
      <c r="G99" s="35" t="n"/>
      <c r="H99" s="35" t="n"/>
      <c r="I99" s="36" t="n"/>
      <c r="J99" s="37" t="n"/>
      <c r="K99" s="33">
        <f>IF($F99="Schuld",-1,IF($F99="",0,1))</f>
        <v/>
      </c>
      <c r="L99" s="35" t="n"/>
      <c r="M99" s="35" t="n"/>
    </row>
    <row r="100">
      <c r="B100" s="34" t="n"/>
      <c r="C100" s="35" t="n"/>
      <c r="D100" s="35" t="n"/>
      <c r="E100" s="35" t="n"/>
      <c r="F100" s="35" t="n"/>
      <c r="G100" s="35" t="n"/>
      <c r="H100" s="35" t="n"/>
      <c r="I100" s="36" t="n"/>
      <c r="J100" s="37" t="n"/>
      <c r="K100" s="33">
        <f>IF($F100="Schuld",-1,IF($F100="",0,1))</f>
        <v/>
      </c>
      <c r="L100" s="35" t="n"/>
      <c r="M100" s="35" t="n"/>
    </row>
    <row r="101">
      <c r="B101" s="34" t="n"/>
      <c r="C101" s="35" t="n"/>
      <c r="D101" s="35" t="n"/>
      <c r="E101" s="35" t="n"/>
      <c r="F101" s="35" t="n"/>
      <c r="G101" s="35" t="n"/>
      <c r="H101" s="35" t="n"/>
      <c r="I101" s="36" t="n"/>
      <c r="J101" s="37" t="n"/>
      <c r="K101" s="33">
        <f>IF($F101="Schuld",-1,IF($F101="",0,1))</f>
        <v/>
      </c>
      <c r="L101" s="35" t="n"/>
      <c r="M101" s="35" t="n"/>
    </row>
    <row r="102">
      <c r="B102" s="34" t="n"/>
      <c r="C102" s="35" t="n"/>
      <c r="D102" s="35" t="n"/>
      <c r="E102" s="35" t="n"/>
      <c r="F102" s="35" t="n"/>
      <c r="G102" s="35" t="n"/>
      <c r="H102" s="35" t="n"/>
      <c r="I102" s="36" t="n"/>
      <c r="J102" s="37" t="n"/>
      <c r="K102" s="33">
        <f>IF($F102="Schuld",-1,IF($F102="",0,1))</f>
        <v/>
      </c>
      <c r="L102" s="35" t="n"/>
      <c r="M102" s="35" t="n"/>
    </row>
    <row r="103">
      <c r="B103" s="34" t="n"/>
      <c r="C103" s="35" t="n"/>
      <c r="D103" s="35" t="n"/>
      <c r="E103" s="35" t="n"/>
      <c r="F103" s="35" t="n"/>
      <c r="G103" s="35" t="n"/>
      <c r="H103" s="35" t="n"/>
      <c r="I103" s="36" t="n"/>
      <c r="J103" s="37" t="n"/>
      <c r="K103" s="33">
        <f>IF($F103="Schuld",-1,IF($F103="",0,1))</f>
        <v/>
      </c>
      <c r="L103" s="35" t="n"/>
      <c r="M103" s="35" t="n"/>
    </row>
    <row r="104">
      <c r="B104" s="34" t="n"/>
      <c r="C104" s="35" t="n"/>
      <c r="D104" s="35" t="n"/>
      <c r="E104" s="35" t="n"/>
      <c r="F104" s="35" t="n"/>
      <c r="G104" s="35" t="n"/>
      <c r="H104" s="35" t="n"/>
      <c r="I104" s="36" t="n"/>
      <c r="J104" s="37" t="n"/>
      <c r="K104" s="33">
        <f>IF($F104="Schuld",-1,IF($F104="",0,1))</f>
        <v/>
      </c>
      <c r="L104" s="35" t="n"/>
      <c r="M104" s="35" t="n"/>
    </row>
    <row r="105">
      <c r="B105" s="34" t="n"/>
      <c r="C105" s="35" t="n"/>
      <c r="D105" s="35" t="n"/>
      <c r="E105" s="35" t="n"/>
      <c r="F105" s="35" t="n"/>
      <c r="G105" s="35" t="n"/>
      <c r="H105" s="35" t="n"/>
      <c r="I105" s="36" t="n"/>
      <c r="J105" s="37" t="n"/>
      <c r="K105" s="33">
        <f>IF($F105="Schuld",-1,IF($F105="",0,1))</f>
        <v/>
      </c>
      <c r="L105" s="35" t="n"/>
      <c r="M105" s="35" t="n"/>
    </row>
    <row r="106">
      <c r="B106" s="34" t="n"/>
      <c r="C106" s="35" t="n"/>
      <c r="D106" s="35" t="n"/>
      <c r="E106" s="35" t="n"/>
      <c r="F106" s="35" t="n"/>
      <c r="G106" s="35" t="n"/>
      <c r="H106" s="35" t="n"/>
      <c r="I106" s="36" t="n"/>
      <c r="J106" s="37" t="n"/>
      <c r="K106" s="33">
        <f>IF($F106="Schuld",-1,IF($F106="",0,1))</f>
        <v/>
      </c>
      <c r="L106" s="35" t="n"/>
      <c r="M106" s="35" t="n"/>
    </row>
    <row r="107">
      <c r="B107" s="34" t="n"/>
      <c r="C107" s="35" t="n"/>
      <c r="D107" s="35" t="n"/>
      <c r="E107" s="35" t="n"/>
      <c r="F107" s="35" t="n"/>
      <c r="G107" s="35" t="n"/>
      <c r="H107" s="35" t="n"/>
      <c r="I107" s="36" t="n"/>
      <c r="J107" s="37" t="n"/>
      <c r="K107" s="33">
        <f>IF($F107="Schuld",-1,IF($F107="",0,1))</f>
        <v/>
      </c>
      <c r="L107" s="35" t="n"/>
      <c r="M107" s="35" t="n"/>
    </row>
    <row r="108">
      <c r="B108" s="34" t="n"/>
      <c r="C108" s="35" t="n"/>
      <c r="D108" s="35" t="n"/>
      <c r="E108" s="35" t="n"/>
      <c r="F108" s="35" t="n"/>
      <c r="G108" s="35" t="n"/>
      <c r="H108" s="35" t="n"/>
      <c r="I108" s="36" t="n"/>
      <c r="J108" s="37" t="n"/>
      <c r="K108" s="33">
        <f>IF($F108="Schuld",-1,IF($F108="",0,1))</f>
        <v/>
      </c>
      <c r="L108" s="35" t="n"/>
      <c r="M108" s="35" t="n"/>
    </row>
    <row r="109">
      <c r="B109" s="34" t="n"/>
      <c r="C109" s="35" t="n"/>
      <c r="D109" s="35" t="n"/>
      <c r="E109" s="35" t="n"/>
      <c r="F109" s="35" t="n"/>
      <c r="G109" s="35" t="n"/>
      <c r="H109" s="35" t="n"/>
      <c r="I109" s="36" t="n"/>
      <c r="J109" s="37" t="n"/>
      <c r="K109" s="33">
        <f>IF($F109="Schuld",-1,IF($F109="",0,1))</f>
        <v/>
      </c>
      <c r="L109" s="35" t="n"/>
      <c r="M109" s="35" t="n"/>
    </row>
    <row r="110">
      <c r="B110" s="34" t="n"/>
      <c r="C110" s="35" t="n"/>
      <c r="D110" s="35" t="n"/>
      <c r="E110" s="35" t="n"/>
      <c r="F110" s="35" t="n"/>
      <c r="G110" s="35" t="n"/>
      <c r="H110" s="35" t="n"/>
      <c r="I110" s="36" t="n"/>
      <c r="J110" s="37" t="n"/>
      <c r="K110" s="33">
        <f>IF($F110="Schuld",-1,IF($F110="",0,1))</f>
        <v/>
      </c>
      <c r="L110" s="35" t="n"/>
      <c r="M110" s="35" t="n"/>
    </row>
    <row r="111">
      <c r="B111" s="34" t="n"/>
      <c r="C111" s="35" t="n"/>
      <c r="D111" s="35" t="n"/>
      <c r="E111" s="35" t="n"/>
      <c r="F111" s="35" t="n"/>
      <c r="G111" s="35" t="n"/>
      <c r="H111" s="35" t="n"/>
      <c r="I111" s="36" t="n"/>
      <c r="J111" s="37" t="n"/>
      <c r="K111" s="33">
        <f>IF($F111="Schuld",-1,IF($F111="",0,1))</f>
        <v/>
      </c>
      <c r="L111" s="35" t="n"/>
      <c r="M111" s="35" t="n"/>
    </row>
    <row r="112">
      <c r="B112" s="34" t="n"/>
      <c r="C112" s="35" t="n"/>
      <c r="D112" s="35" t="n"/>
      <c r="E112" s="35" t="n"/>
      <c r="F112" s="35" t="n"/>
      <c r="G112" s="35" t="n"/>
      <c r="H112" s="35" t="n"/>
      <c r="I112" s="36" t="n"/>
      <c r="J112" s="37" t="n"/>
      <c r="K112" s="33">
        <f>IF($F112="Schuld",-1,IF($F112="",0,1))</f>
        <v/>
      </c>
      <c r="L112" s="35" t="n"/>
      <c r="M112" s="35" t="n"/>
    </row>
    <row r="113">
      <c r="B113" s="34" t="n"/>
      <c r="C113" s="35" t="n"/>
      <c r="D113" s="35" t="n"/>
      <c r="E113" s="35" t="n"/>
      <c r="F113" s="35" t="n"/>
      <c r="G113" s="35" t="n"/>
      <c r="H113" s="35" t="n"/>
      <c r="I113" s="36" t="n"/>
      <c r="J113" s="37" t="n"/>
      <c r="K113" s="33">
        <f>IF($F113="Schuld",-1,IF($F113="",0,1))</f>
        <v/>
      </c>
      <c r="L113" s="35" t="n"/>
      <c r="M113" s="35" t="n"/>
    </row>
    <row r="114">
      <c r="B114" s="34" t="n"/>
      <c r="C114" s="35" t="n"/>
      <c r="D114" s="35" t="n"/>
      <c r="E114" s="35" t="n"/>
      <c r="F114" s="35" t="n"/>
      <c r="G114" s="35" t="n"/>
      <c r="H114" s="35" t="n"/>
      <c r="I114" s="36" t="n"/>
      <c r="J114" s="37" t="n"/>
      <c r="K114" s="33">
        <f>IF($F114="Schuld",-1,IF($F114="",0,1))</f>
        <v/>
      </c>
      <c r="L114" s="35" t="n"/>
      <c r="M114" s="35" t="n"/>
    </row>
    <row r="115">
      <c r="B115" s="34" t="n"/>
      <c r="C115" s="35" t="n"/>
      <c r="D115" s="35" t="n"/>
      <c r="E115" s="35" t="n"/>
      <c r="F115" s="35" t="n"/>
      <c r="G115" s="35" t="n"/>
      <c r="H115" s="35" t="n"/>
      <c r="I115" s="36" t="n"/>
      <c r="J115" s="37" t="n"/>
      <c r="K115" s="33">
        <f>IF($F115="Schuld",-1,IF($F115="",0,1))</f>
        <v/>
      </c>
      <c r="L115" s="35" t="n"/>
      <c r="M115" s="35" t="n"/>
    </row>
    <row r="116">
      <c r="B116" s="34" t="n"/>
      <c r="C116" s="35" t="n"/>
      <c r="D116" s="35" t="n"/>
      <c r="E116" s="35" t="n"/>
      <c r="F116" s="35" t="n"/>
      <c r="G116" s="35" t="n"/>
      <c r="H116" s="35" t="n"/>
      <c r="I116" s="36" t="n"/>
      <c r="J116" s="37" t="n"/>
      <c r="K116" s="33">
        <f>IF($F116="Schuld",-1,IF($F116="",0,1))</f>
        <v/>
      </c>
      <c r="L116" s="35" t="n"/>
      <c r="M116" s="35" t="n"/>
    </row>
    <row r="117">
      <c r="B117" s="34" t="n"/>
      <c r="C117" s="35" t="n"/>
      <c r="D117" s="35" t="n"/>
      <c r="E117" s="35" t="n"/>
      <c r="F117" s="35" t="n"/>
      <c r="G117" s="35" t="n"/>
      <c r="H117" s="35" t="n"/>
      <c r="I117" s="36" t="n"/>
      <c r="J117" s="37" t="n"/>
      <c r="K117" s="33">
        <f>IF($F117="Schuld",-1,IF($F117="",0,1))</f>
        <v/>
      </c>
      <c r="L117" s="35" t="n"/>
      <c r="M117" s="35" t="n"/>
    </row>
    <row r="118">
      <c r="B118" s="34" t="n"/>
      <c r="C118" s="35" t="n"/>
      <c r="D118" s="35" t="n"/>
      <c r="E118" s="35" t="n"/>
      <c r="F118" s="35" t="n"/>
      <c r="G118" s="35" t="n"/>
      <c r="H118" s="35" t="n"/>
      <c r="I118" s="36" t="n"/>
      <c r="J118" s="37" t="n"/>
      <c r="K118" s="33">
        <f>IF($F118="Schuld",-1,IF($F118="",0,1))</f>
        <v/>
      </c>
      <c r="L118" s="35" t="n"/>
      <c r="M118" s="35" t="n"/>
    </row>
    <row r="119">
      <c r="B119" s="34" t="n"/>
      <c r="C119" s="35" t="n"/>
      <c r="D119" s="35" t="n"/>
      <c r="E119" s="35" t="n"/>
      <c r="F119" s="35" t="n"/>
      <c r="G119" s="35" t="n"/>
      <c r="H119" s="35" t="n"/>
      <c r="I119" s="36" t="n"/>
      <c r="J119" s="37" t="n"/>
      <c r="K119" s="33">
        <f>IF($F119="Schuld",-1,IF($F119="",0,1))</f>
        <v/>
      </c>
      <c r="L119" s="35" t="n"/>
      <c r="M119" s="35" t="n"/>
    </row>
    <row r="120">
      <c r="B120" s="34" t="n"/>
      <c r="C120" s="35" t="n"/>
      <c r="D120" s="35" t="n"/>
      <c r="E120" s="35" t="n"/>
      <c r="F120" s="35" t="n"/>
      <c r="G120" s="35" t="n"/>
      <c r="H120" s="35" t="n"/>
      <c r="I120" s="36" t="n"/>
      <c r="J120" s="37" t="n"/>
      <c r="K120" s="33">
        <f>IF($F120="Schuld",-1,IF($F120="",0,1))</f>
        <v/>
      </c>
      <c r="L120" s="35" t="n"/>
      <c r="M120" s="35" t="n"/>
    </row>
    <row r="121">
      <c r="B121" s="34" t="n"/>
      <c r="C121" s="35" t="n"/>
      <c r="D121" s="35" t="n"/>
      <c r="E121" s="35" t="n"/>
      <c r="F121" s="35" t="n"/>
      <c r="G121" s="35" t="n"/>
      <c r="H121" s="35" t="n"/>
      <c r="I121" s="36" t="n"/>
      <c r="J121" s="37" t="n"/>
      <c r="K121" s="33">
        <f>IF($F121="Schuld",-1,IF($F121="",0,1))</f>
        <v/>
      </c>
      <c r="L121" s="35" t="n"/>
      <c r="M121" s="35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6" t="n"/>
      <c r="J122" s="37" t="n"/>
      <c r="K122" s="33">
        <f>IF($F122="Schuld",-1,IF($F122="",0,1))</f>
        <v/>
      </c>
      <c r="L122" s="35" t="n"/>
      <c r="M122" s="35" t="n"/>
    </row>
    <row r="123">
      <c r="B123" s="34" t="n"/>
      <c r="C123" s="35" t="n"/>
      <c r="D123" s="35" t="n"/>
      <c r="E123" s="35" t="n"/>
      <c r="F123" s="35" t="n"/>
      <c r="G123" s="35" t="n"/>
      <c r="H123" s="35" t="n"/>
      <c r="I123" s="36" t="n"/>
      <c r="J123" s="37" t="n"/>
      <c r="K123" s="33">
        <f>IF($F123="Schuld",-1,IF($F123="",0,1))</f>
        <v/>
      </c>
      <c r="L123" s="35" t="n"/>
      <c r="M123" s="35" t="n"/>
    </row>
    <row r="124">
      <c r="B124" s="34" t="n"/>
      <c r="C124" s="35" t="n"/>
      <c r="D124" s="35" t="n"/>
      <c r="E124" s="35" t="n"/>
      <c r="F124" s="35" t="n"/>
      <c r="G124" s="35" t="n"/>
      <c r="H124" s="35" t="n"/>
      <c r="I124" s="36" t="n"/>
      <c r="J124" s="37" t="n"/>
      <c r="K124" s="33">
        <f>IF($F124="Schuld",-1,IF($F124="",0,1))</f>
        <v/>
      </c>
      <c r="L124" s="35" t="n"/>
      <c r="M124" s="35" t="n"/>
    </row>
    <row r="125">
      <c r="B125" s="34" t="n"/>
      <c r="C125" s="35" t="n"/>
      <c r="D125" s="35" t="n"/>
      <c r="E125" s="35" t="n"/>
      <c r="F125" s="35" t="n"/>
      <c r="G125" s="35" t="n"/>
      <c r="H125" s="35" t="n"/>
      <c r="I125" s="36" t="n"/>
      <c r="J125" s="37" t="n"/>
      <c r="K125" s="33">
        <f>IF($F125="Schuld",-1,IF($F125="",0,1))</f>
        <v/>
      </c>
      <c r="L125" s="35" t="n"/>
      <c r="M125" s="35" t="n"/>
    </row>
    <row r="126">
      <c r="B126" s="34" t="n"/>
      <c r="C126" s="35" t="n"/>
      <c r="D126" s="35" t="n"/>
      <c r="E126" s="35" t="n"/>
      <c r="F126" s="35" t="n"/>
      <c r="G126" s="35" t="n"/>
      <c r="H126" s="35" t="n"/>
      <c r="I126" s="36" t="n"/>
      <c r="J126" s="37" t="n"/>
      <c r="K126" s="33">
        <f>IF($F126="Schuld",-1,IF($F126="",0,1))</f>
        <v/>
      </c>
      <c r="L126" s="35" t="n"/>
      <c r="M126" s="35" t="n"/>
    </row>
    <row r="127">
      <c r="B127" s="34" t="n"/>
      <c r="C127" s="35" t="n"/>
      <c r="D127" s="35" t="n"/>
      <c r="E127" s="35" t="n"/>
      <c r="F127" s="35" t="n"/>
      <c r="G127" s="35" t="n"/>
      <c r="H127" s="35" t="n"/>
      <c r="I127" s="36" t="n"/>
      <c r="J127" s="37" t="n"/>
      <c r="K127" s="33">
        <f>IF($F127="Schuld",-1,IF($F127="",0,1))</f>
        <v/>
      </c>
      <c r="L127" s="35" t="n"/>
      <c r="M127" s="35" t="n"/>
    </row>
    <row r="128">
      <c r="B128" s="34" t="n"/>
      <c r="C128" s="35" t="n"/>
      <c r="D128" s="35" t="n"/>
      <c r="E128" s="35" t="n"/>
      <c r="F128" s="35" t="n"/>
      <c r="G128" s="35" t="n"/>
      <c r="H128" s="35" t="n"/>
      <c r="I128" s="36" t="n"/>
      <c r="J128" s="37" t="n"/>
      <c r="K128" s="33">
        <f>IF($F128="Schuld",-1,IF($F128="",0,1))</f>
        <v/>
      </c>
      <c r="L128" s="35" t="n"/>
      <c r="M128" s="35" t="n"/>
    </row>
    <row r="129">
      <c r="B129" s="34" t="n"/>
      <c r="C129" s="35" t="n"/>
      <c r="D129" s="35" t="n"/>
      <c r="E129" s="35" t="n"/>
      <c r="F129" s="35" t="n"/>
      <c r="G129" s="35" t="n"/>
      <c r="H129" s="35" t="n"/>
      <c r="I129" s="36" t="n"/>
      <c r="J129" s="37" t="n"/>
      <c r="K129" s="33">
        <f>IF($F129="Schuld",-1,IF($F129="",0,1))</f>
        <v/>
      </c>
      <c r="L129" s="35" t="n"/>
      <c r="M129" s="35" t="n"/>
    </row>
    <row r="130">
      <c r="B130" s="34" t="n"/>
      <c r="C130" s="35" t="n"/>
      <c r="D130" s="35" t="n"/>
      <c r="E130" s="35" t="n"/>
      <c r="F130" s="35" t="n"/>
      <c r="G130" s="35" t="n"/>
      <c r="H130" s="35" t="n"/>
      <c r="I130" s="36" t="n"/>
      <c r="J130" s="37" t="n"/>
      <c r="K130" s="33">
        <f>IF($F130="Schuld",-1,IF($F130="",0,1))</f>
        <v/>
      </c>
      <c r="L130" s="35" t="n"/>
      <c r="M130" s="35" t="n"/>
    </row>
    <row r="131">
      <c r="B131" s="34" t="n"/>
      <c r="C131" s="35" t="n"/>
      <c r="D131" s="35" t="n"/>
      <c r="E131" s="35" t="n"/>
      <c r="F131" s="35" t="n"/>
      <c r="G131" s="35" t="n"/>
      <c r="H131" s="35" t="n"/>
      <c r="I131" s="36" t="n"/>
      <c r="J131" s="37" t="n"/>
      <c r="K131" s="33">
        <f>IF($F131="Schuld",-1,IF($F131="",0,1))</f>
        <v/>
      </c>
      <c r="L131" s="35" t="n"/>
      <c r="M131" s="35" t="n"/>
    </row>
    <row r="132">
      <c r="B132" s="34" t="n"/>
      <c r="C132" s="35" t="n"/>
      <c r="D132" s="35" t="n"/>
      <c r="E132" s="35" t="n"/>
      <c r="F132" s="35" t="n"/>
      <c r="G132" s="35" t="n"/>
      <c r="H132" s="35" t="n"/>
      <c r="I132" s="36" t="n"/>
      <c r="J132" s="37" t="n"/>
      <c r="K132" s="33">
        <f>IF($F132="Schuld",-1,IF($F132="",0,1))</f>
        <v/>
      </c>
      <c r="L132" s="35" t="n"/>
      <c r="M132" s="35" t="n"/>
    </row>
    <row r="133">
      <c r="B133" s="34" t="n"/>
      <c r="C133" s="35" t="n"/>
      <c r="D133" s="35" t="n"/>
      <c r="E133" s="35" t="n"/>
      <c r="F133" s="35" t="n"/>
      <c r="G133" s="35" t="n"/>
      <c r="H133" s="35" t="n"/>
      <c r="I133" s="36" t="n"/>
      <c r="J133" s="37" t="n"/>
      <c r="K133" s="33">
        <f>IF($F133="Schuld",-1,IF($F133="",0,1))</f>
        <v/>
      </c>
      <c r="L133" s="35" t="n"/>
      <c r="M133" s="35" t="n"/>
    </row>
    <row r="134">
      <c r="B134" s="34" t="n"/>
      <c r="C134" s="35" t="n"/>
      <c r="D134" s="35" t="n"/>
      <c r="E134" s="35" t="n"/>
      <c r="F134" s="35" t="n"/>
      <c r="G134" s="35" t="n"/>
      <c r="H134" s="35" t="n"/>
      <c r="I134" s="36" t="n"/>
      <c r="J134" s="37" t="n"/>
      <c r="K134" s="33">
        <f>IF($F134="Schuld",-1,IF($F134="",0,1))</f>
        <v/>
      </c>
      <c r="L134" s="35" t="n"/>
      <c r="M134" s="35" t="n"/>
    </row>
    <row r="135">
      <c r="B135" s="34" t="n"/>
      <c r="C135" s="35" t="n"/>
      <c r="D135" s="35" t="n"/>
      <c r="E135" s="35" t="n"/>
      <c r="F135" s="35" t="n"/>
      <c r="G135" s="35" t="n"/>
      <c r="H135" s="35" t="n"/>
      <c r="I135" s="36" t="n"/>
      <c r="J135" s="37" t="n"/>
      <c r="K135" s="33">
        <f>IF($F135="Schuld",-1,IF($F135="",0,1))</f>
        <v/>
      </c>
      <c r="L135" s="35" t="n"/>
      <c r="M135" s="35" t="n"/>
    </row>
    <row r="136">
      <c r="B136" s="34" t="n"/>
      <c r="C136" s="35" t="n"/>
      <c r="D136" s="35" t="n"/>
      <c r="E136" s="35" t="n"/>
      <c r="F136" s="35" t="n"/>
      <c r="G136" s="35" t="n"/>
      <c r="H136" s="35" t="n"/>
      <c r="I136" s="36" t="n"/>
      <c r="J136" s="37" t="n"/>
      <c r="K136" s="33">
        <f>IF($F136="Schuld",-1,IF($F136="",0,1))</f>
        <v/>
      </c>
      <c r="L136" s="35" t="n"/>
      <c r="M136" s="35" t="n"/>
    </row>
    <row r="137">
      <c r="B137" s="34" t="n"/>
      <c r="C137" s="35" t="n"/>
      <c r="D137" s="35" t="n"/>
      <c r="E137" s="35" t="n"/>
      <c r="F137" s="35" t="n"/>
      <c r="G137" s="35" t="n"/>
      <c r="H137" s="35" t="n"/>
      <c r="I137" s="36" t="n"/>
      <c r="J137" s="37" t="n"/>
      <c r="K137" s="33">
        <f>IF($F137="Schuld",-1,IF($F137="",0,1))</f>
        <v/>
      </c>
      <c r="L137" s="35" t="n"/>
      <c r="M137" s="35" t="n"/>
    </row>
    <row r="138">
      <c r="B138" s="34" t="n"/>
      <c r="C138" s="35" t="n"/>
      <c r="D138" s="35" t="n"/>
      <c r="E138" s="35" t="n"/>
      <c r="F138" s="35" t="n"/>
      <c r="G138" s="35" t="n"/>
      <c r="H138" s="35" t="n"/>
      <c r="I138" s="36" t="n"/>
      <c r="J138" s="37" t="n"/>
      <c r="K138" s="33">
        <f>IF($F138="Schuld",-1,IF($F138="",0,1))</f>
        <v/>
      </c>
      <c r="L138" s="35" t="n"/>
      <c r="M138" s="35" t="n"/>
    </row>
    <row r="139">
      <c r="B139" s="34" t="n"/>
      <c r="C139" s="35" t="n"/>
      <c r="D139" s="35" t="n"/>
      <c r="E139" s="35" t="n"/>
      <c r="F139" s="35" t="n"/>
      <c r="G139" s="35" t="n"/>
      <c r="H139" s="35" t="n"/>
      <c r="I139" s="36" t="n"/>
      <c r="J139" s="37" t="n"/>
      <c r="K139" s="33">
        <f>IF($F139="Schuld",-1,IF($F139="",0,1))</f>
        <v/>
      </c>
      <c r="L139" s="35" t="n"/>
      <c r="M139" s="35" t="n"/>
    </row>
    <row r="140">
      <c r="B140" s="34" t="n"/>
      <c r="C140" s="35" t="n"/>
      <c r="D140" s="35" t="n"/>
      <c r="E140" s="35" t="n"/>
      <c r="F140" s="35" t="n"/>
      <c r="G140" s="35" t="n"/>
      <c r="H140" s="35" t="n"/>
      <c r="I140" s="36" t="n"/>
      <c r="J140" s="37" t="n"/>
      <c r="K140" s="33">
        <f>IF($F140="Schuld",-1,IF($F140="",0,1))</f>
        <v/>
      </c>
      <c r="L140" s="35" t="n"/>
      <c r="M140" s="35" t="n"/>
    </row>
    <row r="141">
      <c r="B141" s="34" t="n"/>
      <c r="C141" s="35" t="n"/>
      <c r="D141" s="35" t="n"/>
      <c r="E141" s="35" t="n"/>
      <c r="F141" s="35" t="n"/>
      <c r="G141" s="35" t="n"/>
      <c r="H141" s="35" t="n"/>
      <c r="I141" s="36" t="n"/>
      <c r="J141" s="37" t="n"/>
      <c r="K141" s="33">
        <f>IF($F141="Schuld",-1,IF($F141="",0,1))</f>
        <v/>
      </c>
      <c r="L141" s="35" t="n"/>
      <c r="M141" s="35" t="n"/>
    </row>
    <row r="142">
      <c r="B142" s="34" t="n"/>
      <c r="C142" s="35" t="n"/>
      <c r="D142" s="35" t="n"/>
      <c r="E142" s="35" t="n"/>
      <c r="F142" s="35" t="n"/>
      <c r="G142" s="35" t="n"/>
      <c r="H142" s="35" t="n"/>
      <c r="I142" s="36" t="n"/>
      <c r="J142" s="37" t="n"/>
      <c r="K142" s="33">
        <f>IF($F142="Schuld",-1,IF($F142="",0,1))</f>
        <v/>
      </c>
      <c r="L142" s="35" t="n"/>
      <c r="M142" s="35" t="n"/>
    </row>
    <row r="143">
      <c r="B143" s="34" t="n"/>
      <c r="C143" s="35" t="n"/>
      <c r="D143" s="35" t="n"/>
      <c r="E143" s="35" t="n"/>
      <c r="F143" s="35" t="n"/>
      <c r="G143" s="35" t="n"/>
      <c r="H143" s="35" t="n"/>
      <c r="I143" s="36" t="n"/>
      <c r="J143" s="37" t="n"/>
      <c r="K143" s="33">
        <f>IF($F143="Schuld",-1,IF($F143="",0,1))</f>
        <v/>
      </c>
      <c r="L143" s="35" t="n"/>
      <c r="M143" s="35" t="n"/>
    </row>
    <row r="144">
      <c r="B144" s="34" t="n"/>
      <c r="C144" s="35" t="n"/>
      <c r="D144" s="35" t="n"/>
      <c r="E144" s="35" t="n"/>
      <c r="F144" s="35" t="n"/>
      <c r="G144" s="35" t="n"/>
      <c r="H144" s="35" t="n"/>
      <c r="I144" s="36" t="n"/>
      <c r="J144" s="37" t="n"/>
      <c r="K144" s="33">
        <f>IF($F144="Schuld",-1,IF($F144="",0,1))</f>
        <v/>
      </c>
      <c r="L144" s="35" t="n"/>
      <c r="M144" s="35" t="n"/>
    </row>
    <row r="145">
      <c r="B145" s="34" t="n"/>
      <c r="C145" s="35" t="n"/>
      <c r="D145" s="35" t="n"/>
      <c r="E145" s="35" t="n"/>
      <c r="F145" s="35" t="n"/>
      <c r="G145" s="35" t="n"/>
      <c r="H145" s="35" t="n"/>
      <c r="I145" s="36" t="n"/>
      <c r="J145" s="37" t="n"/>
      <c r="K145" s="33">
        <f>IF($F145="Schuld",-1,IF($F145="",0,1))</f>
        <v/>
      </c>
      <c r="L145" s="35" t="n"/>
      <c r="M145" s="35" t="n"/>
    </row>
    <row r="146">
      <c r="B146" s="34" t="n"/>
      <c r="C146" s="35" t="n"/>
      <c r="D146" s="35" t="n"/>
      <c r="E146" s="35" t="n"/>
      <c r="F146" s="35" t="n"/>
      <c r="G146" s="35" t="n"/>
      <c r="H146" s="35" t="n"/>
      <c r="I146" s="36" t="n"/>
      <c r="J146" s="37" t="n"/>
      <c r="K146" s="33">
        <f>IF($F146="Schuld",-1,IF($F146="",0,1))</f>
        <v/>
      </c>
      <c r="L146" s="35" t="n"/>
      <c r="M146" s="35" t="n"/>
    </row>
    <row r="147">
      <c r="B147" s="34" t="n"/>
      <c r="C147" s="35" t="n"/>
      <c r="D147" s="35" t="n"/>
      <c r="E147" s="35" t="n"/>
      <c r="F147" s="35" t="n"/>
      <c r="G147" s="35" t="n"/>
      <c r="H147" s="35" t="n"/>
      <c r="I147" s="36" t="n"/>
      <c r="J147" s="37" t="n"/>
      <c r="K147" s="33">
        <f>IF($F147="Schuld",-1,IF($F147="",0,1))</f>
        <v/>
      </c>
      <c r="L147" s="35" t="n"/>
      <c r="M147" s="35" t="n"/>
    </row>
    <row r="148">
      <c r="B148" s="34" t="n"/>
      <c r="C148" s="35" t="n"/>
      <c r="D148" s="35" t="n"/>
      <c r="E148" s="35" t="n"/>
      <c r="F148" s="35" t="n"/>
      <c r="G148" s="35" t="n"/>
      <c r="H148" s="35" t="n"/>
      <c r="I148" s="36" t="n"/>
      <c r="J148" s="37" t="n"/>
      <c r="K148" s="33">
        <f>IF($F148="Schuld",-1,IF($F148="",0,1))</f>
        <v/>
      </c>
      <c r="L148" s="35" t="n"/>
      <c r="M148" s="35" t="n"/>
    </row>
    <row r="149">
      <c r="B149" s="34" t="n"/>
      <c r="C149" s="35" t="n"/>
      <c r="D149" s="35" t="n"/>
      <c r="E149" s="35" t="n"/>
      <c r="F149" s="35" t="n"/>
      <c r="G149" s="35" t="n"/>
      <c r="H149" s="35" t="n"/>
      <c r="I149" s="36" t="n"/>
      <c r="J149" s="37" t="n"/>
      <c r="K149" s="33">
        <f>IF($F149="Schuld",-1,IF($F149="",0,1))</f>
        <v/>
      </c>
      <c r="L149" s="35" t="n"/>
      <c r="M149" s="35" t="n"/>
    </row>
    <row r="150">
      <c r="B150" s="34" t="n"/>
      <c r="C150" s="35" t="n"/>
      <c r="D150" s="35" t="n"/>
      <c r="E150" s="35" t="n"/>
      <c r="F150" s="35" t="n"/>
      <c r="G150" s="35" t="n"/>
      <c r="H150" s="35" t="n"/>
      <c r="I150" s="36" t="n"/>
      <c r="J150" s="37" t="n"/>
      <c r="K150" s="33">
        <f>IF($F150="Schuld",-1,IF($F150="",0,1))</f>
        <v/>
      </c>
      <c r="L150" s="35" t="n"/>
      <c r="M150" s="35" t="n"/>
    </row>
    <row r="151">
      <c r="B151" s="34" t="n"/>
      <c r="C151" s="35" t="n"/>
      <c r="D151" s="35" t="n"/>
      <c r="E151" s="35" t="n"/>
      <c r="F151" s="35" t="n"/>
      <c r="G151" s="35" t="n"/>
      <c r="H151" s="35" t="n"/>
      <c r="I151" s="36" t="n"/>
      <c r="J151" s="37" t="n"/>
      <c r="K151" s="33">
        <f>IF($F151="Schuld",-1,IF($F151="",0,1))</f>
        <v/>
      </c>
      <c r="L151" s="35" t="n"/>
      <c r="M151" s="35" t="n"/>
    </row>
    <row r="152">
      <c r="B152" s="34" t="n"/>
      <c r="C152" s="35" t="n"/>
      <c r="D152" s="35" t="n"/>
      <c r="E152" s="35" t="n"/>
      <c r="F152" s="35" t="n"/>
      <c r="G152" s="35" t="n"/>
      <c r="H152" s="35" t="n"/>
      <c r="I152" s="36" t="n"/>
      <c r="J152" s="37" t="n"/>
      <c r="K152" s="33">
        <f>IF($F152="Schuld",-1,IF($F152="",0,1))</f>
        <v/>
      </c>
      <c r="L152" s="35" t="n"/>
      <c r="M152" s="35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6" t="n"/>
      <c r="J153" s="37" t="n"/>
      <c r="K153" s="33">
        <f>IF($F153="Schuld",-1,IF($F153="",0,1))</f>
        <v/>
      </c>
      <c r="L153" s="35" t="n"/>
      <c r="M153" s="35" t="n"/>
    </row>
    <row r="154">
      <c r="B154" s="34" t="n"/>
      <c r="C154" s="35" t="n"/>
      <c r="D154" s="35" t="n"/>
      <c r="E154" s="35" t="n"/>
      <c r="F154" s="35" t="n"/>
      <c r="G154" s="35" t="n"/>
      <c r="H154" s="35" t="n"/>
      <c r="I154" s="36" t="n"/>
      <c r="J154" s="37" t="n"/>
      <c r="K154" s="33">
        <f>IF($F154="Schuld",-1,IF($F154="",0,1))</f>
        <v/>
      </c>
      <c r="L154" s="35" t="n"/>
      <c r="M154" s="35" t="n"/>
    </row>
    <row r="155">
      <c r="B155" s="34" t="n"/>
      <c r="C155" s="35" t="n"/>
      <c r="D155" s="35" t="n"/>
      <c r="E155" s="35" t="n"/>
      <c r="F155" s="35" t="n"/>
      <c r="G155" s="35" t="n"/>
      <c r="H155" s="35" t="n"/>
      <c r="I155" s="36" t="n"/>
      <c r="J155" s="37" t="n"/>
      <c r="K155" s="33">
        <f>IF($F155="Schuld",-1,IF($F155="",0,1))</f>
        <v/>
      </c>
      <c r="L155" s="35" t="n"/>
      <c r="M155" s="35" t="n"/>
    </row>
    <row r="156">
      <c r="B156" s="34" t="n"/>
      <c r="C156" s="35" t="n"/>
      <c r="D156" s="35" t="n"/>
      <c r="E156" s="35" t="n"/>
      <c r="F156" s="35" t="n"/>
      <c r="G156" s="35" t="n"/>
      <c r="H156" s="35" t="n"/>
      <c r="I156" s="36" t="n"/>
      <c r="J156" s="37" t="n"/>
      <c r="K156" s="33">
        <f>IF($F156="Schuld",-1,IF($F156="",0,1))</f>
        <v/>
      </c>
      <c r="L156" s="35" t="n"/>
      <c r="M156" s="35" t="n"/>
    </row>
    <row r="157">
      <c r="B157" s="34" t="n"/>
      <c r="C157" s="35" t="n"/>
      <c r="D157" s="35" t="n"/>
      <c r="E157" s="35" t="n"/>
      <c r="F157" s="35" t="n"/>
      <c r="G157" s="35" t="n"/>
      <c r="H157" s="35" t="n"/>
      <c r="I157" s="36" t="n"/>
      <c r="J157" s="37" t="n"/>
      <c r="K157" s="33">
        <f>IF($F157="Schuld",-1,IF($F157="",0,1))</f>
        <v/>
      </c>
      <c r="L157" s="35" t="n"/>
      <c r="M157" s="35" t="n"/>
    </row>
    <row r="158">
      <c r="B158" s="34" t="n"/>
      <c r="C158" s="35" t="n"/>
      <c r="D158" s="35" t="n"/>
      <c r="E158" s="35" t="n"/>
      <c r="F158" s="35" t="n"/>
      <c r="G158" s="35" t="n"/>
      <c r="H158" s="35" t="n"/>
      <c r="I158" s="36" t="n"/>
      <c r="J158" s="37" t="n"/>
      <c r="K158" s="33">
        <f>IF($F158="Schuld",-1,IF($F158="",0,1))</f>
        <v/>
      </c>
      <c r="L158" s="35" t="n"/>
      <c r="M158" s="35" t="n"/>
    </row>
    <row r="159">
      <c r="B159" s="34" t="n"/>
      <c r="C159" s="35" t="n"/>
      <c r="D159" s="35" t="n"/>
      <c r="E159" s="35" t="n"/>
      <c r="F159" s="35" t="n"/>
      <c r="G159" s="35" t="n"/>
      <c r="H159" s="35" t="n"/>
      <c r="I159" s="36" t="n"/>
      <c r="J159" s="37" t="n"/>
      <c r="K159" s="33">
        <f>IF($F159="Schuld",-1,IF($F159="",0,1))</f>
        <v/>
      </c>
      <c r="L159" s="35" t="n"/>
      <c r="M159" s="35" t="n"/>
    </row>
    <row r="160">
      <c r="B160" s="34" t="n"/>
      <c r="C160" s="35" t="n"/>
      <c r="D160" s="35" t="n"/>
      <c r="E160" s="35" t="n"/>
      <c r="F160" s="35" t="n"/>
      <c r="G160" s="35" t="n"/>
      <c r="H160" s="35" t="n"/>
      <c r="I160" s="36" t="n"/>
      <c r="J160" s="37" t="n"/>
      <c r="K160" s="33">
        <f>IF($F160="Schuld",-1,IF($F160="",0,1))</f>
        <v/>
      </c>
      <c r="L160" s="35" t="n"/>
      <c r="M160" s="35" t="n"/>
    </row>
    <row r="161">
      <c r="B161" s="34" t="n"/>
      <c r="C161" s="35" t="n"/>
      <c r="D161" s="35" t="n"/>
      <c r="E161" s="35" t="n"/>
      <c r="F161" s="35" t="n"/>
      <c r="G161" s="35" t="n"/>
      <c r="H161" s="35" t="n"/>
      <c r="I161" s="36" t="n"/>
      <c r="J161" s="37" t="n"/>
      <c r="K161" s="33">
        <f>IF($F161="Schuld",-1,IF($F161="",0,1))</f>
        <v/>
      </c>
      <c r="L161" s="35" t="n"/>
      <c r="M161" s="35" t="n"/>
    </row>
    <row r="162">
      <c r="B162" s="34" t="n"/>
      <c r="C162" s="35" t="n"/>
      <c r="D162" s="35" t="n"/>
      <c r="E162" s="35" t="n"/>
      <c r="F162" s="35" t="n"/>
      <c r="G162" s="35" t="n"/>
      <c r="H162" s="35" t="n"/>
      <c r="I162" s="36" t="n"/>
      <c r="J162" s="37" t="n"/>
      <c r="K162" s="33">
        <f>IF($F162="Schuld",-1,IF($F162="",0,1))</f>
        <v/>
      </c>
      <c r="L162" s="35" t="n"/>
      <c r="M162" s="35" t="n"/>
    </row>
    <row r="163">
      <c r="B163" s="34" t="n"/>
      <c r="C163" s="35" t="n"/>
      <c r="D163" s="35" t="n"/>
      <c r="E163" s="35" t="n"/>
      <c r="F163" s="35" t="n"/>
      <c r="G163" s="35" t="n"/>
      <c r="H163" s="35" t="n"/>
      <c r="I163" s="36" t="n"/>
      <c r="J163" s="37" t="n"/>
      <c r="K163" s="33">
        <f>IF($F163="Schuld",-1,IF($F163="",0,1))</f>
        <v/>
      </c>
      <c r="L163" s="35" t="n"/>
      <c r="M163" s="35" t="n"/>
    </row>
    <row r="164">
      <c r="B164" s="34" t="n"/>
      <c r="C164" s="35" t="n"/>
      <c r="D164" s="35" t="n"/>
      <c r="E164" s="35" t="n"/>
      <c r="F164" s="35" t="n"/>
      <c r="G164" s="35" t="n"/>
      <c r="H164" s="35" t="n"/>
      <c r="I164" s="36" t="n"/>
      <c r="J164" s="37" t="n"/>
      <c r="K164" s="33">
        <f>IF($F164="Schuld",-1,IF($F164="",0,1))</f>
        <v/>
      </c>
      <c r="L164" s="35" t="n"/>
      <c r="M164" s="35" t="n"/>
    </row>
    <row r="165">
      <c r="B165" s="34" t="n"/>
      <c r="C165" s="35" t="n"/>
      <c r="D165" s="35" t="n"/>
      <c r="E165" s="35" t="n"/>
      <c r="F165" s="35" t="n"/>
      <c r="G165" s="35" t="n"/>
      <c r="H165" s="35" t="n"/>
      <c r="I165" s="36" t="n"/>
      <c r="J165" s="37" t="n"/>
      <c r="K165" s="33">
        <f>IF($F165="Schuld",-1,IF($F165="",0,1))</f>
        <v/>
      </c>
      <c r="L165" s="35" t="n"/>
      <c r="M165" s="35" t="n"/>
    </row>
    <row r="166">
      <c r="B166" s="34" t="n"/>
      <c r="C166" s="35" t="n"/>
      <c r="D166" s="35" t="n"/>
      <c r="E166" s="35" t="n"/>
      <c r="F166" s="35" t="n"/>
      <c r="G166" s="35" t="n"/>
      <c r="H166" s="35" t="n"/>
      <c r="I166" s="36" t="n"/>
      <c r="J166" s="37" t="n"/>
      <c r="K166" s="33">
        <f>IF($F166="Schuld",-1,IF($F166="",0,1))</f>
        <v/>
      </c>
      <c r="L166" s="35" t="n"/>
      <c r="M166" s="35" t="n"/>
    </row>
    <row r="167">
      <c r="B167" s="34" t="n"/>
      <c r="C167" s="35" t="n"/>
      <c r="D167" s="35" t="n"/>
      <c r="E167" s="35" t="n"/>
      <c r="F167" s="35" t="n"/>
      <c r="G167" s="35" t="n"/>
      <c r="H167" s="35" t="n"/>
      <c r="I167" s="36" t="n"/>
      <c r="J167" s="37" t="n"/>
      <c r="K167" s="33">
        <f>IF($F167="Schuld",-1,IF($F167="",0,1))</f>
        <v/>
      </c>
      <c r="L167" s="35" t="n"/>
      <c r="M167" s="35" t="n"/>
    </row>
    <row r="168">
      <c r="B168" s="34" t="n"/>
      <c r="C168" s="35" t="n"/>
      <c r="D168" s="35" t="n"/>
      <c r="E168" s="35" t="n"/>
      <c r="F168" s="35" t="n"/>
      <c r="G168" s="35" t="n"/>
      <c r="H168" s="35" t="n"/>
      <c r="I168" s="36" t="n"/>
      <c r="J168" s="37" t="n"/>
      <c r="K168" s="33">
        <f>IF($F168="Schuld",-1,IF($F168="",0,1))</f>
        <v/>
      </c>
      <c r="L168" s="35" t="n"/>
      <c r="M168" s="35" t="n"/>
    </row>
    <row r="169">
      <c r="B169" s="34" t="n"/>
      <c r="C169" s="35" t="n"/>
      <c r="D169" s="35" t="n"/>
      <c r="E169" s="35" t="n"/>
      <c r="F169" s="35" t="n"/>
      <c r="G169" s="35" t="n"/>
      <c r="H169" s="35" t="n"/>
      <c r="I169" s="36" t="n"/>
      <c r="J169" s="37" t="n"/>
      <c r="K169" s="33">
        <f>IF($F169="Schuld",-1,IF($F169="",0,1))</f>
        <v/>
      </c>
      <c r="L169" s="35" t="n"/>
      <c r="M169" s="35" t="n"/>
    </row>
    <row r="170">
      <c r="B170" s="34" t="n"/>
      <c r="C170" s="35" t="n"/>
      <c r="D170" s="35" t="n"/>
      <c r="E170" s="35" t="n"/>
      <c r="F170" s="35" t="n"/>
      <c r="G170" s="35" t="n"/>
      <c r="H170" s="35" t="n"/>
      <c r="I170" s="36" t="n"/>
      <c r="J170" s="37" t="n"/>
      <c r="K170" s="33">
        <f>IF($F170="Schuld",-1,IF($F170="",0,1))</f>
        <v/>
      </c>
      <c r="L170" s="35" t="n"/>
      <c r="M170" s="35" t="n"/>
    </row>
    <row r="171">
      <c r="B171" s="34" t="n"/>
      <c r="C171" s="35" t="n"/>
      <c r="D171" s="35" t="n"/>
      <c r="E171" s="35" t="n"/>
      <c r="F171" s="35" t="n"/>
      <c r="G171" s="35" t="n"/>
      <c r="H171" s="35" t="n"/>
      <c r="I171" s="36" t="n"/>
      <c r="J171" s="37" t="n"/>
      <c r="K171" s="33">
        <f>IF($F171="Schuld",-1,IF($F171="",0,1))</f>
        <v/>
      </c>
      <c r="L171" s="35" t="n"/>
      <c r="M171" s="35" t="n"/>
    </row>
    <row r="172">
      <c r="B172" s="34" t="n"/>
      <c r="C172" s="35" t="n"/>
      <c r="D172" s="35" t="n"/>
      <c r="E172" s="35" t="n"/>
      <c r="F172" s="35" t="n"/>
      <c r="G172" s="35" t="n"/>
      <c r="H172" s="35" t="n"/>
      <c r="I172" s="36" t="n"/>
      <c r="J172" s="37" t="n"/>
      <c r="K172" s="33">
        <f>IF($F172="Schuld",-1,IF($F172="",0,1))</f>
        <v/>
      </c>
      <c r="L172" s="35" t="n"/>
      <c r="M172" s="35" t="n"/>
    </row>
    <row r="173">
      <c r="B173" s="34" t="n"/>
      <c r="C173" s="35" t="n"/>
      <c r="D173" s="35" t="n"/>
      <c r="E173" s="35" t="n"/>
      <c r="F173" s="35" t="n"/>
      <c r="G173" s="35" t="n"/>
      <c r="H173" s="35" t="n"/>
      <c r="I173" s="36" t="n"/>
      <c r="J173" s="37" t="n"/>
      <c r="K173" s="33">
        <f>IF($F173="Schuld",-1,IF($F173="",0,1))</f>
        <v/>
      </c>
      <c r="L173" s="35" t="n"/>
      <c r="M173" s="35" t="n"/>
    </row>
    <row r="174">
      <c r="B174" s="34" t="n"/>
      <c r="C174" s="35" t="n"/>
      <c r="D174" s="35" t="n"/>
      <c r="E174" s="35" t="n"/>
      <c r="F174" s="35" t="n"/>
      <c r="G174" s="35" t="n"/>
      <c r="H174" s="35" t="n"/>
      <c r="I174" s="36" t="n"/>
      <c r="J174" s="37" t="n"/>
      <c r="K174" s="33">
        <f>IF($F174="Schuld",-1,IF($F174="",0,1))</f>
        <v/>
      </c>
      <c r="L174" s="35" t="n"/>
      <c r="M174" s="35" t="n"/>
    </row>
    <row r="175">
      <c r="B175" s="34" t="n"/>
      <c r="C175" s="35" t="n"/>
      <c r="D175" s="35" t="n"/>
      <c r="E175" s="35" t="n"/>
      <c r="F175" s="35" t="n"/>
      <c r="G175" s="35" t="n"/>
      <c r="H175" s="35" t="n"/>
      <c r="I175" s="36" t="n"/>
      <c r="J175" s="37" t="n"/>
      <c r="K175" s="33">
        <f>IF($F175="Schuld",-1,IF($F175="",0,1))</f>
        <v/>
      </c>
      <c r="L175" s="35" t="n"/>
      <c r="M175" s="35" t="n"/>
    </row>
    <row r="176">
      <c r="B176" s="34" t="n"/>
      <c r="C176" s="35" t="n"/>
      <c r="D176" s="35" t="n"/>
      <c r="E176" s="35" t="n"/>
      <c r="F176" s="35" t="n"/>
      <c r="G176" s="35" t="n"/>
      <c r="H176" s="35" t="n"/>
      <c r="I176" s="36" t="n"/>
      <c r="J176" s="37" t="n"/>
      <c r="K176" s="33">
        <f>IF($F176="Schuld",-1,IF($F176="",0,1))</f>
        <v/>
      </c>
      <c r="L176" s="35" t="n"/>
      <c r="M176" s="35" t="n"/>
    </row>
    <row r="177">
      <c r="B177" s="34" t="n"/>
      <c r="C177" s="35" t="n"/>
      <c r="D177" s="35" t="n"/>
      <c r="E177" s="35" t="n"/>
      <c r="F177" s="35" t="n"/>
      <c r="G177" s="35" t="n"/>
      <c r="H177" s="35" t="n"/>
      <c r="I177" s="36" t="n"/>
      <c r="J177" s="37" t="n"/>
      <c r="K177" s="33">
        <f>IF($F177="Schuld",-1,IF($F177="",0,1))</f>
        <v/>
      </c>
      <c r="L177" s="35" t="n"/>
      <c r="M177" s="35" t="n"/>
    </row>
    <row r="178">
      <c r="B178" s="34" t="n"/>
      <c r="C178" s="35" t="n"/>
      <c r="D178" s="35" t="n"/>
      <c r="E178" s="35" t="n"/>
      <c r="F178" s="35" t="n"/>
      <c r="G178" s="35" t="n"/>
      <c r="H178" s="35" t="n"/>
      <c r="I178" s="36" t="n"/>
      <c r="J178" s="37" t="n"/>
      <c r="K178" s="33">
        <f>IF($F178="Schuld",-1,IF($F178="",0,1))</f>
        <v/>
      </c>
      <c r="L178" s="35" t="n"/>
      <c r="M178" s="35" t="n"/>
    </row>
    <row r="179">
      <c r="B179" s="34" t="n"/>
      <c r="C179" s="35" t="n"/>
      <c r="D179" s="35" t="n"/>
      <c r="E179" s="35" t="n"/>
      <c r="F179" s="35" t="n"/>
      <c r="G179" s="35" t="n"/>
      <c r="H179" s="35" t="n"/>
      <c r="I179" s="36" t="n"/>
      <c r="J179" s="37" t="n"/>
      <c r="K179" s="33">
        <f>IF($F179="Schuld",-1,IF($F179="",0,1))</f>
        <v/>
      </c>
      <c r="L179" s="35" t="n"/>
      <c r="M179" s="35" t="n"/>
    </row>
    <row r="180">
      <c r="B180" s="34" t="n"/>
      <c r="C180" s="35" t="n"/>
      <c r="D180" s="35" t="n"/>
      <c r="E180" s="35" t="n"/>
      <c r="F180" s="35" t="n"/>
      <c r="G180" s="35" t="n"/>
      <c r="H180" s="35" t="n"/>
      <c r="I180" s="36" t="n"/>
      <c r="J180" s="37" t="n"/>
      <c r="K180" s="33">
        <f>IF($F180="Schuld",-1,IF($F180="",0,1))</f>
        <v/>
      </c>
      <c r="L180" s="35" t="n"/>
      <c r="M180" s="35" t="n"/>
    </row>
    <row r="181">
      <c r="B181" s="34" t="n"/>
      <c r="C181" s="35" t="n"/>
      <c r="D181" s="35" t="n"/>
      <c r="E181" s="35" t="n"/>
      <c r="F181" s="35" t="n"/>
      <c r="G181" s="35" t="n"/>
      <c r="H181" s="35" t="n"/>
      <c r="I181" s="36" t="n"/>
      <c r="J181" s="37" t="n"/>
      <c r="K181" s="33">
        <f>IF($F181="Schuld",-1,IF($F181="",0,1))</f>
        <v/>
      </c>
      <c r="L181" s="35" t="n"/>
      <c r="M181" s="35" t="n"/>
    </row>
    <row r="182">
      <c r="B182" s="34" t="n"/>
      <c r="C182" s="35" t="n"/>
      <c r="D182" s="35" t="n"/>
      <c r="E182" s="35" t="n"/>
      <c r="F182" s="35" t="n"/>
      <c r="G182" s="35" t="n"/>
      <c r="H182" s="35" t="n"/>
      <c r="I182" s="36" t="n"/>
      <c r="J182" s="37" t="n"/>
      <c r="K182" s="33">
        <f>IF($F182="Schuld",-1,IF($F182="",0,1))</f>
        <v/>
      </c>
      <c r="L182" s="35" t="n"/>
      <c r="M182" s="35" t="n"/>
    </row>
    <row r="183">
      <c r="B183" s="34" t="n"/>
      <c r="C183" s="35" t="n"/>
      <c r="D183" s="35" t="n"/>
      <c r="E183" s="35" t="n"/>
      <c r="F183" s="35" t="n"/>
      <c r="G183" s="35" t="n"/>
      <c r="H183" s="35" t="n"/>
      <c r="I183" s="36" t="n"/>
      <c r="J183" s="37" t="n"/>
      <c r="K183" s="33">
        <f>IF($F183="Schuld",-1,IF($F183="",0,1))</f>
        <v/>
      </c>
      <c r="L183" s="35" t="n"/>
      <c r="M183" s="35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6" t="n"/>
      <c r="J184" s="37" t="n"/>
      <c r="K184" s="33">
        <f>IF($F184="Schuld",-1,IF($F184="",0,1))</f>
        <v/>
      </c>
      <c r="L184" s="35" t="n"/>
      <c r="M184" s="35" t="n"/>
    </row>
    <row r="185">
      <c r="B185" s="34" t="n"/>
      <c r="C185" s="35" t="n"/>
      <c r="D185" s="35" t="n"/>
      <c r="E185" s="35" t="n"/>
      <c r="F185" s="35" t="n"/>
      <c r="G185" s="35" t="n"/>
      <c r="H185" s="35" t="n"/>
      <c r="I185" s="36" t="n"/>
      <c r="J185" s="37" t="n"/>
      <c r="K185" s="33">
        <f>IF($F185="Schuld",-1,IF($F185="",0,1))</f>
        <v/>
      </c>
      <c r="L185" s="35" t="n"/>
      <c r="M185" s="35" t="n"/>
    </row>
    <row r="186">
      <c r="B186" s="34" t="n"/>
      <c r="C186" s="35" t="n"/>
      <c r="D186" s="35" t="n"/>
      <c r="E186" s="35" t="n"/>
      <c r="F186" s="35" t="n"/>
      <c r="G186" s="35" t="n"/>
      <c r="H186" s="35" t="n"/>
      <c r="I186" s="36" t="n"/>
      <c r="J186" s="37" t="n"/>
      <c r="K186" s="33">
        <f>IF($F186="Schuld",-1,IF($F186="",0,1))</f>
        <v/>
      </c>
      <c r="L186" s="35" t="n"/>
      <c r="M186" s="35" t="n"/>
    </row>
    <row r="187">
      <c r="B187" s="34" t="n"/>
      <c r="C187" s="35" t="n"/>
      <c r="D187" s="35" t="n"/>
      <c r="E187" s="35" t="n"/>
      <c r="F187" s="35" t="n"/>
      <c r="G187" s="35" t="n"/>
      <c r="H187" s="35" t="n"/>
      <c r="I187" s="36" t="n"/>
      <c r="J187" s="37" t="n"/>
      <c r="K187" s="33">
        <f>IF($F187="Schuld",-1,IF($F187="",0,1))</f>
        <v/>
      </c>
      <c r="L187" s="35" t="n"/>
      <c r="M187" s="35" t="n"/>
    </row>
    <row r="188">
      <c r="B188" s="34" t="n"/>
      <c r="C188" s="35" t="n"/>
      <c r="D188" s="35" t="n"/>
      <c r="E188" s="35" t="n"/>
      <c r="F188" s="35" t="n"/>
      <c r="G188" s="35" t="n"/>
      <c r="H188" s="35" t="n"/>
      <c r="I188" s="36" t="n"/>
      <c r="J188" s="37" t="n"/>
      <c r="K188" s="33">
        <f>IF($F188="Schuld",-1,IF($F188="",0,1))</f>
        <v/>
      </c>
      <c r="L188" s="35" t="n"/>
      <c r="M188" s="35" t="n"/>
    </row>
    <row r="189">
      <c r="B189" s="34" t="n"/>
      <c r="C189" s="35" t="n"/>
      <c r="D189" s="35" t="n"/>
      <c r="E189" s="35" t="n"/>
      <c r="F189" s="35" t="n"/>
      <c r="G189" s="35" t="n"/>
      <c r="H189" s="35" t="n"/>
      <c r="I189" s="36" t="n"/>
      <c r="J189" s="37" t="n"/>
      <c r="K189" s="33">
        <f>IF($F189="Schuld",-1,IF($F189="",0,1))</f>
        <v/>
      </c>
      <c r="L189" s="35" t="n"/>
      <c r="M189" s="35" t="n"/>
    </row>
    <row r="190">
      <c r="B190" s="34" t="n"/>
      <c r="C190" s="35" t="n"/>
      <c r="D190" s="35" t="n"/>
      <c r="E190" s="35" t="n"/>
      <c r="F190" s="35" t="n"/>
      <c r="G190" s="35" t="n"/>
      <c r="H190" s="35" t="n"/>
      <c r="I190" s="36" t="n"/>
      <c r="J190" s="37" t="n"/>
      <c r="K190" s="33">
        <f>IF($F190="Schuld",-1,IF($F190="",0,1))</f>
        <v/>
      </c>
      <c r="L190" s="35" t="n"/>
      <c r="M190" s="35" t="n"/>
    </row>
    <row r="191">
      <c r="B191" s="34" t="n"/>
      <c r="C191" s="35" t="n"/>
      <c r="D191" s="35" t="n"/>
      <c r="E191" s="35" t="n"/>
      <c r="F191" s="35" t="n"/>
      <c r="G191" s="35" t="n"/>
      <c r="H191" s="35" t="n"/>
      <c r="I191" s="36" t="n"/>
      <c r="J191" s="37" t="n"/>
      <c r="K191" s="33">
        <f>IF($F191="Schuld",-1,IF($F191="",0,1))</f>
        <v/>
      </c>
      <c r="L191" s="35" t="n"/>
      <c r="M191" s="35" t="n"/>
    </row>
    <row r="192">
      <c r="B192" s="34" t="n"/>
      <c r="C192" s="35" t="n"/>
      <c r="D192" s="35" t="n"/>
      <c r="E192" s="35" t="n"/>
      <c r="F192" s="35" t="n"/>
      <c r="G192" s="35" t="n"/>
      <c r="H192" s="35" t="n"/>
      <c r="I192" s="36" t="n"/>
      <c r="J192" s="37" t="n"/>
      <c r="K192" s="33">
        <f>IF($F192="Schuld",-1,IF($F192="",0,1))</f>
        <v/>
      </c>
      <c r="L192" s="35" t="n"/>
      <c r="M192" s="35" t="n"/>
    </row>
    <row r="193">
      <c r="B193" s="34" t="n"/>
      <c r="C193" s="35" t="n"/>
      <c r="D193" s="35" t="n"/>
      <c r="E193" s="35" t="n"/>
      <c r="F193" s="35" t="n"/>
      <c r="G193" s="35" t="n"/>
      <c r="H193" s="35" t="n"/>
      <c r="I193" s="36" t="n"/>
      <c r="J193" s="37" t="n"/>
      <c r="K193" s="33">
        <f>IF($F193="Schuld",-1,IF($F193="",0,1))</f>
        <v/>
      </c>
      <c r="L193" s="35" t="n"/>
      <c r="M193" s="35" t="n"/>
    </row>
    <row r="194">
      <c r="B194" s="34" t="n"/>
      <c r="C194" s="35" t="n"/>
      <c r="D194" s="35" t="n"/>
      <c r="E194" s="35" t="n"/>
      <c r="F194" s="35" t="n"/>
      <c r="G194" s="35" t="n"/>
      <c r="H194" s="35" t="n"/>
      <c r="I194" s="36" t="n"/>
      <c r="J194" s="37" t="n"/>
      <c r="K194" s="33">
        <f>IF($F194="Schuld",-1,IF($F194="",0,1))</f>
        <v/>
      </c>
      <c r="L194" s="35" t="n"/>
      <c r="M194" s="35" t="n"/>
    </row>
    <row r="195">
      <c r="B195" s="34" t="n"/>
      <c r="C195" s="35" t="n"/>
      <c r="D195" s="35" t="n"/>
      <c r="E195" s="35" t="n"/>
      <c r="F195" s="35" t="n"/>
      <c r="G195" s="35" t="n"/>
      <c r="H195" s="35" t="n"/>
      <c r="I195" s="36" t="n"/>
      <c r="J195" s="37" t="n"/>
      <c r="K195" s="33">
        <f>IF($F195="Schuld",-1,IF($F195="",0,1))</f>
        <v/>
      </c>
      <c r="L195" s="35" t="n"/>
      <c r="M195" s="35" t="n"/>
    </row>
    <row r="196">
      <c r="B196" s="34" t="n"/>
      <c r="C196" s="35" t="n"/>
      <c r="D196" s="35" t="n"/>
      <c r="E196" s="35" t="n"/>
      <c r="F196" s="35" t="n"/>
      <c r="G196" s="35" t="n"/>
      <c r="H196" s="35" t="n"/>
      <c r="I196" s="36" t="n"/>
      <c r="J196" s="37" t="n"/>
      <c r="K196" s="33">
        <f>IF($F196="Schuld",-1,IF($F196="",0,1))</f>
        <v/>
      </c>
      <c r="L196" s="35" t="n"/>
      <c r="M196" s="35" t="n"/>
    </row>
    <row r="197">
      <c r="B197" s="34" t="n"/>
      <c r="C197" s="35" t="n"/>
      <c r="D197" s="35" t="n"/>
      <c r="E197" s="35" t="n"/>
      <c r="F197" s="35" t="n"/>
      <c r="G197" s="35" t="n"/>
      <c r="H197" s="35" t="n"/>
      <c r="I197" s="36" t="n"/>
      <c r="J197" s="37" t="n"/>
      <c r="K197" s="33">
        <f>IF($F197="Schuld",-1,IF($F197="",0,1))</f>
        <v/>
      </c>
      <c r="L197" s="35" t="n"/>
      <c r="M197" s="35" t="n"/>
    </row>
    <row r="198">
      <c r="B198" s="34" t="n"/>
      <c r="C198" s="35" t="n"/>
      <c r="D198" s="35" t="n"/>
      <c r="E198" s="35" t="n"/>
      <c r="F198" s="35" t="n"/>
      <c r="G198" s="35" t="n"/>
      <c r="H198" s="35" t="n"/>
      <c r="I198" s="36" t="n"/>
      <c r="J198" s="37" t="n"/>
      <c r="K198" s="33">
        <f>IF($F198="Schuld",-1,IF($F198="",0,1))</f>
        <v/>
      </c>
      <c r="L198" s="35" t="n"/>
      <c r="M198" s="35" t="n"/>
    </row>
    <row r="199">
      <c r="B199" s="34" t="n"/>
      <c r="C199" s="35" t="n"/>
      <c r="D199" s="35" t="n"/>
      <c r="E199" s="35" t="n"/>
      <c r="F199" s="35" t="n"/>
      <c r="G199" s="35" t="n"/>
      <c r="H199" s="35" t="n"/>
      <c r="I199" s="36" t="n"/>
      <c r="J199" s="37" t="n"/>
      <c r="K199" s="33">
        <f>IF($F199="Schuld",-1,IF($F199="",0,1))</f>
        <v/>
      </c>
      <c r="L199" s="35" t="n"/>
      <c r="M199" s="35" t="n"/>
    </row>
    <row r="200">
      <c r="B200" s="34" t="n"/>
      <c r="C200" s="35" t="n"/>
      <c r="D200" s="35" t="n"/>
      <c r="E200" s="35" t="n"/>
      <c r="F200" s="35" t="n"/>
      <c r="G200" s="35" t="n"/>
      <c r="H200" s="35" t="n"/>
      <c r="I200" s="36" t="n"/>
      <c r="J200" s="37" t="n"/>
      <c r="K200" s="33">
        <f>IF($F200="Schuld",-1,IF($F200="",0,1))</f>
        <v/>
      </c>
      <c r="L200" s="35" t="n"/>
      <c r="M200" s="35" t="n"/>
    </row>
    <row r="201">
      <c r="B201" s="34" t="n"/>
      <c r="C201" s="35" t="n"/>
      <c r="D201" s="35" t="n"/>
      <c r="E201" s="35" t="n"/>
      <c r="F201" s="35" t="n"/>
      <c r="G201" s="35" t="n"/>
      <c r="H201" s="35" t="n"/>
      <c r="I201" s="36" t="n"/>
      <c r="J201" s="37" t="n"/>
      <c r="K201" s="33">
        <f>IF($F201="Schuld",-1,IF($F201="",0,1))</f>
        <v/>
      </c>
      <c r="L201" s="35" t="n"/>
      <c r="M201" s="35" t="n"/>
    </row>
    <row r="202">
      <c r="B202" s="34" t="n"/>
      <c r="C202" s="35" t="n"/>
      <c r="D202" s="35" t="n"/>
      <c r="E202" s="35" t="n"/>
      <c r="F202" s="35" t="n"/>
      <c r="G202" s="35" t="n"/>
      <c r="H202" s="35" t="n"/>
      <c r="I202" s="36" t="n"/>
      <c r="J202" s="37" t="n"/>
      <c r="K202" s="33">
        <f>IF($F202="Schuld",-1,IF($F202="",0,1))</f>
        <v/>
      </c>
      <c r="L202" s="35" t="n"/>
      <c r="M202" s="35" t="n"/>
    </row>
    <row r="203">
      <c r="B203" s="34" t="n"/>
      <c r="C203" s="35" t="n"/>
      <c r="D203" s="35" t="n"/>
      <c r="E203" s="35" t="n"/>
      <c r="F203" s="35" t="n"/>
      <c r="G203" s="35" t="n"/>
      <c r="H203" s="35" t="n"/>
      <c r="I203" s="36" t="n"/>
      <c r="J203" s="37" t="n"/>
      <c r="K203" s="33">
        <f>IF($F203="Schuld",-1,IF($F203="",0,1))</f>
        <v/>
      </c>
      <c r="L203" s="35" t="n"/>
      <c r="M203" s="35" t="n"/>
    </row>
    <row r="204">
      <c r="B204" s="34" t="n"/>
      <c r="C204" s="35" t="n"/>
      <c r="D204" s="35" t="n"/>
      <c r="E204" s="35" t="n"/>
      <c r="F204" s="35" t="n"/>
      <c r="G204" s="35" t="n"/>
      <c r="H204" s="35" t="n"/>
      <c r="I204" s="36" t="n"/>
      <c r="J204" s="37" t="n"/>
      <c r="K204" s="33">
        <f>IF($F204="Schuld",-1,IF($F204="",0,1))</f>
        <v/>
      </c>
      <c r="L204" s="35" t="n"/>
      <c r="M204" s="35" t="n"/>
    </row>
    <row r="205">
      <c r="B205" s="34" t="n"/>
      <c r="C205" s="35" t="n"/>
      <c r="D205" s="35" t="n"/>
      <c r="E205" s="35" t="n"/>
      <c r="F205" s="35" t="n"/>
      <c r="G205" s="35" t="n"/>
      <c r="H205" s="35" t="n"/>
      <c r="I205" s="36" t="n"/>
      <c r="J205" s="37" t="n"/>
      <c r="K205" s="33">
        <f>IF($F205="Schuld",-1,IF($F205="",0,1))</f>
        <v/>
      </c>
      <c r="L205" s="35" t="n"/>
      <c r="M205" s="35" t="n"/>
    </row>
    <row r="206">
      <c r="B206" s="34" t="n"/>
      <c r="C206" s="35" t="n"/>
      <c r="D206" s="35" t="n"/>
      <c r="E206" s="35" t="n"/>
      <c r="F206" s="35" t="n"/>
      <c r="G206" s="35" t="n"/>
      <c r="H206" s="35" t="n"/>
      <c r="I206" s="36" t="n"/>
      <c r="J206" s="37" t="n"/>
      <c r="K206" s="33">
        <f>IF($F206="Schuld",-1,IF($F206="",0,1))</f>
        <v/>
      </c>
      <c r="L206" s="35" t="n"/>
      <c r="M206" s="35" t="n"/>
    </row>
    <row r="207">
      <c r="B207" s="34" t="n"/>
      <c r="C207" s="35" t="n"/>
      <c r="D207" s="35" t="n"/>
      <c r="E207" s="35" t="n"/>
      <c r="F207" s="35" t="n"/>
      <c r="G207" s="35" t="n"/>
      <c r="H207" s="35" t="n"/>
      <c r="I207" s="36" t="n"/>
      <c r="J207" s="37" t="n"/>
      <c r="K207" s="33">
        <f>IF($F207="Schuld",-1,IF($F207="",0,1))</f>
        <v/>
      </c>
      <c r="L207" s="35" t="n"/>
      <c r="M207" s="35" t="n"/>
    </row>
    <row r="208">
      <c r="B208" s="34" t="n"/>
      <c r="C208" s="35" t="n"/>
      <c r="D208" s="35" t="n"/>
      <c r="E208" s="35" t="n"/>
      <c r="F208" s="35" t="n"/>
      <c r="G208" s="35" t="n"/>
      <c r="H208" s="35" t="n"/>
      <c r="I208" s="36" t="n"/>
      <c r="J208" s="37" t="n"/>
      <c r="K208" s="33">
        <f>IF($F208="Schuld",-1,IF($F208="",0,1))</f>
        <v/>
      </c>
      <c r="L208" s="35" t="n"/>
      <c r="M208" s="35" t="n"/>
    </row>
    <row r="209">
      <c r="B209" s="34" t="n"/>
      <c r="C209" s="35" t="n"/>
      <c r="D209" s="35" t="n"/>
      <c r="E209" s="35" t="n"/>
      <c r="F209" s="35" t="n"/>
      <c r="G209" s="35" t="n"/>
      <c r="H209" s="35" t="n"/>
      <c r="I209" s="36" t="n"/>
      <c r="J209" s="37" t="n"/>
      <c r="K209" s="33">
        <f>IF($F209="Schuld",-1,IF($F209="",0,1))</f>
        <v/>
      </c>
      <c r="L209" s="35" t="n"/>
      <c r="M209" s="35" t="n"/>
    </row>
    <row r="210">
      <c r="B210" s="34" t="n"/>
      <c r="C210" s="35" t="n"/>
      <c r="D210" s="35" t="n"/>
      <c r="E210" s="35" t="n"/>
      <c r="F210" s="35" t="n"/>
      <c r="G210" s="35" t="n"/>
      <c r="H210" s="35" t="n"/>
      <c r="I210" s="36" t="n"/>
      <c r="J210" s="37" t="n"/>
      <c r="K210" s="33">
        <f>IF($F210="Schuld",-1,IF($F210="",0,1))</f>
        <v/>
      </c>
      <c r="L210" s="35" t="n"/>
      <c r="M210" s="35" t="n"/>
    </row>
    <row r="211">
      <c r="B211" s="34" t="n"/>
      <c r="C211" s="35" t="n"/>
      <c r="D211" s="35" t="n"/>
      <c r="E211" s="35" t="n"/>
      <c r="F211" s="35" t="n"/>
      <c r="G211" s="35" t="n"/>
      <c r="H211" s="35" t="n"/>
      <c r="I211" s="36" t="n"/>
      <c r="J211" s="37" t="n"/>
      <c r="K211" s="33">
        <f>IF($F211="Schuld",-1,IF($F211="",0,1))</f>
        <v/>
      </c>
      <c r="L211" s="35" t="n"/>
      <c r="M211" s="35" t="n"/>
    </row>
    <row r="212">
      <c r="B212" s="34" t="n"/>
      <c r="C212" s="35" t="n"/>
      <c r="D212" s="35" t="n"/>
      <c r="E212" s="35" t="n"/>
      <c r="F212" s="35" t="n"/>
      <c r="G212" s="35" t="n"/>
      <c r="H212" s="35" t="n"/>
      <c r="I212" s="36" t="n"/>
      <c r="J212" s="37" t="n"/>
      <c r="K212" s="33">
        <f>IF($F212="Schuld",-1,IF($F212="",0,1))</f>
        <v/>
      </c>
      <c r="L212" s="35" t="n"/>
      <c r="M212" s="35" t="n"/>
    </row>
    <row r="213">
      <c r="B213" s="34" t="n"/>
      <c r="C213" s="35" t="n"/>
      <c r="D213" s="35" t="n"/>
      <c r="E213" s="35" t="n"/>
      <c r="F213" s="35" t="n"/>
      <c r="G213" s="35" t="n"/>
      <c r="H213" s="35" t="n"/>
      <c r="I213" s="36" t="n"/>
      <c r="J213" s="37" t="n"/>
      <c r="K213" s="33">
        <f>IF($F213="Schuld",-1,IF($F213="",0,1))</f>
        <v/>
      </c>
      <c r="L213" s="35" t="n"/>
      <c r="M213" s="35" t="n"/>
    </row>
    <row r="214">
      <c r="B214" s="34" t="n"/>
      <c r="C214" s="35" t="n"/>
      <c r="D214" s="35" t="n"/>
      <c r="E214" s="35" t="n"/>
      <c r="F214" s="35" t="n"/>
      <c r="G214" s="35" t="n"/>
      <c r="H214" s="35" t="n"/>
      <c r="I214" s="36" t="n"/>
      <c r="J214" s="37" t="n"/>
      <c r="K214" s="33">
        <f>IF($F214="Schuld",-1,IF($F214="",0,1))</f>
        <v/>
      </c>
      <c r="L214" s="35" t="n"/>
      <c r="M214" s="35" t="n"/>
    </row>
    <row r="215">
      <c r="B215" s="34" t="n"/>
      <c r="C215" s="35" t="n"/>
      <c r="D215" s="35" t="n"/>
      <c r="E215" s="35" t="n"/>
      <c r="F215" s="35" t="n"/>
      <c r="G215" s="35" t="n"/>
      <c r="H215" s="35" t="n"/>
      <c r="I215" s="36" t="n"/>
      <c r="J215" s="37" t="n"/>
      <c r="K215" s="33">
        <f>IF($F215="Schuld",-1,IF($F215="",0,1))</f>
        <v/>
      </c>
      <c r="L215" s="35" t="n"/>
      <c r="M215" s="35" t="n"/>
    </row>
    <row r="216">
      <c r="B216" s="34" t="n"/>
      <c r="C216" s="35" t="n"/>
      <c r="D216" s="35" t="n"/>
      <c r="E216" s="35" t="n"/>
      <c r="F216" s="35" t="n"/>
      <c r="G216" s="35" t="n"/>
      <c r="H216" s="35" t="n"/>
      <c r="I216" s="36" t="n"/>
      <c r="J216" s="37" t="n"/>
      <c r="K216" s="33">
        <f>IF($F216="Schuld",-1,IF($F216="",0,1))</f>
        <v/>
      </c>
      <c r="L216" s="35" t="n"/>
      <c r="M216" s="35" t="n"/>
    </row>
    <row r="217">
      <c r="B217" s="34" t="n"/>
      <c r="C217" s="35" t="n"/>
      <c r="D217" s="35" t="n"/>
      <c r="E217" s="35" t="n"/>
      <c r="F217" s="35" t="n"/>
      <c r="G217" s="35" t="n"/>
      <c r="H217" s="35" t="n"/>
      <c r="I217" s="36" t="n"/>
      <c r="J217" s="37" t="n"/>
      <c r="K217" s="33">
        <f>IF($F217="Schuld",-1,IF($F217="",0,1))</f>
        <v/>
      </c>
      <c r="L217" s="35" t="n"/>
      <c r="M217" s="35" t="n"/>
    </row>
    <row r="218">
      <c r="B218" s="34" t="n"/>
      <c r="C218" s="35" t="n"/>
      <c r="D218" s="35" t="n"/>
      <c r="E218" s="35" t="n"/>
      <c r="F218" s="35" t="n"/>
      <c r="G218" s="35" t="n"/>
      <c r="H218" s="35" t="n"/>
      <c r="I218" s="36" t="n"/>
      <c r="J218" s="37" t="n"/>
      <c r="K218" s="33">
        <f>IF($F218="Schuld",-1,IF($F218="",0,1))</f>
        <v/>
      </c>
      <c r="L218" s="35" t="n"/>
      <c r="M218" s="35" t="n"/>
    </row>
    <row r="219">
      <c r="B219" s="34" t="n"/>
      <c r="C219" s="35" t="n"/>
      <c r="D219" s="35" t="n"/>
      <c r="E219" s="35" t="n"/>
      <c r="F219" s="35" t="n"/>
      <c r="G219" s="35" t="n"/>
      <c r="H219" s="35" t="n"/>
      <c r="I219" s="36" t="n"/>
      <c r="J219" s="37" t="n"/>
      <c r="K219" s="33">
        <f>IF($F219="Schuld",-1,IF($F219="",0,1))</f>
        <v/>
      </c>
      <c r="L219" s="35" t="n"/>
      <c r="M219" s="35" t="n"/>
    </row>
    <row r="220">
      <c r="B220" s="34" t="n"/>
      <c r="C220" s="35" t="n"/>
      <c r="D220" s="35" t="n"/>
      <c r="E220" s="35" t="n"/>
      <c r="F220" s="35" t="n"/>
      <c r="G220" s="35" t="n"/>
      <c r="H220" s="35" t="n"/>
      <c r="I220" s="36" t="n"/>
      <c r="J220" s="37" t="n"/>
      <c r="K220" s="33">
        <f>IF($F220="Schuld",-1,IF($F220="",0,1))</f>
        <v/>
      </c>
      <c r="L220" s="35" t="n"/>
      <c r="M220" s="35" t="n"/>
    </row>
    <row r="221">
      <c r="B221" s="34" t="n"/>
      <c r="C221" s="35" t="n"/>
      <c r="D221" s="35" t="n"/>
      <c r="E221" s="35" t="n"/>
      <c r="F221" s="35" t="n"/>
      <c r="G221" s="35" t="n"/>
      <c r="H221" s="35" t="n"/>
      <c r="I221" s="36" t="n"/>
      <c r="J221" s="37" t="n"/>
      <c r="K221" s="33">
        <f>IF($F221="Schuld",-1,IF($F221="",0,1))</f>
        <v/>
      </c>
      <c r="L221" s="35" t="n"/>
      <c r="M221" s="35" t="n"/>
    </row>
    <row r="222">
      <c r="B222" s="34" t="n"/>
      <c r="C222" s="35" t="n"/>
      <c r="D222" s="35" t="n"/>
      <c r="E222" s="35" t="n"/>
      <c r="F222" s="35" t="n"/>
      <c r="G222" s="35" t="n"/>
      <c r="H222" s="35" t="n"/>
      <c r="I222" s="36" t="n"/>
      <c r="J222" s="37" t="n"/>
      <c r="K222" s="33">
        <f>IF($F222="Schuld",-1,IF($F222="",0,1))</f>
        <v/>
      </c>
      <c r="L222" s="35" t="n"/>
      <c r="M222" s="35" t="n"/>
    </row>
    <row r="223">
      <c r="B223" s="34" t="n"/>
      <c r="C223" s="35" t="n"/>
      <c r="D223" s="35" t="n"/>
      <c r="E223" s="35" t="n"/>
      <c r="F223" s="35" t="n"/>
      <c r="G223" s="35" t="n"/>
      <c r="H223" s="35" t="n"/>
      <c r="I223" s="36" t="n"/>
      <c r="J223" s="37" t="n"/>
      <c r="K223" s="33">
        <f>IF($F223="Schuld",-1,IF($F223="",0,1))</f>
        <v/>
      </c>
      <c r="L223" s="35" t="n"/>
      <c r="M223" s="35" t="n"/>
    </row>
    <row r="224">
      <c r="B224" s="34" t="n"/>
      <c r="C224" s="35" t="n"/>
      <c r="D224" s="35" t="n"/>
      <c r="E224" s="35" t="n"/>
      <c r="F224" s="35" t="n"/>
      <c r="G224" s="35" t="n"/>
      <c r="H224" s="35" t="n"/>
      <c r="I224" s="36" t="n"/>
      <c r="J224" s="37" t="n"/>
      <c r="K224" s="33">
        <f>IF($F224="Schuld",-1,IF($F224="",0,1))</f>
        <v/>
      </c>
      <c r="L224" s="35" t="n"/>
      <c r="M224" s="35" t="n"/>
    </row>
    <row r="225">
      <c r="B225" s="34" t="n"/>
      <c r="C225" s="35" t="n"/>
      <c r="D225" s="35" t="n"/>
      <c r="E225" s="35" t="n"/>
      <c r="F225" s="35" t="n"/>
      <c r="G225" s="35" t="n"/>
      <c r="H225" s="35" t="n"/>
      <c r="I225" s="36" t="n"/>
      <c r="J225" s="37" t="n"/>
      <c r="K225" s="33">
        <f>IF($F225="Schuld",-1,IF($F225="",0,1))</f>
        <v/>
      </c>
      <c r="L225" s="35" t="n"/>
      <c r="M225" s="35" t="n"/>
    </row>
    <row r="226">
      <c r="B226" s="34" t="n"/>
      <c r="C226" s="35" t="n"/>
      <c r="D226" s="35" t="n"/>
      <c r="E226" s="35" t="n"/>
      <c r="F226" s="35" t="n"/>
      <c r="G226" s="35" t="n"/>
      <c r="H226" s="35" t="n"/>
      <c r="I226" s="36" t="n"/>
      <c r="J226" s="37" t="n"/>
      <c r="K226" s="33">
        <f>IF($F226="Schuld",-1,IF($F226="",0,1))</f>
        <v/>
      </c>
      <c r="L226" s="35" t="n"/>
      <c r="M226" s="35" t="n"/>
    </row>
    <row r="227">
      <c r="B227" s="34" t="n"/>
      <c r="C227" s="35" t="n"/>
      <c r="D227" s="35" t="n"/>
      <c r="E227" s="35" t="n"/>
      <c r="F227" s="35" t="n"/>
      <c r="G227" s="35" t="n"/>
      <c r="H227" s="35" t="n"/>
      <c r="I227" s="36" t="n"/>
      <c r="J227" s="37" t="n"/>
      <c r="K227" s="33">
        <f>IF($F227="Schuld",-1,IF($F227="",0,1))</f>
        <v/>
      </c>
      <c r="L227" s="35" t="n"/>
      <c r="M227" s="35" t="n"/>
    </row>
    <row r="228">
      <c r="B228" s="34" t="n"/>
      <c r="C228" s="35" t="n"/>
      <c r="D228" s="35" t="n"/>
      <c r="E228" s="35" t="n"/>
      <c r="F228" s="35" t="n"/>
      <c r="G228" s="35" t="n"/>
      <c r="H228" s="35" t="n"/>
      <c r="I228" s="36" t="n"/>
      <c r="J228" s="37" t="n"/>
      <c r="K228" s="33">
        <f>IF($F228="Schuld",-1,IF($F228="",0,1))</f>
        <v/>
      </c>
      <c r="L228" s="35" t="n"/>
      <c r="M228" s="35" t="n"/>
    </row>
    <row r="229">
      <c r="B229" s="34" t="n"/>
      <c r="C229" s="35" t="n"/>
      <c r="D229" s="35" t="n"/>
      <c r="E229" s="35" t="n"/>
      <c r="F229" s="35" t="n"/>
      <c r="G229" s="35" t="n"/>
      <c r="H229" s="35" t="n"/>
      <c r="I229" s="36" t="n"/>
      <c r="J229" s="37" t="n"/>
      <c r="K229" s="33">
        <f>IF($F229="Schuld",-1,IF($F229="",0,1))</f>
        <v/>
      </c>
      <c r="L229" s="35" t="n"/>
      <c r="M229" s="35" t="n"/>
    </row>
    <row r="230">
      <c r="B230" s="34" t="n"/>
      <c r="C230" s="35" t="n"/>
      <c r="D230" s="35" t="n"/>
      <c r="E230" s="35" t="n"/>
      <c r="F230" s="35" t="n"/>
      <c r="G230" s="35" t="n"/>
      <c r="H230" s="35" t="n"/>
      <c r="I230" s="36" t="n"/>
      <c r="J230" s="37" t="n"/>
      <c r="K230" s="33">
        <f>IF($F230="Schuld",-1,IF($F230="",0,1))</f>
        <v/>
      </c>
      <c r="L230" s="35" t="n"/>
      <c r="M230" s="35" t="n"/>
    </row>
    <row r="231">
      <c r="B231" s="34" t="n"/>
      <c r="C231" s="35" t="n"/>
      <c r="D231" s="35" t="n"/>
      <c r="E231" s="35" t="n"/>
      <c r="F231" s="35" t="n"/>
      <c r="G231" s="35" t="n"/>
      <c r="H231" s="35" t="n"/>
      <c r="I231" s="36" t="n"/>
      <c r="J231" s="37" t="n"/>
      <c r="K231" s="33">
        <f>IF($F231="Schuld",-1,IF($F231="",0,1))</f>
        <v/>
      </c>
      <c r="L231" s="35" t="n"/>
      <c r="M231" s="35" t="n"/>
    </row>
    <row r="232">
      <c r="B232" s="34" t="n"/>
      <c r="C232" s="35" t="n"/>
      <c r="D232" s="35" t="n"/>
      <c r="E232" s="35" t="n"/>
      <c r="F232" s="35" t="n"/>
      <c r="G232" s="35" t="n"/>
      <c r="H232" s="35" t="n"/>
      <c r="I232" s="36" t="n"/>
      <c r="J232" s="37" t="n"/>
      <c r="K232" s="33">
        <f>IF($F232="Schuld",-1,IF($F232="",0,1))</f>
        <v/>
      </c>
      <c r="L232" s="35" t="n"/>
      <c r="M232" s="35" t="n"/>
    </row>
    <row r="233">
      <c r="B233" s="34" t="n"/>
      <c r="C233" s="35" t="n"/>
      <c r="D233" s="35" t="n"/>
      <c r="E233" s="35" t="n"/>
      <c r="F233" s="35" t="n"/>
      <c r="G233" s="35" t="n"/>
      <c r="H233" s="35" t="n"/>
      <c r="I233" s="36" t="n"/>
      <c r="J233" s="37" t="n"/>
      <c r="K233" s="33">
        <f>IF($F233="Schuld",-1,IF($F233="",0,1))</f>
        <v/>
      </c>
      <c r="L233" s="35" t="n"/>
      <c r="M233" s="35" t="n"/>
    </row>
    <row r="234">
      <c r="B234" s="34" t="n"/>
      <c r="C234" s="35" t="n"/>
      <c r="D234" s="35" t="n"/>
      <c r="E234" s="35" t="n"/>
      <c r="F234" s="35" t="n"/>
      <c r="G234" s="35" t="n"/>
      <c r="H234" s="35" t="n"/>
      <c r="I234" s="36" t="n"/>
      <c r="J234" s="37" t="n"/>
      <c r="K234" s="33">
        <f>IF($F234="Schuld",-1,IF($F234="",0,1))</f>
        <v/>
      </c>
      <c r="L234" s="35" t="n"/>
      <c r="M234" s="35" t="n"/>
    </row>
    <row r="235">
      <c r="B235" s="34" t="n"/>
      <c r="C235" s="35" t="n"/>
      <c r="D235" s="35" t="n"/>
      <c r="E235" s="35" t="n"/>
      <c r="F235" s="35" t="n"/>
      <c r="G235" s="35" t="n"/>
      <c r="H235" s="35" t="n"/>
      <c r="I235" s="36" t="n"/>
      <c r="J235" s="37" t="n"/>
      <c r="K235" s="33">
        <f>IF($F235="Schuld",-1,IF($F235="",0,1))</f>
        <v/>
      </c>
      <c r="L235" s="35" t="n"/>
      <c r="M235" s="35" t="n"/>
    </row>
    <row r="236">
      <c r="B236" s="34" t="n"/>
      <c r="C236" s="35" t="n"/>
      <c r="D236" s="35" t="n"/>
      <c r="E236" s="35" t="n"/>
      <c r="F236" s="35" t="n"/>
      <c r="G236" s="35" t="n"/>
      <c r="H236" s="35" t="n"/>
      <c r="I236" s="36" t="n"/>
      <c r="J236" s="37" t="n"/>
      <c r="K236" s="33">
        <f>IF($F236="Schuld",-1,IF($F236="",0,1))</f>
        <v/>
      </c>
      <c r="L236" s="35" t="n"/>
      <c r="M236" s="35" t="n"/>
    </row>
    <row r="237">
      <c r="B237" s="34" t="n"/>
      <c r="C237" s="35" t="n"/>
      <c r="D237" s="35" t="n"/>
      <c r="E237" s="35" t="n"/>
      <c r="F237" s="35" t="n"/>
      <c r="G237" s="35" t="n"/>
      <c r="H237" s="35" t="n"/>
      <c r="I237" s="36" t="n"/>
      <c r="J237" s="37" t="n"/>
      <c r="K237" s="33">
        <f>IF($F237="Schuld",-1,IF($F237="",0,1))</f>
        <v/>
      </c>
      <c r="L237" s="35" t="n"/>
      <c r="M237" s="35" t="n"/>
    </row>
    <row r="238">
      <c r="B238" s="34" t="n"/>
      <c r="C238" s="35" t="n"/>
      <c r="D238" s="35" t="n"/>
      <c r="E238" s="35" t="n"/>
      <c r="F238" s="35" t="n"/>
      <c r="G238" s="35" t="n"/>
      <c r="H238" s="35" t="n"/>
      <c r="I238" s="36" t="n"/>
      <c r="J238" s="37" t="n"/>
      <c r="K238" s="33">
        <f>IF($F238="Schuld",-1,IF($F238="",0,1))</f>
        <v/>
      </c>
      <c r="L238" s="35" t="n"/>
      <c r="M238" s="35" t="n"/>
    </row>
    <row r="239">
      <c r="B239" s="34" t="n"/>
      <c r="C239" s="35" t="n"/>
      <c r="D239" s="35" t="n"/>
      <c r="E239" s="35" t="n"/>
      <c r="F239" s="35" t="n"/>
      <c r="G239" s="35" t="n"/>
      <c r="H239" s="35" t="n"/>
      <c r="I239" s="36" t="n"/>
      <c r="J239" s="37" t="n"/>
      <c r="K239" s="33">
        <f>IF($F239="Schuld",-1,IF($F239="",0,1))</f>
        <v/>
      </c>
      <c r="L239" s="35" t="n"/>
      <c r="M239" s="35" t="n"/>
    </row>
    <row r="240">
      <c r="B240" s="34" t="n"/>
      <c r="C240" s="35" t="n"/>
      <c r="D240" s="35" t="n"/>
      <c r="E240" s="35" t="n"/>
      <c r="F240" s="35" t="n"/>
      <c r="G240" s="35" t="n"/>
      <c r="H240" s="35" t="n"/>
      <c r="I240" s="36" t="n"/>
      <c r="J240" s="37" t="n"/>
      <c r="K240" s="33">
        <f>IF($F240="Schuld",-1,IF($F240="",0,1))</f>
        <v/>
      </c>
      <c r="L240" s="35" t="n"/>
      <c r="M240" s="35" t="n"/>
    </row>
    <row r="241">
      <c r="B241" s="34" t="n"/>
      <c r="C241" s="35" t="n"/>
      <c r="D241" s="35" t="n"/>
      <c r="E241" s="35" t="n"/>
      <c r="F241" s="35" t="n"/>
      <c r="G241" s="35" t="n"/>
      <c r="H241" s="35" t="n"/>
      <c r="I241" s="36" t="n"/>
      <c r="J241" s="37" t="n"/>
      <c r="K241" s="33">
        <f>IF($F241="Schuld",-1,IF($F241="",0,1))</f>
        <v/>
      </c>
      <c r="L241" s="35" t="n"/>
      <c r="M241" s="35" t="n"/>
    </row>
    <row r="242">
      <c r="B242" s="34" t="n"/>
      <c r="C242" s="35" t="n"/>
      <c r="D242" s="35" t="n"/>
      <c r="E242" s="35" t="n"/>
      <c r="F242" s="35" t="n"/>
      <c r="G242" s="35" t="n"/>
      <c r="H242" s="35" t="n"/>
      <c r="I242" s="36" t="n"/>
      <c r="J242" s="37" t="n"/>
      <c r="K242" s="33">
        <f>IF($F242="Schuld",-1,IF($F242="",0,1))</f>
        <v/>
      </c>
      <c r="L242" s="35" t="n"/>
      <c r="M242" s="35" t="n"/>
    </row>
    <row r="243">
      <c r="B243" s="34" t="n"/>
      <c r="C243" s="35" t="n"/>
      <c r="D243" s="35" t="n"/>
      <c r="E243" s="35" t="n"/>
      <c r="F243" s="35" t="n"/>
      <c r="G243" s="35" t="n"/>
      <c r="H243" s="35" t="n"/>
      <c r="I243" s="36" t="n"/>
      <c r="J243" s="37" t="n"/>
      <c r="K243" s="33">
        <f>IF($F243="Schuld",-1,IF($F243="",0,1))</f>
        <v/>
      </c>
      <c r="L243" s="35" t="n"/>
      <c r="M243" s="35" t="n"/>
    </row>
    <row r="244">
      <c r="B244" s="34" t="n"/>
      <c r="C244" s="35" t="n"/>
      <c r="D244" s="35" t="n"/>
      <c r="E244" s="35" t="n"/>
      <c r="F244" s="35" t="n"/>
      <c r="G244" s="35" t="n"/>
      <c r="H244" s="35" t="n"/>
      <c r="I244" s="36" t="n"/>
      <c r="J244" s="37" t="n"/>
      <c r="K244" s="33">
        <f>IF($F244="Schuld",-1,IF($F244="",0,1))</f>
        <v/>
      </c>
      <c r="L244" s="35" t="n"/>
      <c r="M244" s="35" t="n"/>
    </row>
    <row r="245">
      <c r="B245" s="34" t="n"/>
      <c r="C245" s="35" t="n"/>
      <c r="D245" s="35" t="n"/>
      <c r="E245" s="35" t="n"/>
      <c r="F245" s="35" t="n"/>
      <c r="G245" s="35" t="n"/>
      <c r="H245" s="35" t="n"/>
      <c r="I245" s="36" t="n"/>
      <c r="J245" s="37" t="n"/>
      <c r="K245" s="33">
        <f>IF($F245="Schuld",-1,IF($F245="",0,1))</f>
        <v/>
      </c>
      <c r="L245" s="35" t="n"/>
      <c r="M245" s="35" t="n"/>
    </row>
    <row r="246">
      <c r="B246" s="34" t="n"/>
      <c r="C246" s="35" t="n"/>
      <c r="D246" s="35" t="n"/>
      <c r="E246" s="35" t="n"/>
      <c r="F246" s="35" t="n"/>
      <c r="G246" s="35" t="n"/>
      <c r="H246" s="35" t="n"/>
      <c r="I246" s="36" t="n"/>
      <c r="J246" s="37" t="n"/>
      <c r="K246" s="33">
        <f>IF($F246="Schuld",-1,IF($F246="",0,1))</f>
        <v/>
      </c>
      <c r="L246" s="35" t="n"/>
      <c r="M246" s="35" t="n"/>
    </row>
    <row r="247">
      <c r="B247" s="34" t="n"/>
      <c r="C247" s="35" t="n"/>
      <c r="D247" s="35" t="n"/>
      <c r="E247" s="35" t="n"/>
      <c r="F247" s="35" t="n"/>
      <c r="G247" s="35" t="n"/>
      <c r="H247" s="35" t="n"/>
      <c r="I247" s="36" t="n"/>
      <c r="J247" s="37" t="n"/>
      <c r="K247" s="33">
        <f>IF($F247="Schuld",-1,IF($F247="",0,1))</f>
        <v/>
      </c>
      <c r="L247" s="35" t="n"/>
      <c r="M247" s="35" t="n"/>
    </row>
    <row r="248">
      <c r="B248" s="34" t="n"/>
      <c r="C248" s="35" t="n"/>
      <c r="D248" s="35" t="n"/>
      <c r="E248" s="35" t="n"/>
      <c r="F248" s="35" t="n"/>
      <c r="G248" s="35" t="n"/>
      <c r="H248" s="35" t="n"/>
      <c r="I248" s="36" t="n"/>
      <c r="J248" s="37" t="n"/>
      <c r="K248" s="33">
        <f>IF($F248="Schuld",-1,IF($F248="",0,1))</f>
        <v/>
      </c>
      <c r="L248" s="35" t="n"/>
      <c r="M248" s="35" t="n"/>
    </row>
    <row r="249">
      <c r="B249" s="34" t="n"/>
      <c r="C249" s="35" t="n"/>
      <c r="D249" s="35" t="n"/>
      <c r="E249" s="35" t="n"/>
      <c r="F249" s="35" t="n"/>
      <c r="G249" s="35" t="n"/>
      <c r="H249" s="35" t="n"/>
      <c r="I249" s="36" t="n"/>
      <c r="J249" s="37" t="n"/>
      <c r="K249" s="33">
        <f>IF($F249="Schuld",-1,IF($F249="",0,1))</f>
        <v/>
      </c>
      <c r="L249" s="35" t="n"/>
      <c r="M249" s="35" t="n"/>
    </row>
    <row r="250">
      <c r="B250" s="34" t="n"/>
      <c r="C250" s="35" t="n"/>
      <c r="D250" s="35" t="n"/>
      <c r="E250" s="35" t="n"/>
      <c r="F250" s="35" t="n"/>
      <c r="G250" s="35" t="n"/>
      <c r="H250" s="35" t="n"/>
      <c r="I250" s="36" t="n"/>
      <c r="J250" s="37" t="n"/>
      <c r="K250" s="33">
        <f>IF($F250="Schuld",-1,IF($F250="",0,1))</f>
        <v/>
      </c>
      <c r="L250" s="35" t="n"/>
      <c r="M250" s="35" t="n"/>
    </row>
    <row r="251">
      <c r="B251" s="34" t="n"/>
      <c r="C251" s="35" t="n"/>
      <c r="D251" s="35" t="n"/>
      <c r="E251" s="35" t="n"/>
      <c r="F251" s="35" t="n"/>
      <c r="G251" s="35" t="n"/>
      <c r="H251" s="35" t="n"/>
      <c r="I251" s="36" t="n"/>
      <c r="J251" s="37" t="n"/>
      <c r="K251" s="33">
        <f>IF($F251="Schuld",-1,IF($F251="",0,1))</f>
        <v/>
      </c>
      <c r="L251" s="35" t="n"/>
      <c r="M251" s="35" t="n"/>
    </row>
    <row r="252">
      <c r="B252" s="34" t="n"/>
      <c r="C252" s="35" t="n"/>
      <c r="D252" s="35" t="n"/>
      <c r="E252" s="35" t="n"/>
      <c r="F252" s="35" t="n"/>
      <c r="G252" s="35" t="n"/>
      <c r="H252" s="35" t="n"/>
      <c r="I252" s="36" t="n"/>
      <c r="J252" s="37" t="n"/>
      <c r="K252" s="33">
        <f>IF($F252="Schuld",-1,IF($F252="",0,1))</f>
        <v/>
      </c>
      <c r="L252" s="35" t="n"/>
      <c r="M252" s="35" t="n"/>
    </row>
    <row r="253">
      <c r="B253" s="34" t="n"/>
      <c r="C253" s="35" t="n"/>
      <c r="D253" s="35" t="n"/>
      <c r="E253" s="35" t="n"/>
      <c r="F253" s="35" t="n"/>
      <c r="G253" s="35" t="n"/>
      <c r="H253" s="35" t="n"/>
      <c r="I253" s="36" t="n"/>
      <c r="J253" s="37" t="n"/>
      <c r="K253" s="33">
        <f>IF($F253="Schuld",-1,IF($F253="",0,1))</f>
        <v/>
      </c>
      <c r="L253" s="35" t="n"/>
      <c r="M253" s="35" t="n"/>
    </row>
    <row r="254">
      <c r="B254" s="34" t="n"/>
      <c r="C254" s="35" t="n"/>
      <c r="D254" s="35" t="n"/>
      <c r="E254" s="35" t="n"/>
      <c r="F254" s="35" t="n"/>
      <c r="G254" s="35" t="n"/>
      <c r="H254" s="35" t="n"/>
      <c r="I254" s="36" t="n"/>
      <c r="J254" s="37" t="n"/>
      <c r="K254" s="33">
        <f>IF($F254="Schuld",-1,IF($F254="",0,1))</f>
        <v/>
      </c>
      <c r="L254" s="35" t="n"/>
      <c r="M254" s="35" t="n"/>
    </row>
    <row r="255">
      <c r="B255" s="34" t="n"/>
      <c r="C255" s="35" t="n"/>
      <c r="D255" s="35" t="n"/>
      <c r="E255" s="35" t="n"/>
      <c r="F255" s="35" t="n"/>
      <c r="G255" s="35" t="n"/>
      <c r="H255" s="35" t="n"/>
      <c r="I255" s="36" t="n"/>
      <c r="J255" s="37" t="n"/>
      <c r="K255" s="33">
        <f>IF($F255="Schuld",-1,IF($F255="",0,1))</f>
        <v/>
      </c>
      <c r="L255" s="35" t="n"/>
      <c r="M255" s="35" t="n"/>
    </row>
    <row r="256">
      <c r="B256" s="34" t="n"/>
      <c r="C256" s="35" t="n"/>
      <c r="D256" s="35" t="n"/>
      <c r="E256" s="35" t="n"/>
      <c r="F256" s="35" t="n"/>
      <c r="G256" s="35" t="n"/>
      <c r="H256" s="35" t="n"/>
      <c r="I256" s="36" t="n"/>
      <c r="J256" s="37" t="n"/>
      <c r="K256" s="33">
        <f>IF($F256="Schuld",-1,IF($F256="",0,1))</f>
        <v/>
      </c>
      <c r="L256" s="35" t="n"/>
      <c r="M256" s="35" t="n"/>
    </row>
    <row r="257">
      <c r="B257" s="34" t="n"/>
      <c r="C257" s="35" t="n"/>
      <c r="D257" s="35" t="n"/>
      <c r="E257" s="35" t="n"/>
      <c r="F257" s="35" t="n"/>
      <c r="G257" s="35" t="n"/>
      <c r="H257" s="35" t="n"/>
      <c r="I257" s="36" t="n"/>
      <c r="J257" s="37" t="n"/>
      <c r="K257" s="33">
        <f>IF($F257="Schuld",-1,IF($F257="",0,1))</f>
        <v/>
      </c>
      <c r="L257" s="35" t="n"/>
      <c r="M257" s="35" t="n"/>
    </row>
    <row r="258">
      <c r="B258" s="34" t="n"/>
      <c r="C258" s="35" t="n"/>
      <c r="D258" s="35" t="n"/>
      <c r="E258" s="35" t="n"/>
      <c r="F258" s="35" t="n"/>
      <c r="G258" s="35" t="n"/>
      <c r="H258" s="35" t="n"/>
      <c r="I258" s="36" t="n"/>
      <c r="J258" s="37" t="n"/>
      <c r="K258" s="33">
        <f>IF($F258="Schuld",-1,IF($F258="",0,1))</f>
        <v/>
      </c>
      <c r="L258" s="35" t="n"/>
      <c r="M258" s="35" t="n"/>
    </row>
    <row r="259">
      <c r="B259" s="34" t="n"/>
      <c r="C259" s="35" t="n"/>
      <c r="D259" s="35" t="n"/>
      <c r="E259" s="35" t="n"/>
      <c r="F259" s="35" t="n"/>
      <c r="G259" s="35" t="n"/>
      <c r="H259" s="35" t="n"/>
      <c r="I259" s="36" t="n"/>
      <c r="J259" s="37" t="n"/>
      <c r="K259" s="33">
        <f>IF($F259="Schuld",-1,IF($F259="",0,1))</f>
        <v/>
      </c>
      <c r="L259" s="35" t="n"/>
      <c r="M259" s="35" t="n"/>
    </row>
    <row r="260">
      <c r="B260" s="34" t="n"/>
      <c r="C260" s="35" t="n"/>
      <c r="D260" s="35" t="n"/>
      <c r="E260" s="35" t="n"/>
      <c r="F260" s="35" t="n"/>
      <c r="G260" s="35" t="n"/>
      <c r="H260" s="35" t="n"/>
      <c r="I260" s="36" t="n"/>
      <c r="J260" s="37" t="n"/>
      <c r="K260" s="33">
        <f>IF($F260="Schuld",-1,IF($F260="",0,1))</f>
        <v/>
      </c>
      <c r="L260" s="35" t="n"/>
      <c r="M260" s="35" t="n"/>
    </row>
    <row r="261">
      <c r="B261" s="34" t="n"/>
      <c r="C261" s="35" t="n"/>
      <c r="D261" s="35" t="n"/>
      <c r="E261" s="35" t="n"/>
      <c r="F261" s="35" t="n"/>
      <c r="G261" s="35" t="n"/>
      <c r="H261" s="35" t="n"/>
      <c r="I261" s="36" t="n"/>
      <c r="J261" s="37" t="n"/>
      <c r="K261" s="33">
        <f>IF($F261="Schuld",-1,IF($F261="",0,1))</f>
        <v/>
      </c>
      <c r="L261" s="35" t="n"/>
      <c r="M261" s="35" t="n"/>
    </row>
    <row r="262">
      <c r="B262" s="34" t="n"/>
      <c r="C262" s="35" t="n"/>
      <c r="D262" s="35" t="n"/>
      <c r="E262" s="35" t="n"/>
      <c r="F262" s="35" t="n"/>
      <c r="G262" s="35" t="n"/>
      <c r="H262" s="35" t="n"/>
      <c r="I262" s="36" t="n"/>
      <c r="J262" s="37" t="n"/>
      <c r="K262" s="33">
        <f>IF($F262="Schuld",-1,IF($F262="",0,1))</f>
        <v/>
      </c>
      <c r="L262" s="35" t="n"/>
      <c r="M262" s="35" t="n"/>
    </row>
    <row r="263">
      <c r="B263" s="34" t="n"/>
      <c r="C263" s="35" t="n"/>
      <c r="D263" s="35" t="n"/>
      <c r="E263" s="35" t="n"/>
      <c r="F263" s="35" t="n"/>
      <c r="G263" s="35" t="n"/>
      <c r="H263" s="35" t="n"/>
      <c r="I263" s="36" t="n"/>
      <c r="J263" s="37" t="n"/>
      <c r="K263" s="33">
        <f>IF($F263="Schuld",-1,IF($F263="",0,1))</f>
        <v/>
      </c>
      <c r="L263" s="35" t="n"/>
      <c r="M263" s="35" t="n"/>
    </row>
    <row r="264">
      <c r="B264" s="34" t="n"/>
      <c r="C264" s="35" t="n"/>
      <c r="D264" s="35" t="n"/>
      <c r="E264" s="35" t="n"/>
      <c r="F264" s="35" t="n"/>
      <c r="G264" s="35" t="n"/>
      <c r="H264" s="35" t="n"/>
      <c r="I264" s="36" t="n"/>
      <c r="J264" s="37" t="n"/>
      <c r="K264" s="33">
        <f>IF($F264="Schuld",-1,IF($F264="",0,1))</f>
        <v/>
      </c>
      <c r="L264" s="35" t="n"/>
      <c r="M264" s="35" t="n"/>
    </row>
    <row r="265">
      <c r="B265" s="34" t="n"/>
      <c r="C265" s="35" t="n"/>
      <c r="D265" s="35" t="n"/>
      <c r="E265" s="35" t="n"/>
      <c r="F265" s="35" t="n"/>
      <c r="G265" s="35" t="n"/>
      <c r="H265" s="35" t="n"/>
      <c r="I265" s="36" t="n"/>
      <c r="J265" s="37" t="n"/>
      <c r="K265" s="33">
        <f>IF($F265="Schuld",-1,IF($F265="",0,1))</f>
        <v/>
      </c>
      <c r="L265" s="35" t="n"/>
      <c r="M265" s="35" t="n"/>
    </row>
    <row r="266">
      <c r="B266" s="34" t="n"/>
      <c r="C266" s="35" t="n"/>
      <c r="D266" s="35" t="n"/>
      <c r="E266" s="35" t="n"/>
      <c r="F266" s="35" t="n"/>
      <c r="G266" s="35" t="n"/>
      <c r="H266" s="35" t="n"/>
      <c r="I266" s="36" t="n"/>
      <c r="J266" s="37" t="n"/>
      <c r="K266" s="33">
        <f>IF($F266="Schuld",-1,IF($F266="",0,1))</f>
        <v/>
      </c>
      <c r="L266" s="35" t="n"/>
      <c r="M266" s="35" t="n"/>
    </row>
    <row r="267">
      <c r="B267" s="34" t="n"/>
      <c r="C267" s="35" t="n"/>
      <c r="D267" s="35" t="n"/>
      <c r="E267" s="35" t="n"/>
      <c r="F267" s="35" t="n"/>
      <c r="G267" s="35" t="n"/>
      <c r="H267" s="35" t="n"/>
      <c r="I267" s="36" t="n"/>
      <c r="J267" s="37" t="n"/>
      <c r="K267" s="33">
        <f>IF($F267="Schuld",-1,IF($F267="",0,1))</f>
        <v/>
      </c>
      <c r="L267" s="35" t="n"/>
      <c r="M267" s="35" t="n"/>
    </row>
    <row r="268">
      <c r="B268" s="34" t="n"/>
      <c r="C268" s="35" t="n"/>
      <c r="D268" s="35" t="n"/>
      <c r="E268" s="35" t="n"/>
      <c r="F268" s="35" t="n"/>
      <c r="G268" s="35" t="n"/>
      <c r="H268" s="35" t="n"/>
      <c r="I268" s="36" t="n"/>
      <c r="J268" s="37" t="n"/>
      <c r="K268" s="33">
        <f>IF($F268="Schuld",-1,IF($F268="",0,1))</f>
        <v/>
      </c>
      <c r="L268" s="35" t="n"/>
      <c r="M268" s="35" t="n"/>
    </row>
    <row r="269">
      <c r="B269" s="34" t="n"/>
      <c r="C269" s="35" t="n"/>
      <c r="D269" s="35" t="n"/>
      <c r="E269" s="35" t="n"/>
      <c r="F269" s="35" t="n"/>
      <c r="G269" s="35" t="n"/>
      <c r="H269" s="35" t="n"/>
      <c r="I269" s="36" t="n"/>
      <c r="J269" s="37" t="n"/>
      <c r="K269" s="33">
        <f>IF($F269="Schuld",-1,IF($F269="",0,1))</f>
        <v/>
      </c>
      <c r="L269" s="35" t="n"/>
      <c r="M269" s="35" t="n"/>
    </row>
    <row r="270">
      <c r="B270" s="34" t="n"/>
      <c r="C270" s="35" t="n"/>
      <c r="D270" s="35" t="n"/>
      <c r="E270" s="35" t="n"/>
      <c r="F270" s="35" t="n"/>
      <c r="G270" s="35" t="n"/>
      <c r="H270" s="35" t="n"/>
      <c r="I270" s="36" t="n"/>
      <c r="J270" s="37" t="n"/>
      <c r="K270" s="33">
        <f>IF($F270="Schuld",-1,IF($F270="",0,1))</f>
        <v/>
      </c>
      <c r="L270" s="35" t="n"/>
      <c r="M270" s="35" t="n"/>
    </row>
    <row r="271">
      <c r="B271" s="34" t="n"/>
      <c r="C271" s="35" t="n"/>
      <c r="D271" s="35" t="n"/>
      <c r="E271" s="35" t="n"/>
      <c r="F271" s="35" t="n"/>
      <c r="G271" s="35" t="n"/>
      <c r="H271" s="35" t="n"/>
      <c r="I271" s="36" t="n"/>
      <c r="J271" s="37" t="n"/>
      <c r="K271" s="33">
        <f>IF($F271="Schuld",-1,IF($F271="",0,1))</f>
        <v/>
      </c>
      <c r="L271" s="35" t="n"/>
      <c r="M271" s="35" t="n"/>
    </row>
    <row r="272">
      <c r="B272" s="34" t="n"/>
      <c r="C272" s="35" t="n"/>
      <c r="D272" s="35" t="n"/>
      <c r="E272" s="35" t="n"/>
      <c r="F272" s="35" t="n"/>
      <c r="G272" s="35" t="n"/>
      <c r="H272" s="35" t="n"/>
      <c r="I272" s="36" t="n"/>
      <c r="J272" s="37" t="n"/>
      <c r="K272" s="33">
        <f>IF($F272="Schuld",-1,IF($F272="",0,1))</f>
        <v/>
      </c>
      <c r="L272" s="35" t="n"/>
      <c r="M272" s="35" t="n"/>
    </row>
    <row r="273">
      <c r="B273" s="34" t="n"/>
      <c r="C273" s="35" t="n"/>
      <c r="D273" s="35" t="n"/>
      <c r="E273" s="35" t="n"/>
      <c r="F273" s="35" t="n"/>
      <c r="G273" s="35" t="n"/>
      <c r="H273" s="35" t="n"/>
      <c r="I273" s="36" t="n"/>
      <c r="J273" s="37" t="n"/>
      <c r="K273" s="33">
        <f>IF($F273="Schuld",-1,IF($F273="",0,1))</f>
        <v/>
      </c>
      <c r="L273" s="35" t="n"/>
      <c r="M273" s="35" t="n"/>
    </row>
    <row r="274">
      <c r="B274" s="34" t="n"/>
      <c r="C274" s="35" t="n"/>
      <c r="D274" s="35" t="n"/>
      <c r="E274" s="35" t="n"/>
      <c r="F274" s="35" t="n"/>
      <c r="G274" s="35" t="n"/>
      <c r="H274" s="35" t="n"/>
      <c r="I274" s="36" t="n"/>
      <c r="J274" s="37" t="n"/>
      <c r="K274" s="33">
        <f>IF($F274="Schuld",-1,IF($F274="",0,1))</f>
        <v/>
      </c>
      <c r="L274" s="35" t="n"/>
      <c r="M274" s="35" t="n"/>
    </row>
    <row r="275">
      <c r="B275" s="34" t="n"/>
      <c r="C275" s="35" t="n"/>
      <c r="D275" s="35" t="n"/>
      <c r="E275" s="35" t="n"/>
      <c r="F275" s="35" t="n"/>
      <c r="G275" s="35" t="n"/>
      <c r="H275" s="35" t="n"/>
      <c r="I275" s="36" t="n"/>
      <c r="J275" s="37" t="n"/>
      <c r="K275" s="33">
        <f>IF($F275="Schuld",-1,IF($F275="",0,1))</f>
        <v/>
      </c>
      <c r="L275" s="35" t="n"/>
      <c r="M275" s="35" t="n"/>
    </row>
    <row r="276">
      <c r="B276" s="34" t="n"/>
      <c r="C276" s="35" t="n"/>
      <c r="D276" s="35" t="n"/>
      <c r="E276" s="35" t="n"/>
      <c r="F276" s="35" t="n"/>
      <c r="G276" s="35" t="n"/>
      <c r="H276" s="35" t="n"/>
      <c r="I276" s="36" t="n"/>
      <c r="J276" s="37" t="n"/>
      <c r="K276" s="33">
        <f>IF($F276="Schuld",-1,IF($F276="",0,1))</f>
        <v/>
      </c>
      <c r="L276" s="35" t="n"/>
      <c r="M276" s="35" t="n"/>
    </row>
    <row r="277">
      <c r="B277" s="34" t="n"/>
      <c r="C277" s="35" t="n"/>
      <c r="D277" s="35" t="n"/>
      <c r="E277" s="35" t="n"/>
      <c r="F277" s="35" t="n"/>
      <c r="G277" s="35" t="n"/>
      <c r="H277" s="35" t="n"/>
      <c r="I277" s="36" t="n"/>
      <c r="J277" s="37" t="n"/>
      <c r="K277" s="33">
        <f>IF($F277="Schuld",-1,IF($F277="",0,1))</f>
        <v/>
      </c>
      <c r="L277" s="35" t="n"/>
      <c r="M277" s="35" t="n"/>
    </row>
    <row r="278">
      <c r="B278" s="34" t="n"/>
      <c r="C278" s="35" t="n"/>
      <c r="D278" s="35" t="n"/>
      <c r="E278" s="35" t="n"/>
      <c r="F278" s="35" t="n"/>
      <c r="G278" s="35" t="n"/>
      <c r="H278" s="35" t="n"/>
      <c r="I278" s="36" t="n"/>
      <c r="J278" s="37" t="n"/>
      <c r="K278" s="33">
        <f>IF($F278="Schuld",-1,IF($F278="",0,1))</f>
        <v/>
      </c>
      <c r="L278" s="35" t="n"/>
      <c r="M278" s="35" t="n"/>
    </row>
    <row r="279">
      <c r="B279" s="34" t="n"/>
      <c r="C279" s="35" t="n"/>
      <c r="D279" s="35" t="n"/>
      <c r="E279" s="35" t="n"/>
      <c r="F279" s="35" t="n"/>
      <c r="G279" s="35" t="n"/>
      <c r="H279" s="35" t="n"/>
      <c r="I279" s="36" t="n"/>
      <c r="J279" s="37" t="n"/>
      <c r="K279" s="33">
        <f>IF($F279="Schuld",-1,IF($F279="",0,1))</f>
        <v/>
      </c>
      <c r="L279" s="35" t="n"/>
      <c r="M279" s="35" t="n"/>
    </row>
    <row r="280">
      <c r="B280" s="34" t="n"/>
      <c r="C280" s="35" t="n"/>
      <c r="D280" s="35" t="n"/>
      <c r="E280" s="35" t="n"/>
      <c r="F280" s="35" t="n"/>
      <c r="G280" s="35" t="n"/>
      <c r="H280" s="35" t="n"/>
      <c r="I280" s="36" t="n"/>
      <c r="J280" s="37" t="n"/>
      <c r="K280" s="33">
        <f>IF($F280="Schuld",-1,IF($F280="",0,1))</f>
        <v/>
      </c>
      <c r="L280" s="35" t="n"/>
      <c r="M280" s="35" t="n"/>
    </row>
    <row r="281">
      <c r="B281" s="34" t="n"/>
      <c r="C281" s="35" t="n"/>
      <c r="D281" s="35" t="n"/>
      <c r="E281" s="35" t="n"/>
      <c r="F281" s="35" t="n"/>
      <c r="G281" s="35" t="n"/>
      <c r="H281" s="35" t="n"/>
      <c r="I281" s="36" t="n"/>
      <c r="J281" s="37" t="n"/>
      <c r="K281" s="33">
        <f>IF($F281="Schuld",-1,IF($F281="",0,1))</f>
        <v/>
      </c>
      <c r="L281" s="35" t="n"/>
      <c r="M281" s="35" t="n"/>
    </row>
    <row r="282">
      <c r="B282" s="34" t="n"/>
      <c r="C282" s="35" t="n"/>
      <c r="D282" s="35" t="n"/>
      <c r="E282" s="35" t="n"/>
      <c r="F282" s="35" t="n"/>
      <c r="G282" s="35" t="n"/>
      <c r="H282" s="35" t="n"/>
      <c r="I282" s="36" t="n"/>
      <c r="J282" s="37" t="n"/>
      <c r="K282" s="33">
        <f>IF($F282="Schuld",-1,IF($F282="",0,1))</f>
        <v/>
      </c>
      <c r="L282" s="35" t="n"/>
      <c r="M282" s="35" t="n"/>
    </row>
    <row r="283">
      <c r="B283" s="34" t="n"/>
      <c r="C283" s="35" t="n"/>
      <c r="D283" s="35" t="n"/>
      <c r="E283" s="35" t="n"/>
      <c r="F283" s="35" t="n"/>
      <c r="G283" s="35" t="n"/>
      <c r="H283" s="35" t="n"/>
      <c r="I283" s="36" t="n"/>
      <c r="J283" s="37" t="n"/>
      <c r="K283" s="33">
        <f>IF($F283="Schuld",-1,IF($F283="",0,1))</f>
        <v/>
      </c>
      <c r="L283" s="35" t="n"/>
      <c r="M283" s="35" t="n"/>
    </row>
    <row r="284">
      <c r="B284" s="34" t="n"/>
      <c r="C284" s="35" t="n"/>
      <c r="D284" s="35" t="n"/>
      <c r="E284" s="35" t="n"/>
      <c r="F284" s="35" t="n"/>
      <c r="G284" s="35" t="n"/>
      <c r="H284" s="35" t="n"/>
      <c r="I284" s="36" t="n"/>
      <c r="J284" s="37" t="n"/>
      <c r="K284" s="33">
        <f>IF($F284="Schuld",-1,IF($F284="",0,1))</f>
        <v/>
      </c>
      <c r="L284" s="35" t="n"/>
      <c r="M284" s="35" t="n"/>
    </row>
    <row r="285">
      <c r="B285" s="34" t="n"/>
      <c r="C285" s="35" t="n"/>
      <c r="D285" s="35" t="n"/>
      <c r="E285" s="35" t="n"/>
      <c r="F285" s="35" t="n"/>
      <c r="G285" s="35" t="n"/>
      <c r="H285" s="35" t="n"/>
      <c r="I285" s="36" t="n"/>
      <c r="J285" s="37" t="n"/>
      <c r="K285" s="33">
        <f>IF($F285="Schuld",-1,IF($F285="",0,1))</f>
        <v/>
      </c>
      <c r="L285" s="35" t="n"/>
      <c r="M285" s="35" t="n"/>
    </row>
    <row r="286">
      <c r="B286" s="34" t="n"/>
      <c r="C286" s="35" t="n"/>
      <c r="D286" s="35" t="n"/>
      <c r="E286" s="35" t="n"/>
      <c r="F286" s="35" t="n"/>
      <c r="G286" s="35" t="n"/>
      <c r="H286" s="35" t="n"/>
      <c r="I286" s="36" t="n"/>
      <c r="J286" s="37" t="n"/>
      <c r="K286" s="33">
        <f>IF($F286="Schuld",-1,IF($F286="",0,1))</f>
        <v/>
      </c>
      <c r="L286" s="35" t="n"/>
      <c r="M286" s="35" t="n"/>
    </row>
    <row r="287">
      <c r="B287" s="34" t="n"/>
      <c r="C287" s="35" t="n"/>
      <c r="D287" s="35" t="n"/>
      <c r="E287" s="35" t="n"/>
      <c r="F287" s="35" t="n"/>
      <c r="G287" s="35" t="n"/>
      <c r="H287" s="35" t="n"/>
      <c r="I287" s="36" t="n"/>
      <c r="J287" s="37" t="n"/>
      <c r="K287" s="33">
        <f>IF($F287="Schuld",-1,IF($F287="",0,1))</f>
        <v/>
      </c>
      <c r="L287" s="35" t="n"/>
      <c r="M287" s="35" t="n"/>
    </row>
    <row r="288">
      <c r="B288" s="34" t="n"/>
      <c r="C288" s="35" t="n"/>
      <c r="D288" s="35" t="n"/>
      <c r="E288" s="35" t="n"/>
      <c r="F288" s="35" t="n"/>
      <c r="G288" s="35" t="n"/>
      <c r="H288" s="35" t="n"/>
      <c r="I288" s="36" t="n"/>
      <c r="J288" s="37" t="n"/>
      <c r="K288" s="33">
        <f>IF($F288="Schuld",-1,IF($F288="",0,1))</f>
        <v/>
      </c>
      <c r="L288" s="35" t="n"/>
      <c r="M288" s="35" t="n"/>
    </row>
    <row r="289">
      <c r="B289" s="34" t="n"/>
      <c r="C289" s="35" t="n"/>
      <c r="D289" s="35" t="n"/>
      <c r="E289" s="35" t="n"/>
      <c r="F289" s="35" t="n"/>
      <c r="G289" s="35" t="n"/>
      <c r="H289" s="35" t="n"/>
      <c r="I289" s="36" t="n"/>
      <c r="J289" s="37" t="n"/>
      <c r="K289" s="33">
        <f>IF($F289="Schuld",-1,IF($F289="",0,1))</f>
        <v/>
      </c>
      <c r="L289" s="35" t="n"/>
      <c r="M289" s="35" t="n"/>
    </row>
    <row r="290">
      <c r="B290" s="34" t="n"/>
      <c r="C290" s="35" t="n"/>
      <c r="D290" s="35" t="n"/>
      <c r="E290" s="35" t="n"/>
      <c r="F290" s="35" t="n"/>
      <c r="G290" s="35" t="n"/>
      <c r="H290" s="35" t="n"/>
      <c r="I290" s="36" t="n"/>
      <c r="J290" s="37" t="n"/>
      <c r="K290" s="33">
        <f>IF($F290="Schuld",-1,IF($F290="",0,1))</f>
        <v/>
      </c>
      <c r="L290" s="35" t="n"/>
      <c r="M290" s="35" t="n"/>
    </row>
    <row r="291">
      <c r="B291" s="34" t="n"/>
      <c r="C291" s="35" t="n"/>
      <c r="D291" s="35" t="n"/>
      <c r="E291" s="35" t="n"/>
      <c r="F291" s="35" t="n"/>
      <c r="G291" s="35" t="n"/>
      <c r="H291" s="35" t="n"/>
      <c r="I291" s="36" t="n"/>
      <c r="J291" s="37" t="n"/>
      <c r="K291" s="33">
        <f>IF($F291="Schuld",-1,IF($F291="",0,1))</f>
        <v/>
      </c>
      <c r="L291" s="35" t="n"/>
      <c r="M291" s="35" t="n"/>
    </row>
    <row r="292">
      <c r="B292" s="34" t="n"/>
      <c r="C292" s="35" t="n"/>
      <c r="D292" s="35" t="n"/>
      <c r="E292" s="35" t="n"/>
      <c r="F292" s="35" t="n"/>
      <c r="G292" s="35" t="n"/>
      <c r="H292" s="35" t="n"/>
      <c r="I292" s="36" t="n"/>
      <c r="J292" s="37" t="n"/>
      <c r="K292" s="33">
        <f>IF($F292="Schuld",-1,IF($F292="",0,1))</f>
        <v/>
      </c>
      <c r="L292" s="35" t="n"/>
      <c r="M292" s="35" t="n"/>
    </row>
    <row r="293">
      <c r="B293" s="34" t="n"/>
      <c r="C293" s="35" t="n"/>
      <c r="D293" s="35" t="n"/>
      <c r="E293" s="35" t="n"/>
      <c r="F293" s="35" t="n"/>
      <c r="G293" s="35" t="n"/>
      <c r="H293" s="35" t="n"/>
      <c r="I293" s="36" t="n"/>
      <c r="J293" s="37" t="n"/>
      <c r="K293" s="33">
        <f>IF($F293="Schuld",-1,IF($F293="",0,1))</f>
        <v/>
      </c>
      <c r="L293" s="35" t="n"/>
      <c r="M293" s="35" t="n"/>
    </row>
    <row r="294">
      <c r="B294" s="34" t="n"/>
      <c r="C294" s="35" t="n"/>
      <c r="D294" s="35" t="n"/>
      <c r="E294" s="35" t="n"/>
      <c r="F294" s="35" t="n"/>
      <c r="G294" s="35" t="n"/>
      <c r="H294" s="35" t="n"/>
      <c r="I294" s="36" t="n"/>
      <c r="J294" s="37" t="n"/>
      <c r="K294" s="33">
        <f>IF($F294="Schuld",-1,IF($F294="",0,1))</f>
        <v/>
      </c>
      <c r="L294" s="35" t="n"/>
      <c r="M294" s="35" t="n"/>
    </row>
    <row r="295">
      <c r="B295" s="34" t="n"/>
      <c r="C295" s="35" t="n"/>
      <c r="D295" s="35" t="n"/>
      <c r="E295" s="35" t="n"/>
      <c r="F295" s="35" t="n"/>
      <c r="G295" s="35" t="n"/>
      <c r="H295" s="35" t="n"/>
      <c r="I295" s="36" t="n"/>
      <c r="J295" s="37" t="n"/>
      <c r="K295" s="33">
        <f>IF($F295="Schuld",-1,IF($F295="",0,1))</f>
        <v/>
      </c>
      <c r="L295" s="35" t="n"/>
      <c r="M295" s="35" t="n"/>
    </row>
    <row r="296">
      <c r="B296" s="34" t="n"/>
      <c r="C296" s="35" t="n"/>
      <c r="D296" s="35" t="n"/>
      <c r="E296" s="35" t="n"/>
      <c r="F296" s="35" t="n"/>
      <c r="G296" s="35" t="n"/>
      <c r="H296" s="35" t="n"/>
      <c r="I296" s="36" t="n"/>
      <c r="J296" s="37" t="n"/>
      <c r="K296" s="33">
        <f>IF($F296="Schuld",-1,IF($F296="",0,1))</f>
        <v/>
      </c>
      <c r="L296" s="35" t="n"/>
      <c r="M296" s="35" t="n"/>
    </row>
    <row r="297">
      <c r="B297" s="34" t="n"/>
      <c r="C297" s="35" t="n"/>
      <c r="D297" s="35" t="n"/>
      <c r="E297" s="35" t="n"/>
      <c r="F297" s="35" t="n"/>
      <c r="G297" s="35" t="n"/>
      <c r="H297" s="35" t="n"/>
      <c r="I297" s="36" t="n"/>
      <c r="J297" s="37" t="n"/>
      <c r="K297" s="33">
        <f>IF($F297="Schuld",-1,IF($F297="",0,1))</f>
        <v/>
      </c>
      <c r="L297" s="35" t="n"/>
      <c r="M297" s="35" t="n"/>
    </row>
    <row r="298">
      <c r="B298" s="34" t="n"/>
      <c r="C298" s="35" t="n"/>
      <c r="D298" s="35" t="n"/>
      <c r="E298" s="35" t="n"/>
      <c r="F298" s="35" t="n"/>
      <c r="G298" s="35" t="n"/>
      <c r="H298" s="35" t="n"/>
      <c r="I298" s="36" t="n"/>
      <c r="J298" s="37" t="n"/>
      <c r="K298" s="33">
        <f>IF($F298="Schuld",-1,IF($F298="",0,1))</f>
        <v/>
      </c>
      <c r="L298" s="35" t="n"/>
      <c r="M298" s="35" t="n"/>
    </row>
    <row r="299">
      <c r="B299" s="34" t="n"/>
      <c r="C299" s="35" t="n"/>
      <c r="D299" s="35" t="n"/>
      <c r="E299" s="35" t="n"/>
      <c r="F299" s="35" t="n"/>
      <c r="G299" s="35" t="n"/>
      <c r="H299" s="35" t="n"/>
      <c r="I299" s="36" t="n"/>
      <c r="J299" s="37" t="n"/>
      <c r="K299" s="33">
        <f>IF($F299="Schuld",-1,IF($F299="",0,1))</f>
        <v/>
      </c>
      <c r="L299" s="35" t="n"/>
      <c r="M299" s="35" t="n"/>
    </row>
    <row r="300">
      <c r="B300" s="34" t="n"/>
      <c r="C300" s="35" t="n"/>
      <c r="D300" s="35" t="n"/>
      <c r="E300" s="35" t="n"/>
      <c r="F300" s="35" t="n"/>
      <c r="G300" s="35" t="n"/>
      <c r="H300" s="35" t="n"/>
      <c r="I300" s="36" t="n"/>
      <c r="J300" s="37" t="n"/>
      <c r="K300" s="33">
        <f>IF($F300="Schuld",-1,IF($F300="",0,1))</f>
        <v/>
      </c>
      <c r="L300" s="35" t="n"/>
      <c r="M300" s="35" t="n"/>
    </row>
    <row r="301">
      <c r="B301" s="34" t="n"/>
      <c r="C301" s="35" t="n"/>
      <c r="D301" s="35" t="n"/>
      <c r="E301" s="35" t="n"/>
      <c r="F301" s="35" t="n"/>
      <c r="G301" s="35" t="n"/>
      <c r="H301" s="35" t="n"/>
      <c r="I301" s="36" t="n"/>
      <c r="J301" s="37" t="n"/>
      <c r="K301" s="33">
        <f>IF($F301="Schuld",-1,IF($F301="",0,1))</f>
        <v/>
      </c>
      <c r="L301" s="35" t="n"/>
      <c r="M301" s="35" t="n"/>
    </row>
    <row r="302">
      <c r="B302" s="34" t="n"/>
      <c r="C302" s="35" t="n"/>
      <c r="D302" s="35" t="n"/>
      <c r="E302" s="35" t="n"/>
      <c r="F302" s="35" t="n"/>
      <c r="G302" s="35" t="n"/>
      <c r="H302" s="35" t="n"/>
      <c r="I302" s="36" t="n"/>
      <c r="J302" s="37" t="n"/>
      <c r="K302" s="33">
        <f>IF($F302="Schuld",-1,IF($F302="",0,1))</f>
        <v/>
      </c>
      <c r="L302" s="35" t="n"/>
      <c r="M302" s="35" t="n"/>
    </row>
    <row r="303">
      <c r="B303" s="34" t="n"/>
      <c r="C303" s="35" t="n"/>
      <c r="D303" s="35" t="n"/>
      <c r="E303" s="35" t="n"/>
      <c r="F303" s="35" t="n"/>
      <c r="G303" s="35" t="n"/>
      <c r="H303" s="35" t="n"/>
      <c r="I303" s="36" t="n"/>
      <c r="J303" s="37" t="n"/>
      <c r="K303" s="33">
        <f>IF($F303="Schuld",-1,IF($F303="",0,1))</f>
        <v/>
      </c>
      <c r="L303" s="35" t="n"/>
      <c r="M303" s="35" t="n"/>
    </row>
    <row r="304">
      <c r="B304" s="34" t="n"/>
      <c r="C304" s="35" t="n"/>
      <c r="D304" s="35" t="n"/>
      <c r="E304" s="35" t="n"/>
      <c r="F304" s="35" t="n"/>
      <c r="G304" s="35" t="n"/>
      <c r="H304" s="35" t="n"/>
      <c r="I304" s="36" t="n"/>
      <c r="J304" s="37" t="n"/>
      <c r="K304" s="33">
        <f>IF($F304="Schuld",-1,IF($F304="",0,1))</f>
        <v/>
      </c>
      <c r="L304" s="35" t="n"/>
      <c r="M304" s="35" t="n"/>
    </row>
    <row r="305">
      <c r="B305" s="34" t="n"/>
      <c r="C305" s="35" t="n"/>
      <c r="D305" s="35" t="n"/>
      <c r="E305" s="35" t="n"/>
      <c r="F305" s="35" t="n"/>
      <c r="G305" s="35" t="n"/>
      <c r="H305" s="35" t="n"/>
      <c r="I305" s="36" t="n"/>
      <c r="J305" s="37" t="n"/>
      <c r="K305" s="33">
        <f>IF($F305="Schuld",-1,IF($F305="",0,1))</f>
        <v/>
      </c>
      <c r="L305" s="35" t="n"/>
      <c r="M305" s="35" t="n"/>
    </row>
    <row r="306">
      <c r="B306" s="34" t="n"/>
      <c r="C306" s="35" t="n"/>
      <c r="D306" s="35" t="n"/>
      <c r="E306" s="35" t="n"/>
      <c r="F306" s="35" t="n"/>
      <c r="G306" s="35" t="n"/>
      <c r="H306" s="35" t="n"/>
      <c r="I306" s="36" t="n"/>
      <c r="J306" s="37" t="n"/>
      <c r="K306" s="33">
        <f>IF($F306="Schuld",-1,IF($F306="",0,1))</f>
        <v/>
      </c>
      <c r="L306" s="35" t="n"/>
      <c r="M306" s="35" t="n"/>
    </row>
    <row r="307">
      <c r="B307" s="34" t="n"/>
      <c r="C307" s="35" t="n"/>
      <c r="D307" s="35" t="n"/>
      <c r="E307" s="35" t="n"/>
      <c r="F307" s="35" t="n"/>
      <c r="G307" s="35" t="n"/>
      <c r="H307" s="35" t="n"/>
      <c r="I307" s="36" t="n"/>
      <c r="J307" s="37" t="n"/>
      <c r="K307" s="33">
        <f>IF($F307="Schuld",-1,IF($F307="",0,1))</f>
        <v/>
      </c>
      <c r="L307" s="35" t="n"/>
      <c r="M307" s="35" t="n"/>
    </row>
    <row r="308">
      <c r="B308" s="34" t="n"/>
      <c r="C308" s="35" t="n"/>
      <c r="D308" s="35" t="n"/>
      <c r="E308" s="35" t="n"/>
      <c r="F308" s="35" t="n"/>
      <c r="G308" s="35" t="n"/>
      <c r="H308" s="35" t="n"/>
      <c r="I308" s="36" t="n"/>
      <c r="J308" s="37" t="n"/>
      <c r="K308" s="33">
        <f>IF($F308="Schuld",-1,IF($F308="",0,1))</f>
        <v/>
      </c>
      <c r="L308" s="35" t="n"/>
      <c r="M308" s="35" t="n"/>
    </row>
    <row r="309">
      <c r="B309" s="34" t="n"/>
      <c r="C309" s="35" t="n"/>
      <c r="D309" s="35" t="n"/>
      <c r="E309" s="35" t="n"/>
      <c r="F309" s="35" t="n"/>
      <c r="G309" s="35" t="n"/>
      <c r="H309" s="35" t="n"/>
      <c r="I309" s="36" t="n"/>
      <c r="J309" s="37" t="n"/>
      <c r="K309" s="33">
        <f>IF($F309="Schuld",-1,IF($F309="",0,1))</f>
        <v/>
      </c>
      <c r="L309" s="35" t="n"/>
      <c r="M309" s="35" t="n"/>
    </row>
    <row r="310">
      <c r="B310" s="34" t="n"/>
      <c r="C310" s="35" t="n"/>
      <c r="D310" s="35" t="n"/>
      <c r="E310" s="35" t="n"/>
      <c r="F310" s="35" t="n"/>
      <c r="G310" s="35" t="n"/>
      <c r="H310" s="35" t="n"/>
      <c r="I310" s="36" t="n"/>
      <c r="J310" s="37" t="n"/>
      <c r="K310" s="33">
        <f>IF($F310="Schuld",-1,IF($F310="",0,1))</f>
        <v/>
      </c>
      <c r="L310" s="35" t="n"/>
      <c r="M310" s="35" t="n"/>
    </row>
    <row r="311">
      <c r="B311" s="34" t="n"/>
      <c r="C311" s="35" t="n"/>
      <c r="D311" s="35" t="n"/>
      <c r="E311" s="35" t="n"/>
      <c r="F311" s="35" t="n"/>
      <c r="G311" s="35" t="n"/>
      <c r="H311" s="35" t="n"/>
      <c r="I311" s="36" t="n"/>
      <c r="J311" s="37" t="n"/>
      <c r="K311" s="33">
        <f>IF($F311="Schuld",-1,IF($F311="",0,1))</f>
        <v/>
      </c>
      <c r="L311" s="35" t="n"/>
      <c r="M311" s="35" t="n"/>
    </row>
    <row r="312">
      <c r="B312" s="34" t="n"/>
      <c r="C312" s="35" t="n"/>
      <c r="D312" s="35" t="n"/>
      <c r="E312" s="35" t="n"/>
      <c r="F312" s="35" t="n"/>
      <c r="G312" s="35" t="n"/>
      <c r="H312" s="35" t="n"/>
      <c r="I312" s="36" t="n"/>
      <c r="J312" s="37" t="n"/>
      <c r="K312" s="33">
        <f>IF($F312="Schuld",-1,IF($F312="",0,1))</f>
        <v/>
      </c>
      <c r="L312" s="35" t="n"/>
      <c r="M312" s="35" t="n"/>
    </row>
    <row r="313">
      <c r="B313" s="34" t="n"/>
      <c r="C313" s="35" t="n"/>
      <c r="D313" s="35" t="n"/>
      <c r="E313" s="35" t="n"/>
      <c r="F313" s="35" t="n"/>
      <c r="G313" s="35" t="n"/>
      <c r="H313" s="35" t="n"/>
      <c r="I313" s="36" t="n"/>
      <c r="J313" s="37" t="n"/>
      <c r="K313" s="33">
        <f>IF($F313="Schuld",-1,IF($F313="",0,1))</f>
        <v/>
      </c>
      <c r="L313" s="35" t="n"/>
      <c r="M313" s="35" t="n"/>
    </row>
    <row r="314">
      <c r="B314" s="34" t="n"/>
      <c r="C314" s="35" t="n"/>
      <c r="D314" s="35" t="n"/>
      <c r="E314" s="35" t="n"/>
      <c r="F314" s="35" t="n"/>
      <c r="G314" s="35" t="n"/>
      <c r="H314" s="35" t="n"/>
      <c r="I314" s="36" t="n"/>
      <c r="J314" s="37" t="n"/>
      <c r="K314" s="33">
        <f>IF($F314="Schuld",-1,IF($F314="",0,1))</f>
        <v/>
      </c>
      <c r="L314" s="35" t="n"/>
      <c r="M314" s="35" t="n"/>
    </row>
    <row r="315">
      <c r="B315" s="34" t="n"/>
      <c r="C315" s="35" t="n"/>
      <c r="D315" s="35" t="n"/>
      <c r="E315" s="35" t="n"/>
      <c r="F315" s="35" t="n"/>
      <c r="G315" s="35" t="n"/>
      <c r="H315" s="35" t="n"/>
      <c r="I315" s="36" t="n"/>
      <c r="J315" s="37" t="n"/>
      <c r="K315" s="33">
        <f>IF($F315="Schuld",-1,IF($F315="",0,1))</f>
        <v/>
      </c>
      <c r="L315" s="35" t="n"/>
      <c r="M315" s="35" t="n"/>
    </row>
    <row r="316">
      <c r="B316" s="34" t="n"/>
      <c r="C316" s="35" t="n"/>
      <c r="D316" s="35" t="n"/>
      <c r="E316" s="35" t="n"/>
      <c r="F316" s="35" t="n"/>
      <c r="G316" s="35" t="n"/>
      <c r="H316" s="35" t="n"/>
      <c r="I316" s="36" t="n"/>
      <c r="J316" s="37" t="n"/>
      <c r="K316" s="33">
        <f>IF($F316="Schuld",-1,IF($F316="",0,1))</f>
        <v/>
      </c>
      <c r="L316" s="35" t="n"/>
      <c r="M316" s="35" t="n"/>
    </row>
    <row r="317">
      <c r="B317" s="34" t="n"/>
      <c r="C317" s="35" t="n"/>
      <c r="D317" s="35" t="n"/>
      <c r="E317" s="35" t="n"/>
      <c r="F317" s="35" t="n"/>
      <c r="G317" s="35" t="n"/>
      <c r="H317" s="35" t="n"/>
      <c r="I317" s="36" t="n"/>
      <c r="J317" s="37" t="n"/>
      <c r="K317" s="33">
        <f>IF($F317="Schuld",-1,IF($F317="",0,1))</f>
        <v/>
      </c>
      <c r="L317" s="35" t="n"/>
      <c r="M317" s="35" t="n"/>
    </row>
    <row r="318">
      <c r="B318" s="34" t="n"/>
      <c r="C318" s="35" t="n"/>
      <c r="D318" s="35" t="n"/>
      <c r="E318" s="35" t="n"/>
      <c r="F318" s="35" t="n"/>
      <c r="G318" s="35" t="n"/>
      <c r="H318" s="35" t="n"/>
      <c r="I318" s="36" t="n"/>
      <c r="J318" s="37" t="n"/>
      <c r="K318" s="33">
        <f>IF($F318="Schuld",-1,IF($F318="",0,1))</f>
        <v/>
      </c>
      <c r="L318" s="35" t="n"/>
      <c r="M318" s="35" t="n"/>
    </row>
    <row r="319">
      <c r="B319" s="34" t="n"/>
      <c r="C319" s="35" t="n"/>
      <c r="D319" s="35" t="n"/>
      <c r="E319" s="35" t="n"/>
      <c r="F319" s="35" t="n"/>
      <c r="G319" s="35" t="n"/>
      <c r="H319" s="35" t="n"/>
      <c r="I319" s="36" t="n"/>
      <c r="J319" s="37" t="n"/>
      <c r="K319" s="33">
        <f>IF($F319="Schuld",-1,IF($F319="",0,1))</f>
        <v/>
      </c>
      <c r="L319" s="35" t="n"/>
      <c r="M319" s="35" t="n"/>
    </row>
    <row r="320">
      <c r="B320" s="34" t="n"/>
      <c r="C320" s="35" t="n"/>
      <c r="D320" s="35" t="n"/>
      <c r="E320" s="35" t="n"/>
      <c r="F320" s="35" t="n"/>
      <c r="G320" s="35" t="n"/>
      <c r="H320" s="35" t="n"/>
      <c r="I320" s="36" t="n"/>
      <c r="J320" s="37" t="n"/>
      <c r="K320" s="33">
        <f>IF($F320="Schuld",-1,IF($F320="",0,1))</f>
        <v/>
      </c>
      <c r="L320" s="35" t="n"/>
      <c r="M320" s="35" t="n"/>
    </row>
    <row r="321">
      <c r="B321" s="34" t="n"/>
      <c r="C321" s="35" t="n"/>
      <c r="D321" s="35" t="n"/>
      <c r="E321" s="35" t="n"/>
      <c r="F321" s="35" t="n"/>
      <c r="G321" s="35" t="n"/>
      <c r="H321" s="35" t="n"/>
      <c r="I321" s="36" t="n"/>
      <c r="J321" s="37" t="n"/>
      <c r="K321" s="33">
        <f>IF($F321="Schuld",-1,IF($F321="",0,1))</f>
        <v/>
      </c>
      <c r="L321" s="35" t="n"/>
      <c r="M321" s="35" t="n"/>
    </row>
    <row r="322">
      <c r="B322" s="34" t="n"/>
      <c r="C322" s="35" t="n"/>
      <c r="D322" s="35" t="n"/>
      <c r="E322" s="35" t="n"/>
      <c r="F322" s="35" t="n"/>
      <c r="G322" s="35" t="n"/>
      <c r="H322" s="35" t="n"/>
      <c r="I322" s="36" t="n"/>
      <c r="J322" s="37" t="n"/>
      <c r="K322" s="33">
        <f>IF($F322="Schuld",-1,IF($F322="",0,1))</f>
        <v/>
      </c>
      <c r="L322" s="35" t="n"/>
      <c r="M322" s="35" t="n"/>
    </row>
    <row r="323">
      <c r="B323" s="34" t="n"/>
      <c r="C323" s="35" t="n"/>
      <c r="D323" s="35" t="n"/>
      <c r="E323" s="35" t="n"/>
      <c r="F323" s="35" t="n"/>
      <c r="G323" s="35" t="n"/>
      <c r="H323" s="35" t="n"/>
      <c r="I323" s="36" t="n"/>
      <c r="J323" s="37" t="n"/>
      <c r="K323" s="33">
        <f>IF($F323="Schuld",-1,IF($F323="",0,1))</f>
        <v/>
      </c>
      <c r="L323" s="35" t="n"/>
      <c r="M323" s="35" t="n"/>
    </row>
    <row r="324">
      <c r="B324" s="34" t="n"/>
      <c r="C324" s="35" t="n"/>
      <c r="D324" s="35" t="n"/>
      <c r="E324" s="35" t="n"/>
      <c r="F324" s="35" t="n"/>
      <c r="G324" s="35" t="n"/>
      <c r="H324" s="35" t="n"/>
      <c r="I324" s="36" t="n"/>
      <c r="J324" s="37" t="n"/>
      <c r="K324" s="33">
        <f>IF($F324="Schuld",-1,IF($F324="",0,1))</f>
        <v/>
      </c>
      <c r="L324" s="35" t="n"/>
      <c r="M324" s="35" t="n"/>
    </row>
    <row r="325">
      <c r="B325" s="34" t="n"/>
      <c r="C325" s="35" t="n"/>
      <c r="D325" s="35" t="n"/>
      <c r="E325" s="35" t="n"/>
      <c r="F325" s="35" t="n"/>
      <c r="G325" s="35" t="n"/>
      <c r="H325" s="35" t="n"/>
      <c r="I325" s="36" t="n"/>
      <c r="J325" s="37" t="n"/>
      <c r="K325" s="33">
        <f>IF($F325="Schuld",-1,IF($F325="",0,1))</f>
        <v/>
      </c>
      <c r="L325" s="35" t="n"/>
      <c r="M325" s="35" t="n"/>
    </row>
    <row r="326">
      <c r="B326" s="34" t="n"/>
      <c r="C326" s="35" t="n"/>
      <c r="D326" s="35" t="n"/>
      <c r="E326" s="35" t="n"/>
      <c r="F326" s="35" t="n"/>
      <c r="G326" s="35" t="n"/>
      <c r="H326" s="35" t="n"/>
      <c r="I326" s="36" t="n"/>
      <c r="J326" s="37" t="n"/>
      <c r="K326" s="33">
        <f>IF($F326="Schuld",-1,IF($F326="",0,1))</f>
        <v/>
      </c>
      <c r="L326" s="35" t="n"/>
      <c r="M326" s="35" t="n"/>
    </row>
    <row r="327">
      <c r="B327" s="34" t="n"/>
      <c r="C327" s="35" t="n"/>
      <c r="D327" s="35" t="n"/>
      <c r="E327" s="35" t="n"/>
      <c r="F327" s="35" t="n"/>
      <c r="G327" s="35" t="n"/>
      <c r="H327" s="35" t="n"/>
      <c r="I327" s="36" t="n"/>
      <c r="J327" s="37" t="n"/>
      <c r="K327" s="33">
        <f>IF($F327="Schuld",-1,IF($F327="",0,1))</f>
        <v/>
      </c>
      <c r="L327" s="35" t="n"/>
      <c r="M327" s="35" t="n"/>
    </row>
    <row r="328">
      <c r="B328" s="34" t="n"/>
      <c r="C328" s="35" t="n"/>
      <c r="D328" s="35" t="n"/>
      <c r="E328" s="35" t="n"/>
      <c r="F328" s="35" t="n"/>
      <c r="G328" s="35" t="n"/>
      <c r="H328" s="35" t="n"/>
      <c r="I328" s="36" t="n"/>
      <c r="J328" s="37" t="n"/>
      <c r="K328" s="33">
        <f>IF($F328="Schuld",-1,IF($F328="",0,1))</f>
        <v/>
      </c>
      <c r="L328" s="35" t="n"/>
      <c r="M328" s="35" t="n"/>
    </row>
    <row r="329">
      <c r="B329" s="34" t="n"/>
      <c r="C329" s="35" t="n"/>
      <c r="D329" s="35" t="n"/>
      <c r="E329" s="35" t="n"/>
      <c r="F329" s="35" t="n"/>
      <c r="G329" s="35" t="n"/>
      <c r="H329" s="35" t="n"/>
      <c r="I329" s="36" t="n"/>
      <c r="J329" s="37" t="n"/>
      <c r="K329" s="33">
        <f>IF($F329="Schuld",-1,IF($F329="",0,1))</f>
        <v/>
      </c>
      <c r="L329" s="35" t="n"/>
      <c r="M329" s="35" t="n"/>
    </row>
    <row r="330">
      <c r="B330" s="34" t="n"/>
      <c r="C330" s="35" t="n"/>
      <c r="D330" s="35" t="n"/>
      <c r="E330" s="35" t="n"/>
      <c r="F330" s="35" t="n"/>
      <c r="G330" s="35" t="n"/>
      <c r="H330" s="35" t="n"/>
      <c r="I330" s="36" t="n"/>
      <c r="J330" s="37" t="n"/>
      <c r="K330" s="33">
        <f>IF($F330="Schuld",-1,IF($F330="",0,1))</f>
        <v/>
      </c>
      <c r="L330" s="35" t="n"/>
      <c r="M330" s="35" t="n"/>
    </row>
    <row r="331">
      <c r="B331" s="34" t="n"/>
      <c r="C331" s="35" t="n"/>
      <c r="D331" s="35" t="n"/>
      <c r="E331" s="35" t="n"/>
      <c r="F331" s="35" t="n"/>
      <c r="G331" s="35" t="n"/>
      <c r="H331" s="35" t="n"/>
      <c r="I331" s="36" t="n"/>
      <c r="J331" s="37" t="n"/>
      <c r="K331" s="33">
        <f>IF($F331="Schuld",-1,IF($F331="",0,1))</f>
        <v/>
      </c>
      <c r="L331" s="35" t="n"/>
      <c r="M331" s="35" t="n"/>
    </row>
    <row r="332">
      <c r="B332" s="34" t="n"/>
      <c r="C332" s="35" t="n"/>
      <c r="D332" s="35" t="n"/>
      <c r="E332" s="35" t="n"/>
      <c r="F332" s="35" t="n"/>
      <c r="G332" s="35" t="n"/>
      <c r="H332" s="35" t="n"/>
      <c r="I332" s="36" t="n"/>
      <c r="J332" s="37" t="n"/>
      <c r="K332" s="33">
        <f>IF($F332="Schuld",-1,IF($F332="",0,1))</f>
        <v/>
      </c>
      <c r="L332" s="35" t="n"/>
      <c r="M332" s="35" t="n"/>
    </row>
    <row r="333">
      <c r="B333" s="34" t="n"/>
      <c r="C333" s="35" t="n"/>
      <c r="D333" s="35" t="n"/>
      <c r="E333" s="35" t="n"/>
      <c r="F333" s="35" t="n"/>
      <c r="G333" s="35" t="n"/>
      <c r="H333" s="35" t="n"/>
      <c r="I333" s="36" t="n"/>
      <c r="J333" s="37" t="n"/>
      <c r="K333" s="33">
        <f>IF($F333="Schuld",-1,IF($F333="",0,1))</f>
        <v/>
      </c>
      <c r="L333" s="35" t="n"/>
      <c r="M333" s="35" t="n"/>
    </row>
    <row r="334">
      <c r="B334" s="34" t="n"/>
      <c r="C334" s="35" t="n"/>
      <c r="D334" s="35" t="n"/>
      <c r="E334" s="35" t="n"/>
      <c r="F334" s="35" t="n"/>
      <c r="G334" s="35" t="n"/>
      <c r="H334" s="35" t="n"/>
      <c r="I334" s="36" t="n"/>
      <c r="J334" s="37" t="n"/>
      <c r="K334" s="33">
        <f>IF($F334="Schuld",-1,IF($F334="",0,1))</f>
        <v/>
      </c>
      <c r="L334" s="35" t="n"/>
      <c r="M334" s="35" t="n"/>
    </row>
    <row r="335">
      <c r="B335" s="34" t="n"/>
      <c r="C335" s="35" t="n"/>
      <c r="D335" s="35" t="n"/>
      <c r="E335" s="35" t="n"/>
      <c r="F335" s="35" t="n"/>
      <c r="G335" s="35" t="n"/>
      <c r="H335" s="35" t="n"/>
      <c r="I335" s="36" t="n"/>
      <c r="J335" s="37" t="n"/>
      <c r="K335" s="33">
        <f>IF($F335="Schuld",-1,IF($F335="",0,1))</f>
        <v/>
      </c>
      <c r="L335" s="35" t="n"/>
      <c r="M335" s="35" t="n"/>
    </row>
    <row r="336">
      <c r="B336" s="34" t="n"/>
      <c r="C336" s="35" t="n"/>
      <c r="D336" s="35" t="n"/>
      <c r="E336" s="35" t="n"/>
      <c r="F336" s="35" t="n"/>
      <c r="G336" s="35" t="n"/>
      <c r="H336" s="35" t="n"/>
      <c r="I336" s="36" t="n"/>
      <c r="J336" s="37" t="n"/>
      <c r="K336" s="33">
        <f>IF($F336="Schuld",-1,IF($F336="",0,1))</f>
        <v/>
      </c>
      <c r="L336" s="35" t="n"/>
      <c r="M336" s="35" t="n"/>
    </row>
    <row r="337">
      <c r="B337" s="34" t="n"/>
      <c r="C337" s="35" t="n"/>
      <c r="D337" s="35" t="n"/>
      <c r="E337" s="35" t="n"/>
      <c r="F337" s="35" t="n"/>
      <c r="G337" s="35" t="n"/>
      <c r="H337" s="35" t="n"/>
      <c r="I337" s="36" t="n"/>
      <c r="J337" s="37" t="n"/>
      <c r="K337" s="33">
        <f>IF($F337="Schuld",-1,IF($F337="",0,1))</f>
        <v/>
      </c>
      <c r="L337" s="35" t="n"/>
      <c r="M337" s="35" t="n"/>
    </row>
    <row r="338">
      <c r="B338" s="34" t="n"/>
      <c r="C338" s="35" t="n"/>
      <c r="D338" s="35" t="n"/>
      <c r="E338" s="35" t="n"/>
      <c r="F338" s="35" t="n"/>
      <c r="G338" s="35" t="n"/>
      <c r="H338" s="35" t="n"/>
      <c r="I338" s="36" t="n"/>
      <c r="J338" s="37" t="n"/>
      <c r="K338" s="33">
        <f>IF($F338="Schuld",-1,IF($F338="",0,1))</f>
        <v/>
      </c>
      <c r="L338" s="35" t="n"/>
      <c r="M338" s="35" t="n"/>
    </row>
    <row r="339">
      <c r="B339" s="34" t="n"/>
      <c r="C339" s="35" t="n"/>
      <c r="D339" s="35" t="n"/>
      <c r="E339" s="35" t="n"/>
      <c r="F339" s="35" t="n"/>
      <c r="G339" s="35" t="n"/>
      <c r="H339" s="35" t="n"/>
      <c r="I339" s="36" t="n"/>
      <c r="J339" s="37" t="n"/>
      <c r="K339" s="33">
        <f>IF($F339="Schuld",-1,IF($F339="",0,1))</f>
        <v/>
      </c>
      <c r="L339" s="35" t="n"/>
      <c r="M339" s="35" t="n"/>
    </row>
    <row r="340">
      <c r="B340" s="34" t="n"/>
      <c r="C340" s="35" t="n"/>
      <c r="D340" s="35" t="n"/>
      <c r="E340" s="35" t="n"/>
      <c r="F340" s="35" t="n"/>
      <c r="G340" s="35" t="n"/>
      <c r="H340" s="35" t="n"/>
      <c r="I340" s="36" t="n"/>
      <c r="J340" s="37" t="n"/>
      <c r="K340" s="33">
        <f>IF($F340="Schuld",-1,IF($F340="",0,1))</f>
        <v/>
      </c>
      <c r="L340" s="35" t="n"/>
      <c r="M340" s="35" t="n"/>
    </row>
    <row r="341">
      <c r="B341" s="34" t="n"/>
      <c r="C341" s="35" t="n"/>
      <c r="D341" s="35" t="n"/>
      <c r="E341" s="35" t="n"/>
      <c r="F341" s="35" t="n"/>
      <c r="G341" s="35" t="n"/>
      <c r="H341" s="35" t="n"/>
      <c r="I341" s="36" t="n"/>
      <c r="J341" s="37" t="n"/>
      <c r="K341" s="33">
        <f>IF($F341="Schuld",-1,IF($F341="",0,1))</f>
        <v/>
      </c>
      <c r="L341" s="35" t="n"/>
      <c r="M341" s="35" t="n"/>
    </row>
    <row r="342">
      <c r="B342" s="34" t="n"/>
      <c r="C342" s="35" t="n"/>
      <c r="D342" s="35" t="n"/>
      <c r="E342" s="35" t="n"/>
      <c r="F342" s="35" t="n"/>
      <c r="G342" s="35" t="n"/>
      <c r="H342" s="35" t="n"/>
      <c r="I342" s="36" t="n"/>
      <c r="J342" s="37" t="n"/>
      <c r="K342" s="33">
        <f>IF($F342="Schuld",-1,IF($F342="",0,1))</f>
        <v/>
      </c>
      <c r="L342" s="35" t="n"/>
      <c r="M342" s="35" t="n"/>
    </row>
    <row r="343">
      <c r="B343" s="34" t="n"/>
      <c r="C343" s="35" t="n"/>
      <c r="D343" s="35" t="n"/>
      <c r="E343" s="35" t="n"/>
      <c r="F343" s="35" t="n"/>
      <c r="G343" s="35" t="n"/>
      <c r="H343" s="35" t="n"/>
      <c r="I343" s="36" t="n"/>
      <c r="J343" s="37" t="n"/>
      <c r="K343" s="33">
        <f>IF($F343="Schuld",-1,IF($F343="",0,1))</f>
        <v/>
      </c>
      <c r="L343" s="35" t="n"/>
      <c r="M343" s="35" t="n"/>
    </row>
    <row r="344">
      <c r="B344" s="34" t="n"/>
      <c r="C344" s="35" t="n"/>
      <c r="D344" s="35" t="n"/>
      <c r="E344" s="35" t="n"/>
      <c r="F344" s="35" t="n"/>
      <c r="G344" s="35" t="n"/>
      <c r="H344" s="35" t="n"/>
      <c r="I344" s="36" t="n"/>
      <c r="J344" s="37" t="n"/>
      <c r="K344" s="33">
        <f>IF($F344="Schuld",-1,IF($F344="",0,1))</f>
        <v/>
      </c>
      <c r="L344" s="35" t="n"/>
      <c r="M344" s="35" t="n"/>
    </row>
    <row r="345">
      <c r="B345" s="34" t="n"/>
      <c r="C345" s="35" t="n"/>
      <c r="D345" s="35" t="n"/>
      <c r="E345" s="35" t="n"/>
      <c r="F345" s="35" t="n"/>
      <c r="G345" s="35" t="n"/>
      <c r="H345" s="35" t="n"/>
      <c r="I345" s="36" t="n"/>
      <c r="J345" s="37" t="n"/>
      <c r="K345" s="33">
        <f>IF($F345="Schuld",-1,IF($F345="",0,1))</f>
        <v/>
      </c>
      <c r="L345" s="35" t="n"/>
      <c r="M345" s="35" t="n"/>
    </row>
    <row r="346">
      <c r="B346" s="34" t="n"/>
      <c r="C346" s="35" t="n"/>
      <c r="D346" s="35" t="n"/>
      <c r="E346" s="35" t="n"/>
      <c r="F346" s="35" t="n"/>
      <c r="G346" s="35" t="n"/>
      <c r="H346" s="35" t="n"/>
      <c r="I346" s="36" t="n"/>
      <c r="J346" s="37" t="n"/>
      <c r="K346" s="33">
        <f>IF($F346="Schuld",-1,IF($F346="",0,1))</f>
        <v/>
      </c>
      <c r="L346" s="35" t="n"/>
      <c r="M346" s="35" t="n"/>
    </row>
    <row r="347">
      <c r="B347" s="34" t="n"/>
      <c r="C347" s="35" t="n"/>
      <c r="D347" s="35" t="n"/>
      <c r="E347" s="35" t="n"/>
      <c r="F347" s="35" t="n"/>
      <c r="G347" s="35" t="n"/>
      <c r="H347" s="35" t="n"/>
      <c r="I347" s="36" t="n"/>
      <c r="J347" s="37" t="n"/>
      <c r="K347" s="33">
        <f>IF($F347="Schuld",-1,IF($F347="",0,1))</f>
        <v/>
      </c>
      <c r="L347" s="35" t="n"/>
      <c r="M347" s="35" t="n"/>
    </row>
    <row r="348">
      <c r="B348" s="34" t="n"/>
      <c r="C348" s="35" t="n"/>
      <c r="D348" s="35" t="n"/>
      <c r="E348" s="35" t="n"/>
      <c r="F348" s="35" t="n"/>
      <c r="G348" s="35" t="n"/>
      <c r="H348" s="35" t="n"/>
      <c r="I348" s="36" t="n"/>
      <c r="J348" s="37" t="n"/>
      <c r="K348" s="33">
        <f>IF($F348="Schuld",-1,IF($F348="",0,1))</f>
        <v/>
      </c>
      <c r="L348" s="35" t="n"/>
      <c r="M348" s="35" t="n"/>
    </row>
    <row r="349">
      <c r="B349" s="34" t="n"/>
      <c r="C349" s="35" t="n"/>
      <c r="D349" s="35" t="n"/>
      <c r="E349" s="35" t="n"/>
      <c r="F349" s="35" t="n"/>
      <c r="G349" s="35" t="n"/>
      <c r="H349" s="35" t="n"/>
      <c r="I349" s="36" t="n"/>
      <c r="J349" s="37" t="n"/>
      <c r="K349" s="33">
        <f>IF($F349="Schuld",-1,IF($F349="",0,1))</f>
        <v/>
      </c>
      <c r="L349" s="35" t="n"/>
      <c r="M349" s="35" t="n"/>
    </row>
    <row r="350">
      <c r="B350" s="34" t="n"/>
      <c r="C350" s="35" t="n"/>
      <c r="D350" s="35" t="n"/>
      <c r="E350" s="35" t="n"/>
      <c r="F350" s="35" t="n"/>
      <c r="G350" s="35" t="n"/>
      <c r="H350" s="35" t="n"/>
      <c r="I350" s="36" t="n"/>
      <c r="J350" s="37" t="n"/>
      <c r="K350" s="33">
        <f>IF($F350="Schuld",-1,IF($F350="",0,1))</f>
        <v/>
      </c>
      <c r="L350" s="35" t="n"/>
      <c r="M350" s="35" t="n"/>
    </row>
    <row r="351">
      <c r="B351" s="34" t="n"/>
      <c r="C351" s="35" t="n"/>
      <c r="D351" s="35" t="n"/>
      <c r="E351" s="35" t="n"/>
      <c r="F351" s="35" t="n"/>
      <c r="G351" s="35" t="n"/>
      <c r="H351" s="35" t="n"/>
      <c r="I351" s="36" t="n"/>
      <c r="J351" s="37" t="n"/>
      <c r="K351" s="33">
        <f>IF($F351="Schuld",-1,IF($F351="",0,1))</f>
        <v/>
      </c>
      <c r="L351" s="35" t="n"/>
      <c r="M351" s="35" t="n"/>
    </row>
    <row r="352">
      <c r="B352" s="34" t="n"/>
      <c r="C352" s="35" t="n"/>
      <c r="D352" s="35" t="n"/>
      <c r="E352" s="35" t="n"/>
      <c r="F352" s="35" t="n"/>
      <c r="G352" s="35" t="n"/>
      <c r="H352" s="35" t="n"/>
      <c r="I352" s="36" t="n"/>
      <c r="J352" s="37" t="n"/>
      <c r="K352" s="33">
        <f>IF($F352="Schuld",-1,IF($F352="",0,1))</f>
        <v/>
      </c>
      <c r="L352" s="35" t="n"/>
      <c r="M352" s="35" t="n"/>
    </row>
    <row r="353">
      <c r="B353" s="34" t="n"/>
      <c r="C353" s="35" t="n"/>
      <c r="D353" s="35" t="n"/>
      <c r="E353" s="35" t="n"/>
      <c r="F353" s="35" t="n"/>
      <c r="G353" s="35" t="n"/>
      <c r="H353" s="35" t="n"/>
      <c r="I353" s="36" t="n"/>
      <c r="J353" s="37" t="n"/>
      <c r="K353" s="33">
        <f>IF($F353="Schuld",-1,IF($F353="",0,1))</f>
        <v/>
      </c>
      <c r="L353" s="35" t="n"/>
      <c r="M353" s="35" t="n"/>
    </row>
    <row r="354">
      <c r="B354" s="34" t="n"/>
      <c r="C354" s="35" t="n"/>
      <c r="D354" s="35" t="n"/>
      <c r="E354" s="35" t="n"/>
      <c r="F354" s="35" t="n"/>
      <c r="G354" s="35" t="n"/>
      <c r="H354" s="35" t="n"/>
      <c r="I354" s="36" t="n"/>
      <c r="J354" s="37" t="n"/>
      <c r="K354" s="33">
        <f>IF($F354="Schuld",-1,IF($F354="",0,1))</f>
        <v/>
      </c>
      <c r="L354" s="35" t="n"/>
      <c r="M354" s="35" t="n"/>
    </row>
    <row r="355">
      <c r="B355" s="34" t="n"/>
      <c r="C355" s="35" t="n"/>
      <c r="D355" s="35" t="n"/>
      <c r="E355" s="35" t="n"/>
      <c r="F355" s="35" t="n"/>
      <c r="G355" s="35" t="n"/>
      <c r="H355" s="35" t="n"/>
      <c r="I355" s="36" t="n"/>
      <c r="J355" s="37" t="n"/>
      <c r="K355" s="33">
        <f>IF($F355="Schuld",-1,IF($F355="",0,1))</f>
        <v/>
      </c>
      <c r="L355" s="35" t="n"/>
      <c r="M355" s="35" t="n"/>
    </row>
    <row r="356">
      <c r="B356" s="34" t="n"/>
      <c r="C356" s="35" t="n"/>
      <c r="D356" s="35" t="n"/>
      <c r="E356" s="35" t="n"/>
      <c r="F356" s="35" t="n"/>
      <c r="G356" s="35" t="n"/>
      <c r="H356" s="35" t="n"/>
      <c r="I356" s="36" t="n"/>
      <c r="J356" s="37" t="n"/>
      <c r="K356" s="33">
        <f>IF($F356="Schuld",-1,IF($F356="",0,1))</f>
        <v/>
      </c>
      <c r="L356" s="35" t="n"/>
      <c r="M356" s="35" t="n"/>
    </row>
    <row r="357">
      <c r="B357" s="34" t="n"/>
      <c r="C357" s="35" t="n"/>
      <c r="D357" s="35" t="n"/>
      <c r="E357" s="35" t="n"/>
      <c r="F357" s="35" t="n"/>
      <c r="G357" s="35" t="n"/>
      <c r="H357" s="35" t="n"/>
      <c r="I357" s="36" t="n"/>
      <c r="J357" s="37" t="n"/>
      <c r="K357" s="33">
        <f>IF($F357="Schuld",-1,IF($F357="",0,1))</f>
        <v/>
      </c>
      <c r="L357" s="35" t="n"/>
      <c r="M357" s="35" t="n"/>
    </row>
    <row r="358">
      <c r="B358" s="34" t="n"/>
      <c r="C358" s="35" t="n"/>
      <c r="D358" s="35" t="n"/>
      <c r="E358" s="35" t="n"/>
      <c r="F358" s="35" t="n"/>
      <c r="G358" s="35" t="n"/>
      <c r="H358" s="35" t="n"/>
      <c r="I358" s="36" t="n"/>
      <c r="J358" s="37" t="n"/>
      <c r="K358" s="33">
        <f>IF($F358="Schuld",-1,IF($F358="",0,1))</f>
        <v/>
      </c>
      <c r="L358" s="35" t="n"/>
      <c r="M358" s="35" t="n"/>
    </row>
    <row r="359">
      <c r="B359" s="34" t="n"/>
      <c r="C359" s="35" t="n"/>
      <c r="D359" s="35" t="n"/>
      <c r="E359" s="35" t="n"/>
      <c r="F359" s="35" t="n"/>
      <c r="G359" s="35" t="n"/>
      <c r="H359" s="35" t="n"/>
      <c r="I359" s="36" t="n"/>
      <c r="J359" s="37" t="n"/>
      <c r="K359" s="33">
        <f>IF($F359="Schuld",-1,IF($F359="",0,1))</f>
        <v/>
      </c>
      <c r="L359" s="35" t="n"/>
      <c r="M359" s="35" t="n"/>
    </row>
    <row r="360">
      <c r="B360" s="34" t="n"/>
      <c r="C360" s="35" t="n"/>
      <c r="D360" s="35" t="n"/>
      <c r="E360" s="35" t="n"/>
      <c r="F360" s="35" t="n"/>
      <c r="G360" s="35" t="n"/>
      <c r="H360" s="35" t="n"/>
      <c r="I360" s="36" t="n"/>
      <c r="J360" s="37" t="n"/>
      <c r="K360" s="33">
        <f>IF($F360="Schuld",-1,IF($F360="",0,1))</f>
        <v/>
      </c>
      <c r="L360" s="35" t="n"/>
      <c r="M360" s="35" t="n"/>
    </row>
    <row r="361">
      <c r="B361" s="34" t="n"/>
      <c r="C361" s="35" t="n"/>
      <c r="D361" s="35" t="n"/>
      <c r="E361" s="35" t="n"/>
      <c r="F361" s="35" t="n"/>
      <c r="G361" s="35" t="n"/>
      <c r="H361" s="35" t="n"/>
      <c r="I361" s="36" t="n"/>
      <c r="J361" s="37" t="n"/>
      <c r="K361" s="33">
        <f>IF($F361="Schuld",-1,IF($F361="",0,1))</f>
        <v/>
      </c>
      <c r="L361" s="35" t="n"/>
      <c r="M361" s="35" t="n"/>
    </row>
    <row r="362">
      <c r="B362" s="34" t="n"/>
      <c r="C362" s="35" t="n"/>
      <c r="D362" s="35" t="n"/>
      <c r="E362" s="35" t="n"/>
      <c r="F362" s="35" t="n"/>
      <c r="G362" s="35" t="n"/>
      <c r="H362" s="35" t="n"/>
      <c r="I362" s="36" t="n"/>
      <c r="J362" s="37" t="n"/>
      <c r="K362" s="33">
        <f>IF($F362="Schuld",-1,IF($F362="",0,1))</f>
        <v/>
      </c>
      <c r="L362" s="35" t="n"/>
      <c r="M362" s="35" t="n"/>
    </row>
    <row r="363">
      <c r="B363" s="34" t="n"/>
      <c r="C363" s="35" t="n"/>
      <c r="D363" s="35" t="n"/>
      <c r="E363" s="35" t="n"/>
      <c r="F363" s="35" t="n"/>
      <c r="G363" s="35" t="n"/>
      <c r="H363" s="35" t="n"/>
      <c r="I363" s="36" t="n"/>
      <c r="J363" s="37" t="n"/>
      <c r="K363" s="33">
        <f>IF($F363="Schuld",-1,IF($F363="",0,1))</f>
        <v/>
      </c>
      <c r="L363" s="35" t="n"/>
      <c r="M363" s="35" t="n"/>
    </row>
    <row r="364">
      <c r="B364" s="34" t="n"/>
      <c r="C364" s="35" t="n"/>
      <c r="D364" s="35" t="n"/>
      <c r="E364" s="35" t="n"/>
      <c r="F364" s="35" t="n"/>
      <c r="G364" s="35" t="n"/>
      <c r="H364" s="35" t="n"/>
      <c r="I364" s="36" t="n"/>
      <c r="J364" s="37" t="n"/>
      <c r="K364" s="33">
        <f>IF($F364="Schuld",-1,IF($F364="",0,1))</f>
        <v/>
      </c>
      <c r="L364" s="35" t="n"/>
      <c r="M364" s="35" t="n"/>
    </row>
    <row r="365">
      <c r="B365" s="34" t="n"/>
      <c r="C365" s="35" t="n"/>
      <c r="D365" s="35" t="n"/>
      <c r="E365" s="35" t="n"/>
      <c r="F365" s="35" t="n"/>
      <c r="G365" s="35" t="n"/>
      <c r="H365" s="35" t="n"/>
      <c r="I365" s="36" t="n"/>
      <c r="J365" s="37" t="n"/>
      <c r="K365" s="33">
        <f>IF($F365="Schuld",-1,IF($F365="",0,1))</f>
        <v/>
      </c>
      <c r="L365" s="35" t="n"/>
      <c r="M365" s="35" t="n"/>
    </row>
    <row r="366">
      <c r="B366" s="34" t="n"/>
      <c r="C366" s="35" t="n"/>
      <c r="D366" s="35" t="n"/>
      <c r="E366" s="35" t="n"/>
      <c r="F366" s="35" t="n"/>
      <c r="G366" s="35" t="n"/>
      <c r="H366" s="35" t="n"/>
      <c r="I366" s="36" t="n"/>
      <c r="J366" s="37" t="n"/>
      <c r="K366" s="33">
        <f>IF($F366="Schuld",-1,IF($F366="",0,1))</f>
        <v/>
      </c>
      <c r="L366" s="35" t="n"/>
      <c r="M366" s="35" t="n"/>
    </row>
    <row r="367">
      <c r="B367" s="34" t="n"/>
      <c r="C367" s="35" t="n"/>
      <c r="D367" s="35" t="n"/>
      <c r="E367" s="35" t="n"/>
      <c r="F367" s="35" t="n"/>
      <c r="G367" s="35" t="n"/>
      <c r="H367" s="35" t="n"/>
      <c r="I367" s="36" t="n"/>
      <c r="J367" s="37" t="n"/>
      <c r="K367" s="33">
        <f>IF($F367="Schuld",-1,IF($F367="",0,1))</f>
        <v/>
      </c>
      <c r="L367" s="35" t="n"/>
      <c r="M367" s="35" t="n"/>
    </row>
    <row r="368">
      <c r="B368" s="34" t="n"/>
      <c r="C368" s="35" t="n"/>
      <c r="D368" s="35" t="n"/>
      <c r="E368" s="35" t="n"/>
      <c r="F368" s="35" t="n"/>
      <c r="G368" s="35" t="n"/>
      <c r="H368" s="35" t="n"/>
      <c r="I368" s="36" t="n"/>
      <c r="J368" s="37" t="n"/>
      <c r="K368" s="33">
        <f>IF($F368="Schuld",-1,IF($F368="",0,1))</f>
        <v/>
      </c>
      <c r="L368" s="35" t="n"/>
      <c r="M368" s="35" t="n"/>
    </row>
    <row r="369">
      <c r="B369" s="34" t="n"/>
      <c r="C369" s="35" t="n"/>
      <c r="D369" s="35" t="n"/>
      <c r="E369" s="35" t="n"/>
      <c r="F369" s="35" t="n"/>
      <c r="G369" s="35" t="n"/>
      <c r="H369" s="35" t="n"/>
      <c r="I369" s="36" t="n"/>
      <c r="J369" s="37" t="n"/>
      <c r="K369" s="33">
        <f>IF($F369="Schuld",-1,IF($F369="",0,1))</f>
        <v/>
      </c>
      <c r="L369" s="35" t="n"/>
      <c r="M369" s="35" t="n"/>
    </row>
    <row r="370">
      <c r="B370" s="34" t="n"/>
      <c r="C370" s="35" t="n"/>
      <c r="D370" s="35" t="n"/>
      <c r="E370" s="35" t="n"/>
      <c r="F370" s="35" t="n"/>
      <c r="G370" s="35" t="n"/>
      <c r="H370" s="35" t="n"/>
      <c r="I370" s="36" t="n"/>
      <c r="J370" s="37" t="n"/>
      <c r="K370" s="33">
        <f>IF($F370="Schuld",-1,IF($F370="",0,1))</f>
        <v/>
      </c>
      <c r="L370" s="35" t="n"/>
      <c r="M370" s="35" t="n"/>
    </row>
    <row r="371">
      <c r="B371" s="34" t="n"/>
      <c r="C371" s="35" t="n"/>
      <c r="D371" s="35" t="n"/>
      <c r="E371" s="35" t="n"/>
      <c r="F371" s="35" t="n"/>
      <c r="G371" s="35" t="n"/>
      <c r="H371" s="35" t="n"/>
      <c r="I371" s="36" t="n"/>
      <c r="J371" s="37" t="n"/>
      <c r="K371" s="33">
        <f>IF($F371="Schuld",-1,IF($F371="",0,1))</f>
        <v/>
      </c>
      <c r="L371" s="35" t="n"/>
      <c r="M371" s="35" t="n"/>
    </row>
    <row r="372">
      <c r="B372" s="34" t="n"/>
      <c r="C372" s="35" t="n"/>
      <c r="D372" s="35" t="n"/>
      <c r="E372" s="35" t="n"/>
      <c r="F372" s="35" t="n"/>
      <c r="G372" s="35" t="n"/>
      <c r="H372" s="35" t="n"/>
      <c r="I372" s="36" t="n"/>
      <c r="J372" s="37" t="n"/>
      <c r="K372" s="33">
        <f>IF($F372="Schuld",-1,IF($F372="",0,1))</f>
        <v/>
      </c>
      <c r="L372" s="35" t="n"/>
      <c r="M372" s="35" t="n"/>
    </row>
    <row r="373">
      <c r="B373" s="34" t="n"/>
      <c r="C373" s="35" t="n"/>
      <c r="D373" s="35" t="n"/>
      <c r="E373" s="35" t="n"/>
      <c r="F373" s="35" t="n"/>
      <c r="G373" s="35" t="n"/>
      <c r="H373" s="35" t="n"/>
      <c r="I373" s="36" t="n"/>
      <c r="J373" s="37" t="n"/>
      <c r="K373" s="33">
        <f>IF($F373="Schuld",-1,IF($F373="",0,1))</f>
        <v/>
      </c>
      <c r="L373" s="35" t="n"/>
      <c r="M373" s="35" t="n"/>
    </row>
    <row r="374">
      <c r="B374" s="34" t="n"/>
      <c r="C374" s="35" t="n"/>
      <c r="D374" s="35" t="n"/>
      <c r="E374" s="35" t="n"/>
      <c r="F374" s="35" t="n"/>
      <c r="G374" s="35" t="n"/>
      <c r="H374" s="35" t="n"/>
      <c r="I374" s="36" t="n"/>
      <c r="J374" s="37" t="n"/>
      <c r="K374" s="33">
        <f>IF($F374="Schuld",-1,IF($F374="",0,1))</f>
        <v/>
      </c>
      <c r="L374" s="35" t="n"/>
      <c r="M374" s="35" t="n"/>
    </row>
    <row r="375">
      <c r="B375" s="34" t="n"/>
      <c r="C375" s="35" t="n"/>
      <c r="D375" s="35" t="n"/>
      <c r="E375" s="35" t="n"/>
      <c r="F375" s="35" t="n"/>
      <c r="G375" s="35" t="n"/>
      <c r="H375" s="35" t="n"/>
      <c r="I375" s="36" t="n"/>
      <c r="J375" s="37" t="n"/>
      <c r="K375" s="33">
        <f>IF($F375="Schuld",-1,IF($F375="",0,1))</f>
        <v/>
      </c>
      <c r="L375" s="35" t="n"/>
      <c r="M375" s="35" t="n"/>
    </row>
    <row r="376">
      <c r="B376" s="34" t="n"/>
      <c r="C376" s="35" t="n"/>
      <c r="D376" s="35" t="n"/>
      <c r="E376" s="35" t="n"/>
      <c r="F376" s="35" t="n"/>
      <c r="G376" s="35" t="n"/>
      <c r="H376" s="35" t="n"/>
      <c r="I376" s="36" t="n"/>
      <c r="J376" s="37" t="n"/>
      <c r="K376" s="33">
        <f>IF($F376="Schuld",-1,IF($F376="",0,1))</f>
        <v/>
      </c>
      <c r="L376" s="35" t="n"/>
      <c r="M376" s="35" t="n"/>
    </row>
    <row r="377">
      <c r="B377" s="34" t="n"/>
      <c r="C377" s="35" t="n"/>
      <c r="D377" s="35" t="n"/>
      <c r="E377" s="35" t="n"/>
      <c r="F377" s="35" t="n"/>
      <c r="G377" s="35" t="n"/>
      <c r="H377" s="35" t="n"/>
      <c r="I377" s="36" t="n"/>
      <c r="J377" s="37" t="n"/>
      <c r="K377" s="33">
        <f>IF($F377="Schuld",-1,IF($F377="",0,1))</f>
        <v/>
      </c>
      <c r="L377" s="35" t="n"/>
      <c r="M377" s="35" t="n"/>
    </row>
    <row r="378">
      <c r="B378" s="34" t="n"/>
      <c r="C378" s="35" t="n"/>
      <c r="D378" s="35" t="n"/>
      <c r="E378" s="35" t="n"/>
      <c r="F378" s="35" t="n"/>
      <c r="G378" s="35" t="n"/>
      <c r="H378" s="35" t="n"/>
      <c r="I378" s="36" t="n"/>
      <c r="J378" s="37" t="n"/>
      <c r="K378" s="33">
        <f>IF($F378="Schuld",-1,IF($F378="",0,1))</f>
        <v/>
      </c>
      <c r="L378" s="35" t="n"/>
      <c r="M378" s="35" t="n"/>
    </row>
    <row r="379">
      <c r="B379" s="34" t="n"/>
      <c r="C379" s="35" t="n"/>
      <c r="D379" s="35" t="n"/>
      <c r="E379" s="35" t="n"/>
      <c r="F379" s="35" t="n"/>
      <c r="G379" s="35" t="n"/>
      <c r="H379" s="35" t="n"/>
      <c r="I379" s="36" t="n"/>
      <c r="J379" s="37" t="n"/>
      <c r="K379" s="33">
        <f>IF($F379="Schuld",-1,IF($F379="",0,1))</f>
        <v/>
      </c>
      <c r="L379" s="35" t="n"/>
      <c r="M379" s="35" t="n"/>
    </row>
    <row r="380">
      <c r="B380" s="34" t="n"/>
      <c r="C380" s="35" t="n"/>
      <c r="D380" s="35" t="n"/>
      <c r="E380" s="35" t="n"/>
      <c r="F380" s="35" t="n"/>
      <c r="G380" s="35" t="n"/>
      <c r="H380" s="35" t="n"/>
      <c r="I380" s="36" t="n"/>
      <c r="J380" s="37" t="n"/>
      <c r="K380" s="33">
        <f>IF($F380="Schuld",-1,IF($F380="",0,1))</f>
        <v/>
      </c>
      <c r="L380" s="35" t="n"/>
      <c r="M380" s="35" t="n"/>
    </row>
    <row r="381">
      <c r="B381" s="34" t="n"/>
      <c r="C381" s="35" t="n"/>
      <c r="D381" s="35" t="n"/>
      <c r="E381" s="35" t="n"/>
      <c r="F381" s="35" t="n"/>
      <c r="G381" s="35" t="n"/>
      <c r="H381" s="35" t="n"/>
      <c r="I381" s="36" t="n"/>
      <c r="J381" s="37" t="n"/>
      <c r="K381" s="33">
        <f>IF($F381="Schuld",-1,IF($F381="",0,1))</f>
        <v/>
      </c>
      <c r="L381" s="35" t="n"/>
      <c r="M381" s="35" t="n"/>
    </row>
    <row r="382">
      <c r="B382" s="34" t="n"/>
      <c r="C382" s="35" t="n"/>
      <c r="D382" s="35" t="n"/>
      <c r="E382" s="35" t="n"/>
      <c r="F382" s="35" t="n"/>
      <c r="G382" s="35" t="n"/>
      <c r="H382" s="35" t="n"/>
      <c r="I382" s="36" t="n"/>
      <c r="J382" s="37" t="n"/>
      <c r="K382" s="33">
        <f>IF($F382="Schuld",-1,IF($F382="",0,1))</f>
        <v/>
      </c>
      <c r="L382" s="35" t="n"/>
      <c r="M382" s="35" t="n"/>
    </row>
    <row r="383">
      <c r="B383" s="34" t="n"/>
      <c r="C383" s="35" t="n"/>
      <c r="D383" s="35" t="n"/>
      <c r="E383" s="35" t="n"/>
      <c r="F383" s="35" t="n"/>
      <c r="G383" s="35" t="n"/>
      <c r="H383" s="35" t="n"/>
      <c r="I383" s="36" t="n"/>
      <c r="J383" s="37" t="n"/>
      <c r="K383" s="33">
        <f>IF($F383="Schuld",-1,IF($F383="",0,1))</f>
        <v/>
      </c>
      <c r="L383" s="35" t="n"/>
      <c r="M383" s="35" t="n"/>
    </row>
    <row r="384">
      <c r="B384" s="34" t="n"/>
      <c r="C384" s="35" t="n"/>
      <c r="D384" s="35" t="n"/>
      <c r="E384" s="35" t="n"/>
      <c r="F384" s="35" t="n"/>
      <c r="G384" s="35" t="n"/>
      <c r="H384" s="35" t="n"/>
      <c r="I384" s="36" t="n"/>
      <c r="J384" s="37" t="n"/>
      <c r="K384" s="33">
        <f>IF($F384="Schuld",-1,IF($F384="",0,1))</f>
        <v/>
      </c>
      <c r="L384" s="35" t="n"/>
      <c r="M384" s="35" t="n"/>
    </row>
    <row r="385">
      <c r="B385" s="34" t="n"/>
      <c r="C385" s="35" t="n"/>
      <c r="D385" s="35" t="n"/>
      <c r="E385" s="35" t="n"/>
      <c r="F385" s="35" t="n"/>
      <c r="G385" s="35" t="n"/>
      <c r="H385" s="35" t="n"/>
      <c r="I385" s="36" t="n"/>
      <c r="J385" s="37" t="n"/>
      <c r="K385" s="33">
        <f>IF($F385="Schuld",-1,IF($F385="",0,1))</f>
        <v/>
      </c>
      <c r="L385" s="35" t="n"/>
      <c r="M385" s="35" t="n"/>
    </row>
    <row r="386">
      <c r="B386" s="34" t="n"/>
      <c r="C386" s="35" t="n"/>
      <c r="D386" s="35" t="n"/>
      <c r="E386" s="35" t="n"/>
      <c r="F386" s="35" t="n"/>
      <c r="G386" s="35" t="n"/>
      <c r="H386" s="35" t="n"/>
      <c r="I386" s="36" t="n"/>
      <c r="J386" s="37" t="n"/>
      <c r="K386" s="33">
        <f>IF($F386="Schuld",-1,IF($F386="",0,1))</f>
        <v/>
      </c>
      <c r="L386" s="35" t="n"/>
      <c r="M386" s="35" t="n"/>
    </row>
    <row r="387">
      <c r="B387" s="34" t="n"/>
      <c r="C387" s="35" t="n"/>
      <c r="D387" s="35" t="n"/>
      <c r="E387" s="35" t="n"/>
      <c r="F387" s="35" t="n"/>
      <c r="G387" s="35" t="n"/>
      <c r="H387" s="35" t="n"/>
      <c r="I387" s="36" t="n"/>
      <c r="J387" s="37" t="n"/>
      <c r="K387" s="33">
        <f>IF($F387="Schuld",-1,IF($F387="",0,1))</f>
        <v/>
      </c>
      <c r="L387" s="35" t="n"/>
      <c r="M387" s="35" t="n"/>
    </row>
    <row r="388">
      <c r="B388" s="34" t="n"/>
      <c r="C388" s="35" t="n"/>
      <c r="D388" s="35" t="n"/>
      <c r="E388" s="35" t="n"/>
      <c r="F388" s="35" t="n"/>
      <c r="G388" s="35" t="n"/>
      <c r="H388" s="35" t="n"/>
      <c r="I388" s="36" t="n"/>
      <c r="J388" s="37" t="n"/>
      <c r="K388" s="33">
        <f>IF($F388="Schuld",-1,IF($F388="",0,1))</f>
        <v/>
      </c>
      <c r="L388" s="35" t="n"/>
      <c r="M388" s="35" t="n"/>
    </row>
    <row r="389">
      <c r="B389" s="34" t="n"/>
      <c r="C389" s="35" t="n"/>
      <c r="D389" s="35" t="n"/>
      <c r="E389" s="35" t="n"/>
      <c r="F389" s="35" t="n"/>
      <c r="G389" s="35" t="n"/>
      <c r="H389" s="35" t="n"/>
      <c r="I389" s="36" t="n"/>
      <c r="J389" s="37" t="n"/>
      <c r="K389" s="33">
        <f>IF($F389="Schuld",-1,IF($F389="",0,1))</f>
        <v/>
      </c>
      <c r="L389" s="35" t="n"/>
      <c r="M389" s="35" t="n"/>
    </row>
    <row r="390">
      <c r="B390" s="34" t="n"/>
      <c r="C390" s="35" t="n"/>
      <c r="D390" s="35" t="n"/>
      <c r="E390" s="35" t="n"/>
      <c r="F390" s="35" t="n"/>
      <c r="G390" s="35" t="n"/>
      <c r="H390" s="35" t="n"/>
      <c r="I390" s="36" t="n"/>
      <c r="J390" s="37" t="n"/>
      <c r="K390" s="33">
        <f>IF($F390="Schuld",-1,IF($F390="",0,1))</f>
        <v/>
      </c>
      <c r="L390" s="35" t="n"/>
      <c r="M390" s="35" t="n"/>
    </row>
    <row r="391">
      <c r="B391" s="34" t="n"/>
      <c r="C391" s="35" t="n"/>
      <c r="D391" s="35" t="n"/>
      <c r="E391" s="35" t="n"/>
      <c r="F391" s="35" t="n"/>
      <c r="G391" s="35" t="n"/>
      <c r="H391" s="35" t="n"/>
      <c r="I391" s="36" t="n"/>
      <c r="J391" s="37" t="n"/>
      <c r="K391" s="33">
        <f>IF($F391="Schuld",-1,IF($F391="",0,1))</f>
        <v/>
      </c>
      <c r="L391" s="35" t="n"/>
      <c r="M391" s="35" t="n"/>
    </row>
    <row r="392">
      <c r="B392" s="34" t="n"/>
      <c r="C392" s="35" t="n"/>
      <c r="D392" s="35" t="n"/>
      <c r="E392" s="35" t="n"/>
      <c r="F392" s="35" t="n"/>
      <c r="G392" s="35" t="n"/>
      <c r="H392" s="35" t="n"/>
      <c r="I392" s="36" t="n"/>
      <c r="J392" s="37" t="n"/>
      <c r="K392" s="33">
        <f>IF($F392="Schuld",-1,IF($F392="",0,1))</f>
        <v/>
      </c>
      <c r="L392" s="35" t="n"/>
      <c r="M392" s="35" t="n"/>
    </row>
    <row r="393">
      <c r="B393" s="34" t="n"/>
      <c r="C393" s="35" t="n"/>
      <c r="D393" s="35" t="n"/>
      <c r="E393" s="35" t="n"/>
      <c r="F393" s="35" t="n"/>
      <c r="G393" s="35" t="n"/>
      <c r="H393" s="35" t="n"/>
      <c r="I393" s="36" t="n"/>
      <c r="J393" s="37" t="n"/>
      <c r="K393" s="33">
        <f>IF($F393="Schuld",-1,IF($F393="",0,1))</f>
        <v/>
      </c>
      <c r="L393" s="35" t="n"/>
      <c r="M393" s="35" t="n"/>
    </row>
    <row r="394">
      <c r="B394" s="34" t="n"/>
      <c r="C394" s="35" t="n"/>
      <c r="D394" s="35" t="n"/>
      <c r="E394" s="35" t="n"/>
      <c r="F394" s="35" t="n"/>
      <c r="G394" s="35" t="n"/>
      <c r="H394" s="35" t="n"/>
      <c r="I394" s="36" t="n"/>
      <c r="J394" s="37" t="n"/>
      <c r="K394" s="33">
        <f>IF($F394="Schuld",-1,IF($F394="",0,1))</f>
        <v/>
      </c>
      <c r="L394" s="35" t="n"/>
      <c r="M394" s="35" t="n"/>
    </row>
    <row r="395">
      <c r="B395" s="34" t="n"/>
      <c r="C395" s="35" t="n"/>
      <c r="D395" s="35" t="n"/>
      <c r="E395" s="35" t="n"/>
      <c r="F395" s="35" t="n"/>
      <c r="G395" s="35" t="n"/>
      <c r="H395" s="35" t="n"/>
      <c r="I395" s="36" t="n"/>
      <c r="J395" s="37" t="n"/>
      <c r="K395" s="33">
        <f>IF($F395="Schuld",-1,IF($F395="",0,1))</f>
        <v/>
      </c>
      <c r="L395" s="35" t="n"/>
      <c r="M395" s="35" t="n"/>
    </row>
    <row r="396">
      <c r="B396" s="34" t="n"/>
      <c r="C396" s="35" t="n"/>
      <c r="D396" s="35" t="n"/>
      <c r="E396" s="35" t="n"/>
      <c r="F396" s="35" t="n"/>
      <c r="G396" s="35" t="n"/>
      <c r="H396" s="35" t="n"/>
      <c r="I396" s="36" t="n"/>
      <c r="J396" s="37" t="n"/>
      <c r="K396" s="33">
        <f>IF($F396="Schuld",-1,IF($F396="",0,1))</f>
        <v/>
      </c>
      <c r="L396" s="35" t="n"/>
      <c r="M396" s="35" t="n"/>
    </row>
    <row r="397">
      <c r="B397" s="34" t="n"/>
      <c r="C397" s="35" t="n"/>
      <c r="D397" s="35" t="n"/>
      <c r="E397" s="35" t="n"/>
      <c r="F397" s="35" t="n"/>
      <c r="G397" s="35" t="n"/>
      <c r="H397" s="35" t="n"/>
      <c r="I397" s="36" t="n"/>
      <c r="J397" s="37" t="n"/>
      <c r="K397" s="33">
        <f>IF($F397="Schuld",-1,IF($F397="",0,1))</f>
        <v/>
      </c>
      <c r="L397" s="35" t="n"/>
      <c r="M397" s="35" t="n"/>
    </row>
    <row r="398">
      <c r="B398" s="34" t="n"/>
      <c r="C398" s="35" t="n"/>
      <c r="D398" s="35" t="n"/>
      <c r="E398" s="35" t="n"/>
      <c r="F398" s="35" t="n"/>
      <c r="G398" s="35" t="n"/>
      <c r="H398" s="35" t="n"/>
      <c r="I398" s="36" t="n"/>
      <c r="J398" s="37" t="n"/>
      <c r="K398" s="33">
        <f>IF($F398="Schuld",-1,IF($F398="",0,1))</f>
        <v/>
      </c>
      <c r="L398" s="35" t="n"/>
      <c r="M398" s="35" t="n"/>
    </row>
    <row r="399">
      <c r="B399" s="34" t="n"/>
      <c r="C399" s="35" t="n"/>
      <c r="D399" s="35" t="n"/>
      <c r="E399" s="35" t="n"/>
      <c r="F399" s="35" t="n"/>
      <c r="G399" s="35" t="n"/>
      <c r="H399" s="35" t="n"/>
      <c r="I399" s="36" t="n"/>
      <c r="J399" s="37" t="n"/>
      <c r="K399" s="33">
        <f>IF($F399="Schuld",-1,IF($F399="",0,1))</f>
        <v/>
      </c>
      <c r="L399" s="35" t="n"/>
      <c r="M399" s="35" t="n"/>
    </row>
    <row r="400">
      <c r="B400" s="34" t="n"/>
      <c r="C400" s="35" t="n"/>
      <c r="D400" s="35" t="n"/>
      <c r="E400" s="35" t="n"/>
      <c r="F400" s="35" t="n"/>
      <c r="G400" s="35" t="n"/>
      <c r="H400" s="35" t="n"/>
      <c r="I400" s="36" t="n"/>
      <c r="J400" s="37" t="n"/>
      <c r="K400" s="33">
        <f>IF($F400="Schuld",-1,IF($F400="",0,1))</f>
        <v/>
      </c>
      <c r="L400" s="35" t="n"/>
      <c r="M400" s="35" t="n"/>
    </row>
    <row r="401">
      <c r="B401" s="34" t="n"/>
      <c r="C401" s="35" t="n"/>
      <c r="D401" s="35" t="n"/>
      <c r="E401" s="35" t="n"/>
      <c r="F401" s="35" t="n"/>
      <c r="G401" s="35" t="n"/>
      <c r="H401" s="35" t="n"/>
      <c r="I401" s="36" t="n"/>
      <c r="J401" s="37" t="n"/>
      <c r="K401" s="33">
        <f>IF($F401="Schuld",-1,IF($F401="",0,1))</f>
        <v/>
      </c>
      <c r="L401" s="35" t="n"/>
      <c r="M401" s="35" t="n"/>
    </row>
    <row r="402">
      <c r="B402" s="34" t="n"/>
      <c r="C402" s="35" t="n"/>
      <c r="D402" s="35" t="n"/>
      <c r="E402" s="35" t="n"/>
      <c r="F402" s="35" t="n"/>
      <c r="G402" s="35" t="n"/>
      <c r="H402" s="35" t="n"/>
      <c r="I402" s="36" t="n"/>
      <c r="J402" s="37" t="n"/>
      <c r="K402" s="33">
        <f>IF($F402="Schuld",-1,IF($F402="",0,1))</f>
        <v/>
      </c>
      <c r="L402" s="35" t="n"/>
      <c r="M402" s="35" t="n"/>
    </row>
    <row r="403">
      <c r="B403" s="34" t="n"/>
      <c r="C403" s="35" t="n"/>
      <c r="D403" s="35" t="n"/>
      <c r="E403" s="35" t="n"/>
      <c r="F403" s="35" t="n"/>
      <c r="G403" s="35" t="n"/>
      <c r="H403" s="35" t="n"/>
      <c r="I403" s="36" t="n"/>
      <c r="J403" s="37" t="n"/>
      <c r="K403" s="33">
        <f>IF($F403="Schuld",-1,IF($F403="",0,1))</f>
        <v/>
      </c>
      <c r="L403" s="35" t="n"/>
      <c r="M403" s="35" t="n"/>
    </row>
    <row r="404">
      <c r="B404" s="34" t="n"/>
      <c r="C404" s="35" t="n"/>
      <c r="D404" s="35" t="n"/>
      <c r="E404" s="35" t="n"/>
      <c r="F404" s="35" t="n"/>
      <c r="G404" s="35" t="n"/>
      <c r="H404" s="35" t="n"/>
      <c r="I404" s="36" t="n"/>
      <c r="J404" s="37" t="n"/>
      <c r="K404" s="33">
        <f>IF($F404="Schuld",-1,IF($F404="",0,1))</f>
        <v/>
      </c>
      <c r="L404" s="35" t="n"/>
      <c r="M404" s="35" t="n"/>
    </row>
    <row r="405">
      <c r="B405" s="34" t="n"/>
      <c r="C405" s="35" t="n"/>
      <c r="D405" s="35" t="n"/>
      <c r="E405" s="35" t="n"/>
      <c r="F405" s="35" t="n"/>
      <c r="G405" s="35" t="n"/>
      <c r="H405" s="35" t="n"/>
      <c r="I405" s="36" t="n"/>
      <c r="J405" s="37" t="n"/>
      <c r="K405" s="33">
        <f>IF($F405="Schuld",-1,IF($F405="",0,1))</f>
        <v/>
      </c>
      <c r="L405" s="35" t="n"/>
      <c r="M405" s="35" t="n"/>
    </row>
  </sheetData>
  <mergeCells count="3">
    <mergeCell ref="B3:N3"/>
    <mergeCell ref="B2:N2"/>
    <mergeCell ref="B4:N4"/>
  </mergeCells>
  <dataValidations count="5">
    <dataValidation sqref="C6:C405" showDropDown="0" showInputMessage="0" showErrorMessage="0" allowBlank="1" type="list">
      <formula1>=Categorieen</formula1>
    </dataValidation>
    <dataValidation sqref="F6:F405" showDropDown="0" showInputMessage="0" showErrorMessage="0" allowBlank="1" type="list">
      <formula1>=TypeLijst</formula1>
    </dataValidation>
    <dataValidation sqref="G6:G405" showDropDown="0" showInputMessage="0" showErrorMessage="0" allowBlank="1" type="list">
      <formula1>=BoxLijst</formula1>
    </dataValidation>
    <dataValidation sqref="H6:H405" showDropDown="0" showInputMessage="0" showErrorMessage="0" allowBlank="1" type="list">
      <formula1>=EigenaarLijst</formula1>
    </dataValidation>
    <dataValidation sqref="L6:L405" showDropDown="0" showInputMessage="0" showErrorMessage="0" allowBlank="1" type="list">
      <formula1>=BronLijst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/>
    <row r="2" ht="26" customHeight="1">
      <c r="B2" s="12" t="inlineStr">
        <is>
          <t>MEERJARIGE SNAPSHOTS (trend)</t>
        </is>
      </c>
    </row>
    <row r="3" ht="14" customHeight="1">
      <c r="B3" s="13" t="inlineStr">
        <is>
          <t>05_Historie  ·  Historische totalen per peildatum · actueel jaar volgt automatisch uit de berekeningen</t>
        </is>
      </c>
    </row>
    <row r="4"/>
    <row r="5">
      <c r="B5" s="14" t="inlineStr">
        <is>
          <t>Peildatum</t>
        </is>
      </c>
      <c r="C5" s="14" t="inlineStr">
        <is>
          <t>Bezittingen</t>
        </is>
      </c>
      <c r="D5" s="14" t="inlineStr">
        <is>
          <t>Schulden</t>
        </is>
      </c>
      <c r="E5" s="14" t="inlineStr">
        <is>
          <t>Netto vermogen</t>
        </is>
      </c>
      <c r="F5" s="14" t="inlineStr">
        <is>
          <t>Bron</t>
        </is>
      </c>
    </row>
    <row r="6">
      <c r="B6" s="34" t="n">
        <v>45292</v>
      </c>
      <c r="C6" s="22" t="n">
        <v>980000</v>
      </c>
      <c r="D6" s="22" t="n">
        <v>360000</v>
      </c>
      <c r="E6" s="23">
        <f>C6-D6</f>
        <v/>
      </c>
      <c r="F6" s="38" t="inlineStr">
        <is>
          <t>Vorig dossier</t>
        </is>
      </c>
    </row>
    <row r="7">
      <c r="B7" s="34" t="n">
        <v>45658</v>
      </c>
      <c r="C7" s="22" t="n">
        <v>1060000</v>
      </c>
      <c r="D7" s="22" t="n">
        <v>345000</v>
      </c>
      <c r="E7" s="23">
        <f>C7-D7</f>
        <v/>
      </c>
      <c r="F7" s="38" t="inlineStr">
        <is>
          <t>Vorig dossier</t>
        </is>
      </c>
    </row>
    <row r="8">
      <c r="B8" s="34">
        <f>Peildatum_Actueel</f>
        <v/>
      </c>
      <c r="C8" s="39">
        <f>'11_Berekeningen'!$C$6</f>
        <v/>
      </c>
      <c r="D8" s="39">
        <f>'11_Berekeningen'!$C$7</f>
        <v/>
      </c>
      <c r="E8" s="23">
        <f>C8-D8</f>
        <v/>
      </c>
      <c r="F8" s="40" t="inlineStr">
        <is>
          <t>Actueel (berekend)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N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1"/>
    <row r="2" ht="26" customHeight="1">
      <c r="B2" s="41" t="inlineStr">
        <is>
          <t>BEREKENINGEN — KPI's, ratio's &amp; consolidatie</t>
        </is>
      </c>
    </row>
    <row r="3" ht="14" customHeight="1">
      <c r="B3" s="42" t="inlineStr">
        <is>
          <t>11_Berekeningen  ·  Alles gevoed door 04_Input_Vermogen · gefilterd op Peildatum_Actueel · geen hardcoded cijfers</t>
        </is>
      </c>
    </row>
    <row r="4"/>
    <row r="5">
      <c r="B5" s="14" t="inlineStr">
        <is>
          <t>KPI / berekening</t>
        </is>
      </c>
      <c r="C5" s="14" t="inlineStr">
        <is>
          <t>Totaal</t>
        </is>
      </c>
      <c r="D5" s="14" t="inlineStr">
        <is>
          <t>Klant</t>
        </is>
      </c>
      <c r="E5" s="14" t="inlineStr">
        <is>
          <t>Partner</t>
        </is>
      </c>
      <c r="F5" s="14" t="inlineStr">
        <is>
          <t>Toelichting</t>
        </is>
      </c>
    </row>
    <row r="6">
      <c r="B6" s="43" t="inlineStr">
        <is>
          <t>Totaal bezittingen</t>
        </is>
      </c>
      <c r="C6" s="23">
        <f>SUMIFS(v_Waarde,v_Type,"Bezitting",v_Peildatum,Peildatum_Actueel)</f>
        <v/>
      </c>
      <c r="D6" s="44">
        <f>SUMPRODUCT((v_Peildatum=Peildatum_Actueel)*(v_Type="Bezitting")*v_Waarde*v_Aandeel)</f>
        <v/>
      </c>
      <c r="E6" s="44">
        <f>SUMPRODUCT((v_Peildatum=Peildatum_Actueel)*(v_Type="Bezitting")*v_Waarde*(1-v_Aandeel))</f>
        <v/>
      </c>
      <c r="F6" s="38" t="inlineStr">
        <is>
          <t>alle bezittingen op peildatum</t>
        </is>
      </c>
    </row>
    <row r="7">
      <c r="B7" s="43" t="inlineStr">
        <is>
          <t>Totaal schulden</t>
        </is>
      </c>
      <c r="C7" s="23">
        <f>SUMIFS(v_Waarde,v_Type,"Schuld",v_Peildatum,Peildatum_Actueel)</f>
        <v/>
      </c>
      <c r="D7" s="44">
        <f>SUMPRODUCT((v_Peildatum=Peildatum_Actueel)*(v_Type="Schuld")*v_Waarde*v_Aandeel)</f>
        <v/>
      </c>
      <c r="E7" s="44">
        <f>SUMPRODUCT((v_Peildatum=Peildatum_Actueel)*(v_Type="Schuld")*v_Waarde*(1-v_Aandeel))</f>
        <v/>
      </c>
      <c r="F7" s="38" t="inlineStr">
        <is>
          <t>alle schulden op peildatum</t>
        </is>
      </c>
    </row>
    <row r="8">
      <c r="B8" s="45" t="inlineStr">
        <is>
          <t>NETTO VERMOGEN</t>
        </is>
      </c>
      <c r="C8" s="46">
        <f>C6-C7</f>
        <v/>
      </c>
      <c r="D8" s="47">
        <f>D6-D7</f>
        <v/>
      </c>
      <c r="E8" s="47">
        <f>E6-E7</f>
        <v/>
      </c>
      <c r="F8" s="38" t="inlineStr">
        <is>
          <t>bezittingen -/- schulden</t>
        </is>
      </c>
    </row>
    <row r="9"/>
    <row r="10"/>
    <row r="11">
      <c r="B11" s="48" t="inlineStr">
        <is>
          <t>VERMOGEN PER CATEGORIE (bezittingen)</t>
        </is>
      </c>
    </row>
    <row r="12">
      <c r="B12" s="49" t="inlineStr">
        <is>
          <t>Categorie</t>
        </is>
      </c>
      <c r="C12" s="49" t="inlineStr">
        <is>
          <t>Bedrag</t>
        </is>
      </c>
      <c r="D12" s="49" t="inlineStr">
        <is>
          <t>% van bezittingen</t>
        </is>
      </c>
      <c r="E12" s="49" t="inlineStr"/>
    </row>
    <row r="13">
      <c r="B13" s="50" t="inlineStr">
        <is>
          <t>Liquiditeiten</t>
        </is>
      </c>
      <c r="C13" s="37">
        <f>SUMIFS(v_Waarde,v_Categorie,B13,v_Peildatum,Peildatum_Actueel,v_Type,"Bezitting")</f>
        <v/>
      </c>
      <c r="D13" s="36">
        <f>IFERROR(C13/$C$6,0)</f>
        <v/>
      </c>
    </row>
    <row r="14">
      <c r="B14" s="50" t="inlineStr">
        <is>
          <t>Vastgoed</t>
        </is>
      </c>
      <c r="C14" s="37">
        <f>SUMIFS(v_Waarde,v_Categorie,B14,v_Peildatum,Peildatum_Actueel,v_Type,"Bezitting")</f>
        <v/>
      </c>
      <c r="D14" s="36">
        <f>IFERROR(C14/$C$6,0)</f>
        <v/>
      </c>
    </row>
    <row r="15">
      <c r="B15" s="50" t="inlineStr">
        <is>
          <t>Beleggingen</t>
        </is>
      </c>
      <c r="C15" s="37">
        <f>SUMIFS(v_Waarde,v_Categorie,B15,v_Peildatum,Peildatum_Actueel,v_Type,"Bezitting")</f>
        <v/>
      </c>
      <c r="D15" s="36">
        <f>IFERROR(C15/$C$6,0)</f>
        <v/>
      </c>
    </row>
    <row r="16">
      <c r="B16" s="50" t="inlineStr">
        <is>
          <t>Pensioen/ODV</t>
        </is>
      </c>
      <c r="C16" s="37">
        <f>SUMIFS(v_Waarde,v_Categorie,B16,v_Peildatum,Peildatum_Actueel,v_Type,"Bezitting")</f>
        <v/>
      </c>
      <c r="D16" s="36">
        <f>IFERROR(C16/$C$6,0)</f>
        <v/>
      </c>
    </row>
    <row r="17">
      <c r="B17" s="50" t="inlineStr">
        <is>
          <t>Onderneming/AB</t>
        </is>
      </c>
      <c r="C17" s="37">
        <f>SUMIFS(v_Waarde,v_Categorie,B17,v_Peildatum,Peildatum_Actueel,v_Type,"Bezitting")</f>
        <v/>
      </c>
      <c r="D17" s="36">
        <f>IFERROR(C17/$C$6,0)</f>
        <v/>
      </c>
    </row>
    <row r="18">
      <c r="B18" s="50" t="inlineStr">
        <is>
          <t>Overige bezitting</t>
        </is>
      </c>
      <c r="C18" s="37">
        <f>SUMIFS(v_Waarde,v_Categorie,B18,v_Peildatum,Peildatum_Actueel,v_Type,"Bezitting")</f>
        <v/>
      </c>
      <c r="D18" s="36">
        <f>IFERROR(C18/$C$6,0)</f>
        <v/>
      </c>
    </row>
    <row r="19"/>
    <row r="20">
      <c r="B20" s="48" t="inlineStr">
        <is>
          <t>RATIO'S &amp; SIGNAALWAARDEN</t>
        </is>
      </c>
    </row>
    <row r="21">
      <c r="B21" s="49" t="inlineStr">
        <is>
          <t>Ratio</t>
        </is>
      </c>
      <c r="C21" s="49" t="inlineStr">
        <is>
          <t>Waarde</t>
        </is>
      </c>
      <c r="D21" s="49" t="inlineStr">
        <is>
          <t>Norm/signaal</t>
        </is>
      </c>
      <c r="E21" s="49" t="inlineStr"/>
    </row>
    <row r="22">
      <c r="B22" s="50" t="inlineStr">
        <is>
          <t>Schuldratio (schulden / bezittingen)</t>
        </is>
      </c>
      <c r="C22" s="51">
        <f>IFERROR(C7/C6,0)</f>
        <v/>
      </c>
      <c r="D22" s="52">
        <f>IF(IFERROR(C7/C6,0)&gt;0.6,"⚠ hoog","OK")</f>
        <v/>
      </c>
    </row>
    <row r="23">
      <c r="B23" s="50" t="inlineStr">
        <is>
          <t>Verhouding zakelijk / totaal bezittingen</t>
        </is>
      </c>
      <c r="C23" s="51">
        <f>IFERROR((=SUMIFS(v_Waarde,v_Categorie,"Onderneming/AB",v_Peildatum,Peildatum_Actueel,v_Type,"Bezitting"))/C6,0)</f>
        <v/>
      </c>
      <c r="D23" s="52">
        <f>"informatief"</f>
        <v/>
      </c>
    </row>
    <row r="24">
      <c r="B24" s="50" t="inlineStr">
        <is>
          <t>Liquiditeit (liquide middelen)</t>
        </is>
      </c>
      <c r="C24" s="23">
        <f>SUMIFS(v_Waarde,v_Categorie,"Liquiditeiten",v_Peildatum,Peildatum_Actueel,v_Type,"Bezitting")</f>
        <v/>
      </c>
      <c r="D24" s="52">
        <f>IF((=SUMIFS(v_Waarde,v_Categorie,"Liquiditeiten",v_Peildatum,Peildatum_Actueel,v_Type,"Bezitting"))&lt;20000,"⚠ laag","OK")</f>
        <v/>
      </c>
    </row>
    <row r="25">
      <c r="B25" s="50" t="inlineStr">
        <is>
          <t>Box 3-grondslag indicatief (monitor)</t>
        </is>
      </c>
      <c r="C25" s="23">
        <f>SUMIFS(v_Waarde,v_Box,"Box 3",v_Peildatum,Peildatum_Actueel,v_Type,"Bezitting")+SUMIFS(v_Waarde,v_Box,"Box 3",v_Peildatum,Peildatum_Actueel,v_Type,"Schuld")*-1</f>
        <v/>
      </c>
      <c r="D25" s="52">
        <f>"vgl. met 02_Input_IB"</f>
        <v/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/>
    <row r="2" ht="32" customHeight="1">
      <c r="B2" s="53" t="inlineStr">
        <is>
          <t>VERMOGENSMONITOR — DASHBOARD</t>
        </is>
      </c>
    </row>
    <row r="3" ht="18" customHeight="1">
      <c r="B3" s="2">
        <f>" Klant: "&amp;Klant_Naam&amp;"    ·    Peildatum: "&amp;TEXT(Peildatum_Actueel,"dd-mm-yyyy")&amp;"    ·    Partner: "&amp;Heeft_Partner</f>
        <v/>
      </c>
    </row>
    <row r="4"/>
    <row r="5">
      <c r="B5" s="54" t="inlineStr">
        <is>
          <t>NETTO VERMOGEN</t>
        </is>
      </c>
      <c r="C5" s="35" t="n"/>
      <c r="D5" s="35" t="n"/>
      <c r="E5" s="55" t="inlineStr">
        <is>
          <t>BEZITTINGEN</t>
        </is>
      </c>
      <c r="F5" s="35" t="n"/>
      <c r="G5" s="35" t="n"/>
      <c r="H5" s="56" t="inlineStr">
        <is>
          <t>SCHULDEN</t>
        </is>
      </c>
      <c r="I5" s="35" t="n"/>
      <c r="J5" s="35" t="n"/>
      <c r="K5" s="57" t="inlineStr">
        <is>
          <t>SCHULDRATIO</t>
        </is>
      </c>
      <c r="L5" s="35" t="n"/>
      <c r="M5" s="35" t="n"/>
    </row>
    <row r="6" ht="22" customHeight="1">
      <c r="B6" s="58">
        <f>calc_Netto</f>
        <v/>
      </c>
      <c r="C6" s="35" t="n"/>
      <c r="D6" s="35" t="n"/>
      <c r="E6" s="59">
        <f>calc_Bezit</f>
        <v/>
      </c>
      <c r="F6" s="35" t="n"/>
      <c r="G6" s="35" t="n"/>
      <c r="H6" s="60">
        <f>calc_Schuld</f>
        <v/>
      </c>
      <c r="I6" s="35" t="n"/>
      <c r="J6" s="35" t="n"/>
      <c r="K6" s="61">
        <f>IFERROR(calc_Schuld/calc_Bezit,0)</f>
        <v/>
      </c>
      <c r="L6" s="35" t="n"/>
      <c r="M6" s="35" t="n"/>
    </row>
    <row r="7" ht="10" customHeight="1"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</row>
    <row r="8"/>
    <row r="9">
      <c r="B9" s="62" t="inlineStr">
        <is>
          <t>NETTO — KLANT</t>
        </is>
      </c>
      <c r="C9" s="35" t="n"/>
      <c r="D9" s="35" t="n"/>
      <c r="E9" s="62" t="inlineStr">
        <is>
          <t>NETTO — PARTNER</t>
        </is>
      </c>
      <c r="F9" s="35" t="n"/>
      <c r="G9" s="35" t="n"/>
      <c r="H9" s="63" t="inlineStr">
        <is>
          <t>LIQUIDITEIT</t>
        </is>
      </c>
      <c r="I9" s="35" t="n"/>
      <c r="J9" s="35" t="n"/>
      <c r="K9" s="63" t="inlineStr">
        <is>
          <t>BOX 3-GRONDSLAG</t>
        </is>
      </c>
      <c r="L9" s="35" t="n"/>
      <c r="M9" s="35" t="n"/>
    </row>
    <row r="10">
      <c r="B10" s="64">
        <f>calc_NettoKlant</f>
        <v/>
      </c>
      <c r="C10" s="35" t="n"/>
      <c r="D10" s="35" t="n"/>
      <c r="E10" s="64">
        <f>IF(Heeft_Partner="JA",calc_NettoPartner,0)</f>
        <v/>
      </c>
      <c r="F10" s="35" t="n"/>
      <c r="G10" s="35" t="n"/>
      <c r="H10" s="65">
        <f>SUMIFS(v_Waarde,v_Categorie,"Liquiditeiten",v_Peildatum,Peildatum_Actueel,v_Type,"Bezitting")</f>
        <v/>
      </c>
      <c r="I10" s="35" t="n"/>
      <c r="J10" s="35" t="n"/>
      <c r="K10" s="65">
        <f>calc_Box3Monitor</f>
        <v/>
      </c>
      <c r="L10" s="35" t="n"/>
      <c r="M10" s="35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I28" s="66" t="inlineStr">
        <is>
          <t>⚠ SIGNALEN &amp; AANDACHTSPUNTEN</t>
        </is>
      </c>
    </row>
    <row r="29">
      <c r="I29" s="67">
        <f>IF(IFERROR(calc_Schuld/calc_Bezit,0)&gt;0.6,"⚠ Schuldratio hoog (&gt;60%)","✓ Schuldratio binnen norm")</f>
        <v/>
      </c>
    </row>
    <row r="30">
      <c r="B30" s="27" t="inlineStr">
        <is>
          <t>(hulpdata grafiek)</t>
        </is>
      </c>
      <c r="I30" s="67">
        <f>IF(SUMIFS(v_Waarde,v_Categorie,"Liquiditeiten",v_Peildatum,Peildatum_Actueel,v_Type,"Bezitting")&lt;20000,"⚠ Beperkte liquiditeit (&lt;€20.000)","✓ Voldoende liquiditeit")</f>
        <v/>
      </c>
    </row>
    <row r="31">
      <c r="B31" t="inlineStr">
        <is>
          <t>Klant</t>
        </is>
      </c>
      <c r="C31" s="68">
        <f>calc_NettoKlant</f>
        <v/>
      </c>
      <c r="I31" s="67">
        <f>IF(ABS(calc_Box3Monitor-IB_Box3_Grondslag)&gt;10000,"⚠ Verschil box 3: monitor vs. aangifte &gt;€10k","✓ Box 3 sluit aan met aangifte")</f>
        <v/>
      </c>
    </row>
    <row r="32">
      <c r="B32" t="inlineStr">
        <is>
          <t>Partner</t>
        </is>
      </c>
      <c r="C32" s="68">
        <f>IF(Heeft_Partner="JA",calc_NettoPartner,0)</f>
        <v/>
      </c>
      <c r="I32" s="67">
        <f>IF(Heeft_Partner="NEE","ℹ Alleenstaand: partnervelden onderdrukt","ℹ Partner meegenomen in consolidatie")</f>
        <v/>
      </c>
    </row>
  </sheetData>
  <mergeCells count="23">
    <mergeCell ref="E10:G10"/>
    <mergeCell ref="I32:N32"/>
    <mergeCell ref="I28:N28"/>
    <mergeCell ref="E9:G9"/>
    <mergeCell ref="K6:M7"/>
    <mergeCell ref="B10:D10"/>
    <mergeCell ref="B9:D9"/>
    <mergeCell ref="B3:N3"/>
    <mergeCell ref="I29:N29"/>
    <mergeCell ref="H6:J7"/>
    <mergeCell ref="B5:D5"/>
    <mergeCell ref="K10:M10"/>
    <mergeCell ref="H5:J5"/>
    <mergeCell ref="I31:N31"/>
    <mergeCell ref="B2:N2"/>
    <mergeCell ref="I30:N30"/>
    <mergeCell ref="E6:G7"/>
    <mergeCell ref="H10:J10"/>
    <mergeCell ref="B6:D7"/>
    <mergeCell ref="K9:M9"/>
    <mergeCell ref="E5:G5"/>
    <mergeCell ref="K5:M5"/>
    <mergeCell ref="H9:J9"/>
  </mergeCells>
  <conditionalFormatting sqref="I29:N32">
    <cfRule type="expression" priority="1" dxfId="0">
      <formula>LEFT(I29,1)="⚠"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/>
    <row r="2" ht="26" customHeight="1">
      <c r="B2" s="69" t="inlineStr">
        <is>
          <t>FINANCIËLE PLANNING — scenario's</t>
        </is>
      </c>
    </row>
    <row r="3" ht="14" customHeight="1">
      <c r="B3" s="70" t="inlineStr">
        <is>
          <t>21_Scenario  ·  Basis / Optimistisch / Conservatief · aanpasbare aannames (geel) · startpunt = actueel netto vermogen</t>
        </is>
      </c>
    </row>
    <row r="4"/>
    <row r="5">
      <c r="B5" s="48" t="inlineStr">
        <is>
          <t>AANNAMES (pas de gele cellen aan)</t>
        </is>
      </c>
    </row>
    <row r="6">
      <c r="B6" s="71" t="inlineStr">
        <is>
          <t>Parameter</t>
        </is>
      </c>
      <c r="C6" s="71" t="inlineStr">
        <is>
          <t>Basis</t>
        </is>
      </c>
      <c r="D6" s="71" t="inlineStr">
        <is>
          <t>Optimistisch</t>
        </is>
      </c>
      <c r="E6" s="71" t="inlineStr">
        <is>
          <t>Conservatief</t>
        </is>
      </c>
      <c r="F6" s="71" t="inlineStr">
        <is>
          <t>Eenheid</t>
        </is>
      </c>
    </row>
    <row r="7">
      <c r="B7" s="10" t="inlineStr">
        <is>
          <t>Horizon (jaren)</t>
        </is>
      </c>
      <c r="C7" s="18" t="n">
        <v>10</v>
      </c>
      <c r="D7" s="18" t="n">
        <v>10</v>
      </c>
      <c r="E7" s="18" t="n">
        <v>10</v>
      </c>
      <c r="F7" s="72" t="inlineStr">
        <is>
          <t>jr</t>
        </is>
      </c>
    </row>
    <row r="8">
      <c r="B8" s="10" t="inlineStr">
        <is>
          <t>Jaarlijkse besparing / bijstorten</t>
        </is>
      </c>
      <c r="C8" s="22" t="n">
        <v>20000</v>
      </c>
      <c r="D8" s="22" t="n">
        <v>30000</v>
      </c>
      <c r="E8" s="22" t="n">
        <v>10000</v>
      </c>
      <c r="F8" s="72" t="inlineStr">
        <is>
          <t>€</t>
        </is>
      </c>
    </row>
    <row r="9">
      <c r="B9" s="10" t="inlineStr">
        <is>
          <t>Rendement beleggend vermogen</t>
        </is>
      </c>
      <c r="C9" s="73" t="n">
        <v>0.04</v>
      </c>
      <c r="D9" s="73" t="n">
        <v>0.06</v>
      </c>
      <c r="E9" s="73" t="n">
        <v>0.02</v>
      </c>
      <c r="F9" s="72" t="inlineStr">
        <is>
          <t>%</t>
        </is>
      </c>
    </row>
    <row r="10">
      <c r="B10" s="10" t="inlineStr">
        <is>
          <t>Jaarlijkse extra aflossing schuld</t>
        </is>
      </c>
      <c r="C10" s="22" t="n">
        <v>15000</v>
      </c>
      <c r="D10" s="22" t="n">
        <v>20000</v>
      </c>
      <c r="E10" s="22" t="n">
        <v>10000</v>
      </c>
      <c r="F10" s="72" t="inlineStr">
        <is>
          <t>€</t>
        </is>
      </c>
    </row>
    <row r="11">
      <c r="B11" s="10" t="inlineStr">
        <is>
          <t>Grote mutatie (bedrag, éénmalig)</t>
        </is>
      </c>
      <c r="C11" s="22" t="n">
        <v>0</v>
      </c>
      <c r="D11" s="22" t="n">
        <v>0</v>
      </c>
      <c r="E11" s="22" t="n">
        <v>0</v>
      </c>
      <c r="F11" s="72" t="inlineStr">
        <is>
          <t>€</t>
        </is>
      </c>
    </row>
    <row r="12">
      <c r="B12" s="10" t="inlineStr">
        <is>
          <t>Grote mutatie in jaar</t>
        </is>
      </c>
      <c r="C12" s="18" t="n">
        <v>5</v>
      </c>
      <c r="D12" s="18" t="n">
        <v>5</v>
      </c>
      <c r="E12" s="18" t="n">
        <v>5</v>
      </c>
      <c r="F12" s="72" t="inlineStr">
        <is>
          <t>jr</t>
        </is>
      </c>
    </row>
    <row r="13">
      <c r="B13" s="24" t="inlineStr">
        <is>
          <t>Startvermogen (actueel netto)</t>
        </is>
      </c>
      <c r="C13" s="74">
        <f>calc_Netto</f>
        <v/>
      </c>
    </row>
    <row r="14"/>
    <row r="15">
      <c r="B15" s="48" t="inlineStr">
        <is>
          <t>PROJECTIE NETTO VERMOGEN</t>
        </is>
      </c>
    </row>
    <row r="16">
      <c r="B16" s="75" t="inlineStr">
        <is>
          <t>Scenario \ Jaar</t>
        </is>
      </c>
      <c r="C16" s="75" t="n">
        <v>0</v>
      </c>
      <c r="D16" s="75" t="n">
        <v>1</v>
      </c>
      <c r="E16" s="75" t="n">
        <v>2</v>
      </c>
      <c r="F16" s="75" t="n">
        <v>3</v>
      </c>
      <c r="G16" s="75" t="n">
        <v>4</v>
      </c>
      <c r="H16" s="75" t="n">
        <v>5</v>
      </c>
      <c r="I16" s="75" t="n">
        <v>6</v>
      </c>
      <c r="J16" s="75" t="n">
        <v>7</v>
      </c>
      <c r="K16" s="75" t="n">
        <v>8</v>
      </c>
      <c r="L16" s="75" t="n">
        <v>9</v>
      </c>
      <c r="M16" s="75" t="n">
        <v>10</v>
      </c>
    </row>
    <row r="17">
      <c r="B17" s="21" t="inlineStr">
        <is>
          <t>Basis</t>
        </is>
      </c>
      <c r="C17" s="37">
        <f>calc_Netto</f>
        <v/>
      </c>
      <c r="D17" s="37">
        <f>C17*(1+$C$9)+$C$8+IF($C$12=1,$C$11,0)</f>
        <v/>
      </c>
      <c r="E17" s="37">
        <f>D17*(1+$C$9)+$C$8+IF($C$12=2,$C$11,0)</f>
        <v/>
      </c>
      <c r="F17" s="37">
        <f>E17*(1+$C$9)+$C$8+IF($C$12=3,$C$11,0)</f>
        <v/>
      </c>
      <c r="G17" s="37">
        <f>F17*(1+$C$9)+$C$8+IF($C$12=4,$C$11,0)</f>
        <v/>
      </c>
      <c r="H17" s="37">
        <f>G17*(1+$C$9)+$C$8+IF($C$12=5,$C$11,0)</f>
        <v/>
      </c>
      <c r="I17" s="37">
        <f>H17*(1+$C$9)+$C$8+IF($C$12=6,$C$11,0)</f>
        <v/>
      </c>
      <c r="J17" s="37">
        <f>I17*(1+$C$9)+$C$8+IF($C$12=7,$C$11,0)</f>
        <v/>
      </c>
      <c r="K17" s="37">
        <f>J17*(1+$C$9)+$C$8+IF($C$12=8,$C$11,0)</f>
        <v/>
      </c>
      <c r="L17" s="37">
        <f>K17*(1+$C$9)+$C$8+IF($C$12=9,$C$11,0)</f>
        <v/>
      </c>
      <c r="M17" s="37">
        <f>L17*(1+$C$9)+$C$8+IF($C$12=10,$C$11,0)</f>
        <v/>
      </c>
    </row>
    <row r="18">
      <c r="B18" s="21" t="inlineStr">
        <is>
          <t>Optimistisch</t>
        </is>
      </c>
      <c r="C18" s="37">
        <f>calc_Netto</f>
        <v/>
      </c>
      <c r="D18" s="37">
        <f>C18*(1+$D$9)+$D$8+IF($D$12=1,$D$11,0)</f>
        <v/>
      </c>
      <c r="E18" s="37">
        <f>D18*(1+$D$9)+$D$8+IF($D$12=2,$D$11,0)</f>
        <v/>
      </c>
      <c r="F18" s="37">
        <f>E18*(1+$D$9)+$D$8+IF($D$12=3,$D$11,0)</f>
        <v/>
      </c>
      <c r="G18" s="37">
        <f>F18*(1+$D$9)+$D$8+IF($D$12=4,$D$11,0)</f>
        <v/>
      </c>
      <c r="H18" s="37">
        <f>G18*(1+$D$9)+$D$8+IF($D$12=5,$D$11,0)</f>
        <v/>
      </c>
      <c r="I18" s="37">
        <f>H18*(1+$D$9)+$D$8+IF($D$12=6,$D$11,0)</f>
        <v/>
      </c>
      <c r="J18" s="37">
        <f>I18*(1+$D$9)+$D$8+IF($D$12=7,$D$11,0)</f>
        <v/>
      </c>
      <c r="K18" s="37">
        <f>J18*(1+$D$9)+$D$8+IF($D$12=8,$D$11,0)</f>
        <v/>
      </c>
      <c r="L18" s="37">
        <f>K18*(1+$D$9)+$D$8+IF($D$12=9,$D$11,0)</f>
        <v/>
      </c>
      <c r="M18" s="37">
        <f>L18*(1+$D$9)+$D$8+IF($D$12=10,$D$11,0)</f>
        <v/>
      </c>
    </row>
    <row r="19">
      <c r="B19" s="21" t="inlineStr">
        <is>
          <t>Conservatief</t>
        </is>
      </c>
      <c r="C19" s="37">
        <f>calc_Netto</f>
        <v/>
      </c>
      <c r="D19" s="37">
        <f>C19*(1+$E$9)+$E$8+IF($E$12=1,$E$11,0)</f>
        <v/>
      </c>
      <c r="E19" s="37">
        <f>D19*(1+$E$9)+$E$8+IF($E$12=2,$E$11,0)</f>
        <v/>
      </c>
      <c r="F19" s="37">
        <f>E19*(1+$E$9)+$E$8+IF($E$12=3,$E$11,0)</f>
        <v/>
      </c>
      <c r="G19" s="37">
        <f>F19*(1+$E$9)+$E$8+IF($E$12=4,$E$11,0)</f>
        <v/>
      </c>
      <c r="H19" s="37">
        <f>G19*(1+$E$9)+$E$8+IF($E$12=5,$E$11,0)</f>
        <v/>
      </c>
      <c r="I19" s="37">
        <f>H19*(1+$E$9)+$E$8+IF($E$12=6,$E$11,0)</f>
        <v/>
      </c>
      <c r="J19" s="37">
        <f>I19*(1+$E$9)+$E$8+IF($E$12=7,$E$11,0)</f>
        <v/>
      </c>
      <c r="K19" s="37">
        <f>J19*(1+$E$9)+$E$8+IF($E$12=8,$E$11,0)</f>
        <v/>
      </c>
      <c r="L19" s="37">
        <f>K19*(1+$E$9)+$E$8+IF($E$12=9,$E$11,0)</f>
        <v/>
      </c>
      <c r="M19" s="37">
        <f>L19*(1+$E$9)+$E$8+IF($E$12=10,$E$11,0)</f>
        <v/>
      </c>
    </row>
    <row r="20"/>
    <row r="21">
      <c r="B21" s="48" t="inlineStr">
        <is>
          <t>EINDWAARDE (na horizon)</t>
        </is>
      </c>
    </row>
    <row r="22">
      <c r="B22" s="71" t="inlineStr">
        <is>
          <t>Scenario</t>
        </is>
      </c>
      <c r="C22" s="71" t="inlineStr">
        <is>
          <t>Eindvermogen</t>
        </is>
      </c>
      <c r="D22" s="71" t="inlineStr">
        <is>
          <t>Verschil t.o.v. basis</t>
        </is>
      </c>
      <c r="E22" s="71" t="inlineStr"/>
    </row>
    <row r="23">
      <c r="B23" s="50" t="inlineStr">
        <is>
          <t>Basis</t>
        </is>
      </c>
      <c r="C23" s="23">
        <f>M17</f>
        <v/>
      </c>
      <c r="D23" s="37">
        <f>M17-M17</f>
        <v/>
      </c>
    </row>
    <row r="24">
      <c r="B24" s="50" t="inlineStr">
        <is>
          <t>Optimistisch</t>
        </is>
      </c>
      <c r="C24" s="23">
        <f>M18</f>
        <v/>
      </c>
      <c r="D24" s="37">
        <f>M18-M17</f>
        <v/>
      </c>
    </row>
    <row r="25">
      <c r="B25" s="50" t="inlineStr">
        <is>
          <t>Conservatief</t>
        </is>
      </c>
      <c r="C25" s="23">
        <f>M19</f>
        <v/>
      </c>
      <c r="D25" s="37">
        <f>M19-M17</f>
        <v/>
      </c>
    </row>
  </sheetData>
  <mergeCells count="2">
    <mergeCell ref="B3:N3"/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40" customWidth="1" min="5" max="5"/>
    <col width="16" customWidth="1" min="6" max="6"/>
    <col width="16" customWidth="1" min="7" max="7"/>
    <col width="16" customWidth="1" min="8" max="8"/>
  </cols>
  <sheetData>
    <row r="1"/>
    <row r="2" ht="26" customHeight="1">
      <c r="B2" s="76" t="inlineStr">
        <is>
          <t>CONFIGURATIE — centrale keuzelijsten &amp; parameters</t>
        </is>
      </c>
    </row>
    <row r="3" ht="14" customHeight="1">
      <c r="B3" s="77" t="inlineStr">
        <is>
          <t>90_Config  ·  Wijzigt zelden · geldt voor ALLE klanten · 1x per jaar fiscale cijfers bijwerken</t>
        </is>
      </c>
    </row>
    <row r="4"/>
    <row r="5"/>
    <row r="6">
      <c r="B6" s="57" t="inlineStr">
        <is>
          <t>Categorieen</t>
        </is>
      </c>
      <c r="C6" s="57" t="inlineStr">
        <is>
          <t>TypeLijst</t>
        </is>
      </c>
      <c r="D6" s="57" t="inlineStr">
        <is>
          <t>BoxLijst</t>
        </is>
      </c>
      <c r="E6" s="57" t="inlineStr">
        <is>
          <t>EigenaarLijst</t>
        </is>
      </c>
      <c r="F6" s="57" t="inlineStr">
        <is>
          <t>BronLijst</t>
        </is>
      </c>
      <c r="G6" s="57" t="inlineStr">
        <is>
          <t>JaNee</t>
        </is>
      </c>
      <c r="H6" s="57" t="inlineStr">
        <is>
          <t>Betrouwbaar</t>
        </is>
      </c>
    </row>
    <row r="7">
      <c r="B7" s="78" t="inlineStr">
        <is>
          <t>Liquiditeiten</t>
        </is>
      </c>
      <c r="C7" s="78" t="inlineStr">
        <is>
          <t>Bezitting</t>
        </is>
      </c>
      <c r="D7" s="78" t="inlineStr">
        <is>
          <t>Box 1</t>
        </is>
      </c>
      <c r="E7" s="78" t="inlineStr">
        <is>
          <t>Klant</t>
        </is>
      </c>
      <c r="F7" s="78" t="inlineStr">
        <is>
          <t>Aangifte IB</t>
        </is>
      </c>
      <c r="G7" s="78" t="inlineStr">
        <is>
          <t>JA</t>
        </is>
      </c>
      <c r="H7" s="78" t="inlineStr">
        <is>
          <t>Vastgesteld</t>
        </is>
      </c>
    </row>
    <row r="8">
      <c r="B8" s="79" t="inlineStr">
        <is>
          <t>Vastgoed</t>
        </is>
      </c>
      <c r="C8" s="79" t="inlineStr">
        <is>
          <t>Schuld</t>
        </is>
      </c>
      <c r="D8" s="79" t="inlineStr">
        <is>
          <t>Box 2</t>
        </is>
      </c>
      <c r="E8" s="79" t="inlineStr">
        <is>
          <t>Partner</t>
        </is>
      </c>
      <c r="F8" s="79" t="inlineStr">
        <is>
          <t>Jaarrekening</t>
        </is>
      </c>
      <c r="G8" s="79" t="inlineStr">
        <is>
          <t>NEE</t>
        </is>
      </c>
      <c r="H8" s="79" t="inlineStr">
        <is>
          <t>Schatting</t>
        </is>
      </c>
    </row>
    <row r="9">
      <c r="B9" s="78" t="inlineStr">
        <is>
          <t>Beleggingen</t>
        </is>
      </c>
      <c r="D9" s="78" t="inlineStr">
        <is>
          <t>Box 3</t>
        </is>
      </c>
      <c r="E9" s="78" t="inlineStr">
        <is>
          <t>Gezamenlijk</t>
        </is>
      </c>
      <c r="F9" s="78" t="inlineStr">
        <is>
          <t>Handmatig</t>
        </is>
      </c>
    </row>
    <row r="10">
      <c r="B10" s="79" t="inlineStr">
        <is>
          <t>Pensioen/ODV</t>
        </is>
      </c>
      <c r="D10" s="79" t="inlineStr">
        <is>
          <t>n.v.t.</t>
        </is>
      </c>
      <c r="F10" s="79" t="inlineStr">
        <is>
          <t>Bank</t>
        </is>
      </c>
    </row>
    <row r="11">
      <c r="B11" s="78" t="inlineStr">
        <is>
          <t>Onderneming/AB</t>
        </is>
      </c>
    </row>
    <row r="12">
      <c r="B12" s="79" t="inlineStr">
        <is>
          <t>Overige bezitting</t>
        </is>
      </c>
    </row>
    <row r="13">
      <c r="B13" s="78" t="inlineStr">
        <is>
          <t>Hypotheek</t>
        </is>
      </c>
    </row>
    <row r="14">
      <c r="B14" s="79" t="inlineStr">
        <is>
          <t>Overige schuld</t>
        </is>
      </c>
    </row>
    <row r="15"/>
    <row r="16"/>
    <row r="17"/>
    <row r="18">
      <c r="B18" s="48" t="inlineStr">
        <is>
          <t>FISCALE PARAMETERS (jaartabel)</t>
        </is>
      </c>
    </row>
    <row r="19">
      <c r="B19" s="80" t="inlineStr">
        <is>
          <t>Parameter</t>
        </is>
      </c>
      <c r="C19" s="80" t="inlineStr">
        <is>
          <t>Waarde</t>
        </is>
      </c>
      <c r="D19" s="80" t="inlineStr">
        <is>
          <t>Eenheid</t>
        </is>
      </c>
      <c r="E19" s="80" t="inlineStr">
        <is>
          <t>Toelichting / bron</t>
        </is>
      </c>
    </row>
    <row r="20">
      <c r="B20" s="81" t="inlineStr">
        <is>
          <t>Box 3 heffingsvrij vermogen (p.p.)</t>
        </is>
      </c>
      <c r="C20" s="82" t="n">
        <v>57000</v>
      </c>
      <c r="D20" s="83" t="inlineStr">
        <is>
          <t>€</t>
        </is>
      </c>
      <c r="E20" s="38" t="inlineStr">
        <is>
          <t>[AANNAME voorbeeld] jaarlijks bijwerken</t>
        </is>
      </c>
    </row>
    <row r="21">
      <c r="B21" s="81" t="inlineStr">
        <is>
          <t>Rendementspercentage overig (box 3)</t>
        </is>
      </c>
      <c r="C21" s="84" t="n">
        <v>0.06</v>
      </c>
      <c r="D21" s="83" t="inlineStr">
        <is>
          <t>%</t>
        </is>
      </c>
      <c r="E21" s="38" t="inlineStr">
        <is>
          <t>[AANNAME voorbeeld] fictief rendement</t>
        </is>
      </c>
    </row>
    <row r="22">
      <c r="B22" s="81" t="inlineStr">
        <is>
          <t>Inflatie (default scenario)</t>
        </is>
      </c>
      <c r="C22" s="84" t="n">
        <v>0.02</v>
      </c>
      <c r="D22" s="83" t="inlineStr">
        <is>
          <t>%</t>
        </is>
      </c>
      <c r="E22" s="38" t="inlineStr">
        <is>
          <t>aanname planning</t>
        </is>
      </c>
    </row>
    <row r="23">
      <c r="B23" s="81" t="inlineStr">
        <is>
          <t>Default rendement beleggingen</t>
        </is>
      </c>
      <c r="C23" s="84" t="n">
        <v>0.04</v>
      </c>
      <c r="D23" s="83" t="inlineStr">
        <is>
          <t>%</t>
        </is>
      </c>
      <c r="E23" s="38" t="inlineStr">
        <is>
          <t>aanname planning</t>
        </is>
      </c>
    </row>
    <row r="24">
      <c r="B24" s="81" t="inlineStr">
        <is>
          <t>AOW-leeftijd (indicatief)</t>
        </is>
      </c>
      <c r="C24" s="85" t="n">
        <v>67</v>
      </c>
      <c r="D24" s="83" t="inlineStr">
        <is>
          <t>jr</t>
        </is>
      </c>
      <c r="E24" s="38" t="inlineStr">
        <is>
          <t>[AANNAME] afhankelijk geboortejaar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16" customWidth="1" min="5" max="5"/>
    <col width="30" customWidth="1" min="6" max="6"/>
  </cols>
  <sheetData>
    <row r="1"/>
    <row r="2" ht="26" customHeight="1">
      <c r="B2" s="76" t="inlineStr">
        <is>
          <t>MAPPINGTABEL — bronlabels → standaardcategorie</t>
        </is>
      </c>
    </row>
    <row r="3" ht="14" customHeight="1">
      <c r="B3" s="77" t="inlineStr">
        <is>
          <t>91_Mapping  ·  Vangt afwijkende indelingen per klant/bron op zonder het datamodel te wijzigen</t>
        </is>
      </c>
    </row>
    <row r="4"/>
    <row r="5">
      <c r="B5" s="80" t="inlineStr">
        <is>
          <t>Bronlabel (zoals in bestand)</t>
        </is>
      </c>
      <c r="C5" s="80" t="inlineStr">
        <is>
          <t>Standaardcategorie</t>
        </is>
      </c>
      <c r="D5" s="80" t="inlineStr">
        <is>
          <t>Standaard subcat.</t>
        </is>
      </c>
      <c r="E5" s="80" t="inlineStr">
        <is>
          <t>Standaard box</t>
        </is>
      </c>
      <c r="F5" s="80" t="inlineStr">
        <is>
          <t>Opmerking</t>
        </is>
      </c>
    </row>
    <row r="6">
      <c r="B6" s="85" t="inlineStr">
        <is>
          <t>Betaalrekening / Rc bank</t>
        </is>
      </c>
      <c r="C6" s="85" t="inlineStr">
        <is>
          <t>Liquiditeiten</t>
        </is>
      </c>
      <c r="D6" s="85" t="inlineStr">
        <is>
          <t>Betaalrekening</t>
        </is>
      </c>
      <c r="E6" s="85" t="inlineStr">
        <is>
          <t>Box 3</t>
        </is>
      </c>
      <c r="F6" s="86" t="inlineStr"/>
    </row>
    <row r="7">
      <c r="B7" s="85" t="inlineStr">
        <is>
          <t>Spaardeposito</t>
        </is>
      </c>
      <c r="C7" s="85" t="inlineStr">
        <is>
          <t>Liquiditeiten</t>
        </is>
      </c>
      <c r="D7" s="85" t="inlineStr">
        <is>
          <t>Spaarrekening</t>
        </is>
      </c>
      <c r="E7" s="85" t="inlineStr">
        <is>
          <t>Box 3</t>
        </is>
      </c>
      <c r="F7" s="86" t="inlineStr"/>
    </row>
    <row r="8">
      <c r="B8" s="85" t="inlineStr">
        <is>
          <t>WOZ-waarde / eigen woning</t>
        </is>
      </c>
      <c r="C8" s="85" t="inlineStr">
        <is>
          <t>Vastgoed</t>
        </is>
      </c>
      <c r="D8" s="85" t="inlineStr">
        <is>
          <t>Eigen woning</t>
        </is>
      </c>
      <c r="E8" s="85" t="inlineStr">
        <is>
          <t>Box 1</t>
        </is>
      </c>
      <c r="F8" s="86" t="inlineStr"/>
    </row>
    <row r="9">
      <c r="B9" s="85" t="inlineStr">
        <is>
          <t>Effectendepot / aandelen</t>
        </is>
      </c>
      <c r="C9" s="85" t="inlineStr">
        <is>
          <t>Beleggingen</t>
        </is>
      </c>
      <c r="D9" s="85" t="inlineStr">
        <is>
          <t>Effectenportefeuille</t>
        </is>
      </c>
      <c r="E9" s="85" t="inlineStr">
        <is>
          <t>Box 3</t>
        </is>
      </c>
      <c r="F9" s="86" t="inlineStr"/>
    </row>
    <row r="10">
      <c r="B10" s="85" t="inlineStr">
        <is>
          <t>Aandelen in Holding</t>
        </is>
      </c>
      <c r="C10" s="85" t="inlineStr">
        <is>
          <t>Onderneming/AB</t>
        </is>
      </c>
      <c r="D10" s="85" t="inlineStr">
        <is>
          <t>Aanmerkelijk belang</t>
        </is>
      </c>
      <c r="E10" s="85" t="inlineStr">
        <is>
          <t>Box 2</t>
        </is>
      </c>
      <c r="F10" s="86">
        <f> eigen vermogen BV</f>
        <v/>
      </c>
    </row>
    <row r="11">
      <c r="B11" s="85" t="inlineStr">
        <is>
          <t>Hypothecaire lening</t>
        </is>
      </c>
      <c r="C11" s="85" t="inlineStr">
        <is>
          <t>Hypotheek</t>
        </is>
      </c>
      <c r="D11" s="85" t="inlineStr">
        <is>
          <t>Eigenwoningschuld</t>
        </is>
      </c>
      <c r="E11" s="85" t="inlineStr">
        <is>
          <t>Box 1</t>
        </is>
      </c>
      <c r="F11" s="86" t="inlineStr"/>
    </row>
    <row r="12">
      <c r="B12" s="85" t="inlineStr">
        <is>
          <t>Rekening-courant DGA</t>
        </is>
      </c>
      <c r="C12" s="85" t="inlineStr">
        <is>
          <t>Overige schuld</t>
        </is>
      </c>
      <c r="D12" s="85" t="inlineStr">
        <is>
          <t>R/C DGA</t>
        </is>
      </c>
      <c r="E12" s="85" t="inlineStr">
        <is>
          <t>Box 2</t>
        </is>
      </c>
      <c r="F12" s="86" t="inlineStr">
        <is>
          <t>teken afhankelijk saldo</t>
        </is>
      </c>
    </row>
    <row r="13"/>
    <row r="14">
      <c r="B14" s="87" t="inlineStr">
        <is>
          <t>Werkwijze: bij import (Power Query, fase 2) wordt elk bronlabel via INDEX/MATCH vertaald naar de standaardcategorie. Nieuw label = één regel toevoegen; het datamodel blijft ongewijzigd.</t>
        </is>
      </c>
    </row>
    <row r="15"/>
  </sheetData>
  <mergeCells count="3">
    <mergeCell ref="B14:F15"/>
    <mergeCell ref="B3:N3"/>
    <mergeCell ref="B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N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40" customWidth="1" min="4" max="4"/>
  </cols>
  <sheetData>
    <row r="1"/>
    <row r="2" ht="26" customHeight="1">
      <c r="B2" s="76" t="inlineStr">
        <is>
          <t>KWALITEITS- &amp; CONTROLEMECHANISMEN</t>
        </is>
      </c>
    </row>
    <row r="3" ht="14" customHeight="1">
      <c r="B3" s="77" t="inlineStr">
        <is>
          <t>99_Controles  ·  Volledigheid · aansluitingen IB↔Monitor↔JR · signaalwaarden · status naar START</t>
        </is>
      </c>
    </row>
    <row r="4"/>
    <row r="5">
      <c r="B5" s="80" t="inlineStr">
        <is>
          <t>Controle</t>
        </is>
      </c>
      <c r="C5" s="80" t="inlineStr">
        <is>
          <t>Status</t>
        </is>
      </c>
      <c r="D5" s="80" t="inlineStr">
        <is>
          <t>Toelichting</t>
        </is>
      </c>
    </row>
    <row r="6">
      <c r="B6" s="50" t="inlineStr">
        <is>
          <t>Volledigheid: klantnaam + peildatum aanwezig</t>
        </is>
      </c>
      <c r="C6" s="88">
        <f>IF(AND(Klant_Naam&lt;&gt;"",Peildatum_Actueel&lt;&gt;""),"OK","ONVOLLEDIG")</f>
        <v/>
      </c>
      <c r="D6" s="38" t="inlineStr">
        <is>
          <t>kernvelden op START</t>
        </is>
      </c>
    </row>
    <row r="7">
      <c r="B7" s="50" t="inlineStr">
        <is>
          <t>Aansluiting box 3: monitor vs. aangifte IB</t>
        </is>
      </c>
      <c r="C7" s="88">
        <f>IF(ABS(calc_Box3Monitor-IB_Box3_Grondslag)&lt;=10000,"OK","CONTROLEER")</f>
        <v/>
      </c>
      <c r="D7" s="38" t="inlineStr">
        <is>
          <t>verschil &gt; €10.000 = signaal</t>
        </is>
      </c>
    </row>
    <row r="8">
      <c r="B8" s="50" t="inlineStr">
        <is>
          <t>Balans jaarrekening in evenwicht (activa = passiva)</t>
        </is>
      </c>
      <c r="C8" s="88">
        <f>IF('03_Input_JR'!$C$12='03_Input_JR'!$C$19,"OK","CONTROLEER")</f>
        <v/>
      </c>
      <c r="D8" s="38" t="inlineStr">
        <is>
          <t>balanstotaal activa = passiva</t>
        </is>
      </c>
    </row>
    <row r="9">
      <c r="B9" s="50" t="inlineStr">
        <is>
          <t>AB-waarde monitor vs. eigen vermogen BV</t>
        </is>
      </c>
      <c r="C9" s="88">
        <f>IF(ABS(SUMIFS(v_Waarde,v_Categorie,"Onderneming/AB",v_Type,"Bezitting")-JR_EigenVermogen)&lt;=5000,"OK","CONTROLEER")</f>
        <v/>
      </c>
      <c r="D9" s="38" t="inlineStr">
        <is>
          <t>aandelenwaarde ≈ EV BV</t>
        </is>
      </c>
    </row>
    <row r="10">
      <c r="B10" s="50" t="inlineStr">
        <is>
          <t>Aandeel klant % ingevuld waar Eigenaar=Gezamenlijk</t>
        </is>
      </c>
      <c r="C10" s="88">
        <f>IF(SUMPRODUCT((v_Eigenaar="Gezamenlijk")*(v_Aandeel=0)*(v_Waarde&lt;&gt;0))=0,"OK","CONTROLEER")</f>
        <v/>
      </c>
      <c r="D10" s="38" t="inlineStr">
        <is>
          <t>gezamenlijk zonder splitsing = fout</t>
        </is>
      </c>
    </row>
    <row r="11">
      <c r="B11" s="50" t="inlineStr">
        <is>
          <t>Geen negatieve waarden ingevoerd (teken via Type)</t>
        </is>
      </c>
      <c r="C11" s="88">
        <f>IF(SUMPRODUCT((v_Waarde&lt;0)*1)=0,"OK","CONTROLEER")</f>
        <v/>
      </c>
      <c r="D11" s="38" t="inlineStr">
        <is>
          <t>waarde positief; Type stuurt teken</t>
        </is>
      </c>
    </row>
    <row r="12">
      <c r="B12" s="50" t="inlineStr">
        <is>
          <t>Netto vermogen niet negatief</t>
        </is>
      </c>
      <c r="C12" s="88">
        <f>IF(calc_Netto&gt;=0,"OK","LET OP")</f>
        <v/>
      </c>
      <c r="D12" s="38" t="inlineStr">
        <is>
          <t>signaal bij negatief eigen vermogen</t>
        </is>
      </c>
    </row>
  </sheetData>
  <mergeCells count="2">
    <mergeCell ref="B3:N3"/>
    <mergeCell ref="B2:N2"/>
  </mergeCells>
  <conditionalFormatting sqref="C6:C12">
    <cfRule type="cellIs" priority="1" operator="equal" dxfId="1">
      <formula>"OK"</formula>
    </cfRule>
    <cfRule type="expression" priority="2" dxfId="2">
      <formula>AND(C6&lt;&gt;"OK",C6&lt;&gt;"")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2026-07-19T09:12:31Z</dcterms:created>
  <dcterms:modified xsi:type="dcterms:W3CDTF">2026-07-19T09:12:31Z</dcterms:modified>
</cp:coreProperties>
</file>